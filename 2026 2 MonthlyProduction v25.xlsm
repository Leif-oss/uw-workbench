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QCTXFS01\CTXRedirect$\tyler\My Documents\Reports\"/>
    </mc:Choice>
  </mc:AlternateContent>
  <xr:revisionPtr revIDLastSave="0" documentId="8_{E080A77F-4879-4860-960A-2ECEEE753C42}" xr6:coauthVersionLast="47" xr6:coauthVersionMax="47" xr10:uidLastSave="{00000000-0000-0000-0000-000000000000}"/>
  <bookViews>
    <workbookView xWindow="-120" yWindow="480" windowWidth="29040" windowHeight="15120" xr2:uid="{00000000-000D-0000-FFFF-FFFF00000000}"/>
  </bookViews>
  <sheets>
    <sheet name="All Offices" sheetId="1" r:id="rId1"/>
    <sheet name="Emails" sheetId="145" r:id="rId2"/>
    <sheet name="BRA" sheetId="997" r:id="rId3"/>
    <sheet name="FNO" sheetId="998" r:id="rId4"/>
    <sheet name="LAF" sheetId="999" r:id="rId5"/>
    <sheet name="LKO" sheetId="1000" r:id="rId6"/>
    <sheet name="LVS" sheetId="1001" r:id="rId7"/>
    <sheet name="MHL" sheetId="1002" r:id="rId8"/>
    <sheet name="MID" sheetId="1003" r:id="rId9"/>
    <sheet name="PAS" sheetId="1004" r:id="rId10"/>
    <sheet name="PHX" sheetId="1005" r:id="rId11"/>
    <sheet name="RCH" sheetId="1006" r:id="rId12"/>
    <sheet name="REN" sheetId="1007" r:id="rId13"/>
    <sheet name="SBO" sheetId="1008" r:id="rId14"/>
    <sheet name="SDO" sheetId="1009" r:id="rId15"/>
    <sheet name="SEA" sheetId="1010" r:id="rId16"/>
    <sheet name="Working" sheetId="1011" r:id="rId17"/>
  </sheets>
  <definedNames>
    <definedName name="Declines" localSheetId="16">Working!$AO$1:$AP$245</definedName>
    <definedName name="PY_NB_Standard" localSheetId="16">Working!$U$1:$V$221</definedName>
    <definedName name="PY_NB_Surplus" localSheetId="16">Working!$X$1:$Y$273</definedName>
    <definedName name="PYTD_NB_Standard" localSheetId="16">Working!$AE$1:$AF$58</definedName>
    <definedName name="PYTD_NB_Surplus" localSheetId="16">Working!$AH$1:$AI$88</definedName>
    <definedName name="PYTD_WP_Standard" localSheetId="16">Working!$I$1:$J$365</definedName>
    <definedName name="PYTD_WP_Surplus" localSheetId="16">Working!$L$1:$M$304</definedName>
    <definedName name="Ratio">Working!$AK$1:$AM$516</definedName>
    <definedName name="Ratio1" localSheetId="16">Working!$AK$1:$AL$516</definedName>
    <definedName name="YTD_Loss_Ratio" localSheetId="16">Working!$AA$1:$AC$2047</definedName>
    <definedName name="YTD_NB_Standard" localSheetId="16">Working!$O$1:$P$77</definedName>
    <definedName name="YTD_NB_Surplus" localSheetId="16">Working!$R$1:$S$75</definedName>
    <definedName name="YTD_WP_Standard" localSheetId="16">Working!$A$1:$C$2527</definedName>
    <definedName name="YTD_WP_Surplus" localSheetId="16">Working!$E$1:$G$1205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938" i="1" l="1"/>
  <c r="X938" i="1"/>
  <c r="W938" i="1"/>
  <c r="V938" i="1"/>
  <c r="T938" i="1"/>
  <c r="S938" i="1"/>
  <c r="R938" i="1"/>
  <c r="Q938" i="1"/>
  <c r="P938" i="1"/>
  <c r="O938" i="1"/>
  <c r="N938" i="1"/>
  <c r="M938" i="1"/>
  <c r="L938" i="1"/>
  <c r="K938" i="1"/>
  <c r="J938" i="1"/>
  <c r="I938" i="1"/>
  <c r="H938" i="1"/>
  <c r="G938" i="1"/>
  <c r="F938" i="1"/>
  <c r="E938" i="1"/>
  <c r="Y55" i="1010"/>
  <c r="X55" i="1010"/>
  <c r="W55" i="1010"/>
  <c r="V55" i="1010"/>
  <c r="T55" i="1010"/>
  <c r="S55" i="1010"/>
  <c r="R55" i="1010"/>
  <c r="Q55" i="1010"/>
  <c r="P55" i="1010"/>
  <c r="O55" i="1010"/>
  <c r="N55" i="1010"/>
  <c r="M55" i="1010"/>
  <c r="L55" i="1010"/>
  <c r="K55" i="1010"/>
  <c r="J55" i="1010"/>
  <c r="I55" i="1010"/>
  <c r="H55" i="1010"/>
  <c r="G55" i="1010"/>
  <c r="F55" i="1010"/>
  <c r="E55" i="1010"/>
  <c r="Y66" i="1009"/>
  <c r="X66" i="1009"/>
  <c r="W66" i="1009"/>
  <c r="V66" i="1009"/>
  <c r="T66" i="1009"/>
  <c r="S66" i="1009"/>
  <c r="R66" i="1009"/>
  <c r="Q66" i="1009"/>
  <c r="P66" i="1009"/>
  <c r="O66" i="1009"/>
  <c r="N66" i="1009"/>
  <c r="M66" i="1009"/>
  <c r="L66" i="1009"/>
  <c r="K66" i="1009"/>
  <c r="J66" i="1009"/>
  <c r="I66" i="1009"/>
  <c r="H66" i="1009"/>
  <c r="G66" i="1009"/>
  <c r="F66" i="1009"/>
  <c r="E66" i="1009"/>
  <c r="Y89" i="1008"/>
  <c r="X89" i="1008"/>
  <c r="W89" i="1008"/>
  <c r="V89" i="1008"/>
  <c r="T89" i="1008"/>
  <c r="S89" i="1008"/>
  <c r="R89" i="1008"/>
  <c r="Q89" i="1008"/>
  <c r="P89" i="1008"/>
  <c r="O89" i="1008"/>
  <c r="N89" i="1008"/>
  <c r="M89" i="1008"/>
  <c r="L89" i="1008"/>
  <c r="K89" i="1008"/>
  <c r="J89" i="1008"/>
  <c r="I89" i="1008"/>
  <c r="H89" i="1008"/>
  <c r="G89" i="1008"/>
  <c r="F89" i="1008"/>
  <c r="E89" i="1008"/>
  <c r="Y33" i="1007"/>
  <c r="X33" i="1007"/>
  <c r="W33" i="1007"/>
  <c r="V33" i="1007"/>
  <c r="T33" i="1007"/>
  <c r="S33" i="1007"/>
  <c r="R33" i="1007"/>
  <c r="Q33" i="1007"/>
  <c r="P33" i="1007"/>
  <c r="O33" i="1007"/>
  <c r="N33" i="1007"/>
  <c r="M33" i="1007"/>
  <c r="L33" i="1007"/>
  <c r="K33" i="1007"/>
  <c r="J33" i="1007"/>
  <c r="I33" i="1007"/>
  <c r="H33" i="1007"/>
  <c r="G33" i="1007"/>
  <c r="F33" i="1007"/>
  <c r="E33" i="1007"/>
  <c r="Y82" i="1006"/>
  <c r="X82" i="1006"/>
  <c r="W82" i="1006"/>
  <c r="V82" i="1006"/>
  <c r="T82" i="1006"/>
  <c r="S82" i="1006"/>
  <c r="R82" i="1006"/>
  <c r="Q82" i="1006"/>
  <c r="P82" i="1006"/>
  <c r="O82" i="1006"/>
  <c r="N82" i="1006"/>
  <c r="M82" i="1006"/>
  <c r="L82" i="1006"/>
  <c r="K82" i="1006"/>
  <c r="J82" i="1006"/>
  <c r="I82" i="1006"/>
  <c r="H82" i="1006"/>
  <c r="G82" i="1006"/>
  <c r="F82" i="1006"/>
  <c r="E82" i="1006"/>
  <c r="Y46" i="1005"/>
  <c r="X46" i="1005"/>
  <c r="W46" i="1005"/>
  <c r="V46" i="1005"/>
  <c r="T46" i="1005"/>
  <c r="S46" i="1005"/>
  <c r="R46" i="1005"/>
  <c r="Q46" i="1005"/>
  <c r="P46" i="1005"/>
  <c r="O46" i="1005"/>
  <c r="N46" i="1005"/>
  <c r="M46" i="1005"/>
  <c r="L46" i="1005"/>
  <c r="K46" i="1005"/>
  <c r="J46" i="1005"/>
  <c r="I46" i="1005"/>
  <c r="H46" i="1005"/>
  <c r="G46" i="1005"/>
  <c r="F46" i="1005"/>
  <c r="E46" i="1005"/>
  <c r="Y92" i="1004"/>
  <c r="X92" i="1004"/>
  <c r="W92" i="1004"/>
  <c r="V92" i="1004"/>
  <c r="T92" i="1004"/>
  <c r="S92" i="1004"/>
  <c r="R92" i="1004"/>
  <c r="Q92" i="1004"/>
  <c r="P92" i="1004"/>
  <c r="O92" i="1004"/>
  <c r="N92" i="1004"/>
  <c r="M92" i="1004"/>
  <c r="L92" i="1004"/>
  <c r="K92" i="1004"/>
  <c r="J92" i="1004"/>
  <c r="I92" i="1004"/>
  <c r="H92" i="1004"/>
  <c r="G92" i="1004"/>
  <c r="F92" i="1004"/>
  <c r="E92" i="1004"/>
  <c r="Y39" i="1003"/>
  <c r="X39" i="1003"/>
  <c r="W39" i="1003"/>
  <c r="V39" i="1003"/>
  <c r="T39" i="1003"/>
  <c r="S39" i="1003"/>
  <c r="R39" i="1003"/>
  <c r="Q39" i="1003"/>
  <c r="P39" i="1003"/>
  <c r="O39" i="1003"/>
  <c r="N39" i="1003"/>
  <c r="M39" i="1003"/>
  <c r="L39" i="1003"/>
  <c r="K39" i="1003"/>
  <c r="J39" i="1003"/>
  <c r="I39" i="1003"/>
  <c r="H39" i="1003"/>
  <c r="G39" i="1003"/>
  <c r="F39" i="1003"/>
  <c r="E39" i="1003"/>
  <c r="Y92" i="1002"/>
  <c r="X92" i="1002"/>
  <c r="W92" i="1002"/>
  <c r="V92" i="1002"/>
  <c r="T92" i="1002"/>
  <c r="S92" i="1002"/>
  <c r="R92" i="1002"/>
  <c r="Q92" i="1002"/>
  <c r="P92" i="1002"/>
  <c r="O92" i="1002"/>
  <c r="N92" i="1002"/>
  <c r="M92" i="1002"/>
  <c r="L92" i="1002"/>
  <c r="K92" i="1002"/>
  <c r="J92" i="1002"/>
  <c r="I92" i="1002"/>
  <c r="H92" i="1002"/>
  <c r="G92" i="1002"/>
  <c r="F92" i="1002"/>
  <c r="E92" i="1002"/>
  <c r="Y98" i="1001"/>
  <c r="X98" i="1001"/>
  <c r="W98" i="1001"/>
  <c r="V98" i="1001"/>
  <c r="T98" i="1001"/>
  <c r="S98" i="1001"/>
  <c r="R98" i="1001"/>
  <c r="Q98" i="1001"/>
  <c r="P98" i="1001"/>
  <c r="O98" i="1001"/>
  <c r="N98" i="1001"/>
  <c r="M98" i="1001"/>
  <c r="L98" i="1001"/>
  <c r="K98" i="1001"/>
  <c r="J98" i="1001"/>
  <c r="I98" i="1001"/>
  <c r="H98" i="1001"/>
  <c r="G98" i="1001"/>
  <c r="F98" i="1001"/>
  <c r="E98" i="1001"/>
  <c r="Y56" i="1000"/>
  <c r="X56" i="1000"/>
  <c r="W56" i="1000"/>
  <c r="V56" i="1000"/>
  <c r="T56" i="1000"/>
  <c r="S56" i="1000"/>
  <c r="R56" i="1000"/>
  <c r="Q56" i="1000"/>
  <c r="P56" i="1000"/>
  <c r="O56" i="1000"/>
  <c r="N56" i="1000"/>
  <c r="M56" i="1000"/>
  <c r="L56" i="1000"/>
  <c r="K56" i="1000"/>
  <c r="J56" i="1000"/>
  <c r="I56" i="1000"/>
  <c r="H56" i="1000"/>
  <c r="G56" i="1000"/>
  <c r="F56" i="1000"/>
  <c r="E56" i="1000"/>
  <c r="Y91" i="999"/>
  <c r="X91" i="999"/>
  <c r="W91" i="999"/>
  <c r="V91" i="999"/>
  <c r="T91" i="999"/>
  <c r="S91" i="999"/>
  <c r="R91" i="999"/>
  <c r="Q91" i="999"/>
  <c r="P91" i="999"/>
  <c r="O91" i="999"/>
  <c r="N91" i="999"/>
  <c r="M91" i="999"/>
  <c r="L91" i="999"/>
  <c r="K91" i="999"/>
  <c r="J91" i="999"/>
  <c r="I91" i="999"/>
  <c r="H91" i="999"/>
  <c r="G91" i="999"/>
  <c r="F91" i="999"/>
  <c r="E91" i="999"/>
  <c r="Y102" i="998"/>
  <c r="X102" i="998"/>
  <c r="W102" i="998"/>
  <c r="V102" i="998"/>
  <c r="T102" i="998"/>
  <c r="S102" i="998"/>
  <c r="R102" i="998"/>
  <c r="Q102" i="998"/>
  <c r="P102" i="998"/>
  <c r="O102" i="998"/>
  <c r="N102" i="998"/>
  <c r="M102" i="998"/>
  <c r="L102" i="998"/>
  <c r="K102" i="998"/>
  <c r="J102" i="998"/>
  <c r="I102" i="998"/>
  <c r="H102" i="998"/>
  <c r="G102" i="998"/>
  <c r="F102" i="998"/>
  <c r="E102" i="998"/>
  <c r="Y88" i="997"/>
  <c r="X88" i="997"/>
  <c r="W88" i="997"/>
  <c r="V88" i="997"/>
  <c r="T88" i="997"/>
  <c r="S88" i="997"/>
  <c r="R88" i="997"/>
  <c r="Q88" i="997"/>
  <c r="P88" i="997"/>
  <c r="O88" i="997"/>
  <c r="N88" i="997"/>
  <c r="M88" i="997"/>
  <c r="L88" i="997"/>
  <c r="K88" i="997"/>
  <c r="J88" i="997"/>
  <c r="I88" i="997"/>
  <c r="H88" i="997"/>
  <c r="G88" i="997"/>
  <c r="F88" i="997"/>
  <c r="E88" i="997"/>
  <c r="S937" i="1"/>
  <c r="R937" i="1"/>
  <c r="Q937" i="1"/>
  <c r="J937" i="1"/>
  <c r="I937" i="1"/>
  <c r="T937" i="1" s="1"/>
  <c r="S936" i="1"/>
  <c r="R936" i="1"/>
  <c r="Q936" i="1"/>
  <c r="J936" i="1"/>
  <c r="I936" i="1"/>
  <c r="T936" i="1" s="1"/>
  <c r="S935" i="1"/>
  <c r="R935" i="1"/>
  <c r="Q935" i="1"/>
  <c r="J935" i="1"/>
  <c r="I935" i="1"/>
  <c r="T935" i="1" s="1"/>
  <c r="S934" i="1"/>
  <c r="R934" i="1"/>
  <c r="Q934" i="1"/>
  <c r="J934" i="1"/>
  <c r="I934" i="1"/>
  <c r="T934" i="1" s="1"/>
  <c r="S933" i="1"/>
  <c r="R933" i="1"/>
  <c r="Q933" i="1"/>
  <c r="J933" i="1"/>
  <c r="I933" i="1"/>
  <c r="T933" i="1" s="1"/>
  <c r="S932" i="1"/>
  <c r="R932" i="1"/>
  <c r="Q932" i="1"/>
  <c r="J932" i="1"/>
  <c r="I932" i="1"/>
  <c r="T932" i="1" s="1"/>
  <c r="S931" i="1"/>
  <c r="R931" i="1"/>
  <c r="Q931" i="1"/>
  <c r="J931" i="1"/>
  <c r="I931" i="1"/>
  <c r="T931" i="1" s="1"/>
  <c r="S930" i="1"/>
  <c r="R930" i="1"/>
  <c r="Q930" i="1"/>
  <c r="J930" i="1"/>
  <c r="I930" i="1"/>
  <c r="T930" i="1" s="1"/>
  <c r="S929" i="1"/>
  <c r="R929" i="1"/>
  <c r="Q929" i="1"/>
  <c r="J929" i="1"/>
  <c r="I929" i="1"/>
  <c r="T929" i="1" s="1"/>
  <c r="S928" i="1"/>
  <c r="R928" i="1"/>
  <c r="Q928" i="1"/>
  <c r="J928" i="1"/>
  <c r="I928" i="1"/>
  <c r="T928" i="1" s="1"/>
  <c r="S927" i="1"/>
  <c r="R927" i="1"/>
  <c r="Q927" i="1"/>
  <c r="J927" i="1"/>
  <c r="I927" i="1"/>
  <c r="T927" i="1" s="1"/>
  <c r="S926" i="1"/>
  <c r="R926" i="1"/>
  <c r="Q926" i="1"/>
  <c r="J926" i="1"/>
  <c r="I926" i="1"/>
  <c r="T926" i="1" s="1"/>
  <c r="S925" i="1"/>
  <c r="R925" i="1"/>
  <c r="Q925" i="1"/>
  <c r="J925" i="1"/>
  <c r="I925" i="1"/>
  <c r="T925" i="1" s="1"/>
  <c r="S924" i="1"/>
  <c r="R924" i="1"/>
  <c r="Q924" i="1"/>
  <c r="J924" i="1"/>
  <c r="I924" i="1"/>
  <c r="T924" i="1" s="1"/>
  <c r="S923" i="1"/>
  <c r="R923" i="1"/>
  <c r="Q923" i="1"/>
  <c r="J923" i="1"/>
  <c r="I923" i="1"/>
  <c r="T923" i="1" s="1"/>
  <c r="S922" i="1"/>
  <c r="R922" i="1"/>
  <c r="Q922" i="1"/>
  <c r="J922" i="1"/>
  <c r="I922" i="1"/>
  <c r="T922" i="1" s="1"/>
  <c r="S921" i="1"/>
  <c r="R921" i="1"/>
  <c r="Q921" i="1"/>
  <c r="J921" i="1"/>
  <c r="I921" i="1"/>
  <c r="T921" i="1" s="1"/>
  <c r="S920" i="1"/>
  <c r="R920" i="1"/>
  <c r="Q920" i="1"/>
  <c r="J920" i="1"/>
  <c r="I920" i="1"/>
  <c r="T920" i="1" s="1"/>
  <c r="S919" i="1"/>
  <c r="R919" i="1"/>
  <c r="Q919" i="1"/>
  <c r="J919" i="1"/>
  <c r="I919" i="1"/>
  <c r="T919" i="1" s="1"/>
  <c r="S918" i="1"/>
  <c r="R918" i="1"/>
  <c r="Q918" i="1"/>
  <c r="J918" i="1"/>
  <c r="I918" i="1"/>
  <c r="T918" i="1" s="1"/>
  <c r="S917" i="1"/>
  <c r="R917" i="1"/>
  <c r="Q917" i="1"/>
  <c r="J917" i="1"/>
  <c r="I917" i="1"/>
  <c r="T917" i="1" s="1"/>
  <c r="S916" i="1"/>
  <c r="R916" i="1"/>
  <c r="Q916" i="1"/>
  <c r="J916" i="1"/>
  <c r="I916" i="1"/>
  <c r="T916" i="1" s="1"/>
  <c r="S915" i="1"/>
  <c r="R915" i="1"/>
  <c r="Q915" i="1"/>
  <c r="J915" i="1"/>
  <c r="I915" i="1"/>
  <c r="T915" i="1" s="1"/>
  <c r="S914" i="1"/>
  <c r="R914" i="1"/>
  <c r="Q914" i="1"/>
  <c r="J914" i="1"/>
  <c r="I914" i="1"/>
  <c r="T914" i="1" s="1"/>
  <c r="S913" i="1"/>
  <c r="R913" i="1"/>
  <c r="Q913" i="1"/>
  <c r="J913" i="1"/>
  <c r="I913" i="1"/>
  <c r="T913" i="1" s="1"/>
  <c r="S912" i="1"/>
  <c r="R912" i="1"/>
  <c r="Q912" i="1"/>
  <c r="J912" i="1"/>
  <c r="I912" i="1"/>
  <c r="T912" i="1" s="1"/>
  <c r="S911" i="1"/>
  <c r="R911" i="1"/>
  <c r="Q911" i="1"/>
  <c r="J911" i="1"/>
  <c r="I911" i="1"/>
  <c r="T911" i="1" s="1"/>
  <c r="S910" i="1"/>
  <c r="R910" i="1"/>
  <c r="Q910" i="1"/>
  <c r="J910" i="1"/>
  <c r="I910" i="1"/>
  <c r="T910" i="1" s="1"/>
  <c r="S909" i="1"/>
  <c r="R909" i="1"/>
  <c r="Q909" i="1"/>
  <c r="J909" i="1"/>
  <c r="I909" i="1"/>
  <c r="T909" i="1" s="1"/>
  <c r="S908" i="1"/>
  <c r="R908" i="1"/>
  <c r="Q908" i="1"/>
  <c r="J908" i="1"/>
  <c r="I908" i="1"/>
  <c r="T908" i="1" s="1"/>
  <c r="S907" i="1"/>
  <c r="R907" i="1"/>
  <c r="Q907" i="1"/>
  <c r="J907" i="1"/>
  <c r="I907" i="1"/>
  <c r="T907" i="1" s="1"/>
  <c r="S906" i="1"/>
  <c r="R906" i="1"/>
  <c r="Q906" i="1"/>
  <c r="J906" i="1"/>
  <c r="I906" i="1"/>
  <c r="T906" i="1" s="1"/>
  <c r="S905" i="1"/>
  <c r="R905" i="1"/>
  <c r="Q905" i="1"/>
  <c r="J905" i="1"/>
  <c r="I905" i="1"/>
  <c r="T905" i="1" s="1"/>
  <c r="S904" i="1"/>
  <c r="R904" i="1"/>
  <c r="Q904" i="1"/>
  <c r="J904" i="1"/>
  <c r="I904" i="1"/>
  <c r="T904" i="1" s="1"/>
  <c r="S903" i="1"/>
  <c r="R903" i="1"/>
  <c r="Q903" i="1"/>
  <c r="J903" i="1"/>
  <c r="I903" i="1"/>
  <c r="T903" i="1" s="1"/>
  <c r="S902" i="1"/>
  <c r="R902" i="1"/>
  <c r="Q902" i="1"/>
  <c r="J902" i="1"/>
  <c r="I902" i="1"/>
  <c r="T902" i="1" s="1"/>
  <c r="S901" i="1"/>
  <c r="R901" i="1"/>
  <c r="Q901" i="1"/>
  <c r="J901" i="1"/>
  <c r="I901" i="1"/>
  <c r="T901" i="1" s="1"/>
  <c r="S900" i="1"/>
  <c r="R900" i="1"/>
  <c r="Q900" i="1"/>
  <c r="J900" i="1"/>
  <c r="I900" i="1"/>
  <c r="T900" i="1" s="1"/>
  <c r="S899" i="1"/>
  <c r="R899" i="1"/>
  <c r="Q899" i="1"/>
  <c r="J899" i="1"/>
  <c r="I899" i="1"/>
  <c r="T899" i="1" s="1"/>
  <c r="S898" i="1"/>
  <c r="R898" i="1"/>
  <c r="Q898" i="1"/>
  <c r="J898" i="1"/>
  <c r="I898" i="1"/>
  <c r="T898" i="1" s="1"/>
  <c r="S897" i="1"/>
  <c r="R897" i="1"/>
  <c r="Q897" i="1"/>
  <c r="J897" i="1"/>
  <c r="I897" i="1"/>
  <c r="T897" i="1" s="1"/>
  <c r="S896" i="1"/>
  <c r="R896" i="1"/>
  <c r="Q896" i="1"/>
  <c r="J896" i="1"/>
  <c r="I896" i="1"/>
  <c r="T896" i="1" s="1"/>
  <c r="S895" i="1"/>
  <c r="R895" i="1"/>
  <c r="Q895" i="1"/>
  <c r="J895" i="1"/>
  <c r="I895" i="1"/>
  <c r="T895" i="1" s="1"/>
  <c r="S894" i="1"/>
  <c r="R894" i="1"/>
  <c r="Q894" i="1"/>
  <c r="J894" i="1"/>
  <c r="I894" i="1"/>
  <c r="T894" i="1" s="1"/>
  <c r="S893" i="1"/>
  <c r="R893" i="1"/>
  <c r="Q893" i="1"/>
  <c r="J893" i="1"/>
  <c r="I893" i="1"/>
  <c r="T893" i="1" s="1"/>
  <c r="S892" i="1"/>
  <c r="R892" i="1"/>
  <c r="Q892" i="1"/>
  <c r="J892" i="1"/>
  <c r="I892" i="1"/>
  <c r="T892" i="1" s="1"/>
  <c r="S891" i="1"/>
  <c r="R891" i="1"/>
  <c r="Q891" i="1"/>
  <c r="J891" i="1"/>
  <c r="I891" i="1"/>
  <c r="T891" i="1" s="1"/>
  <c r="S890" i="1"/>
  <c r="R890" i="1"/>
  <c r="Q890" i="1"/>
  <c r="J890" i="1"/>
  <c r="I890" i="1"/>
  <c r="T890" i="1" s="1"/>
  <c r="S889" i="1"/>
  <c r="R889" i="1"/>
  <c r="Q889" i="1"/>
  <c r="J889" i="1"/>
  <c r="I889" i="1"/>
  <c r="T889" i="1" s="1"/>
  <c r="S888" i="1"/>
  <c r="R888" i="1"/>
  <c r="Q888" i="1"/>
  <c r="J888" i="1"/>
  <c r="I888" i="1"/>
  <c r="T888" i="1" s="1"/>
  <c r="S887" i="1"/>
  <c r="R887" i="1"/>
  <c r="Q887" i="1"/>
  <c r="J887" i="1"/>
  <c r="I887" i="1"/>
  <c r="T887" i="1" s="1"/>
  <c r="S886" i="1"/>
  <c r="R886" i="1"/>
  <c r="Q886" i="1"/>
  <c r="J886" i="1"/>
  <c r="I886" i="1"/>
  <c r="T886" i="1" s="1"/>
  <c r="S885" i="1"/>
  <c r="R885" i="1"/>
  <c r="Q885" i="1"/>
  <c r="J885" i="1"/>
  <c r="I885" i="1"/>
  <c r="T885" i="1" s="1"/>
  <c r="S884" i="1"/>
  <c r="R884" i="1"/>
  <c r="Q884" i="1"/>
  <c r="J884" i="1"/>
  <c r="I884" i="1"/>
  <c r="T884" i="1" s="1"/>
  <c r="S883" i="1"/>
  <c r="R883" i="1"/>
  <c r="Q883" i="1"/>
  <c r="J883" i="1"/>
  <c r="I883" i="1"/>
  <c r="T883" i="1" s="1"/>
  <c r="S882" i="1"/>
  <c r="R882" i="1"/>
  <c r="Q882" i="1"/>
  <c r="J882" i="1"/>
  <c r="I882" i="1"/>
  <c r="T882" i="1" s="1"/>
  <c r="S881" i="1"/>
  <c r="R881" i="1"/>
  <c r="Q881" i="1"/>
  <c r="J881" i="1"/>
  <c r="I881" i="1"/>
  <c r="T881" i="1" s="1"/>
  <c r="S880" i="1"/>
  <c r="R880" i="1"/>
  <c r="Q880" i="1"/>
  <c r="J880" i="1"/>
  <c r="I880" i="1"/>
  <c r="T880" i="1" s="1"/>
  <c r="S879" i="1"/>
  <c r="R879" i="1"/>
  <c r="Q879" i="1"/>
  <c r="J879" i="1"/>
  <c r="I879" i="1"/>
  <c r="T879" i="1" s="1"/>
  <c r="S878" i="1"/>
  <c r="R878" i="1"/>
  <c r="Q878" i="1"/>
  <c r="J878" i="1"/>
  <c r="I878" i="1"/>
  <c r="T878" i="1" s="1"/>
  <c r="S877" i="1"/>
  <c r="R877" i="1"/>
  <c r="Q877" i="1"/>
  <c r="J877" i="1"/>
  <c r="I877" i="1"/>
  <c r="T877" i="1" s="1"/>
  <c r="S876" i="1"/>
  <c r="R876" i="1"/>
  <c r="Q876" i="1"/>
  <c r="J876" i="1"/>
  <c r="I876" i="1"/>
  <c r="T876" i="1" s="1"/>
  <c r="S875" i="1"/>
  <c r="R875" i="1"/>
  <c r="Q875" i="1"/>
  <c r="J875" i="1"/>
  <c r="I875" i="1"/>
  <c r="T875" i="1" s="1"/>
  <c r="S874" i="1"/>
  <c r="R874" i="1"/>
  <c r="Q874" i="1"/>
  <c r="J874" i="1"/>
  <c r="I874" i="1"/>
  <c r="T874" i="1" s="1"/>
  <c r="S873" i="1"/>
  <c r="R873" i="1"/>
  <c r="Q873" i="1"/>
  <c r="J873" i="1"/>
  <c r="I873" i="1"/>
  <c r="T873" i="1" s="1"/>
  <c r="S872" i="1"/>
  <c r="R872" i="1"/>
  <c r="Q872" i="1"/>
  <c r="J872" i="1"/>
  <c r="I872" i="1"/>
  <c r="T872" i="1" s="1"/>
  <c r="S871" i="1"/>
  <c r="R871" i="1"/>
  <c r="Q871" i="1"/>
  <c r="J871" i="1"/>
  <c r="I871" i="1"/>
  <c r="T871" i="1" s="1"/>
  <c r="S870" i="1"/>
  <c r="R870" i="1"/>
  <c r="Q870" i="1"/>
  <c r="J870" i="1"/>
  <c r="I870" i="1"/>
  <c r="T870" i="1" s="1"/>
  <c r="S869" i="1"/>
  <c r="R869" i="1"/>
  <c r="Q869" i="1"/>
  <c r="J869" i="1"/>
  <c r="I869" i="1"/>
  <c r="T869" i="1" s="1"/>
  <c r="S868" i="1"/>
  <c r="R868" i="1"/>
  <c r="Q868" i="1"/>
  <c r="J868" i="1"/>
  <c r="I868" i="1"/>
  <c r="T868" i="1" s="1"/>
  <c r="S867" i="1"/>
  <c r="R867" i="1"/>
  <c r="Q867" i="1"/>
  <c r="J867" i="1"/>
  <c r="I867" i="1"/>
  <c r="T867" i="1" s="1"/>
  <c r="S866" i="1"/>
  <c r="R866" i="1"/>
  <c r="Q866" i="1"/>
  <c r="J866" i="1"/>
  <c r="I866" i="1"/>
  <c r="T866" i="1" s="1"/>
  <c r="S865" i="1"/>
  <c r="R865" i="1"/>
  <c r="Q865" i="1"/>
  <c r="J865" i="1"/>
  <c r="I865" i="1"/>
  <c r="T865" i="1" s="1"/>
  <c r="S864" i="1"/>
  <c r="R864" i="1"/>
  <c r="Q864" i="1"/>
  <c r="J864" i="1"/>
  <c r="I864" i="1"/>
  <c r="T864" i="1" s="1"/>
  <c r="S863" i="1"/>
  <c r="R863" i="1"/>
  <c r="Q863" i="1"/>
  <c r="J863" i="1"/>
  <c r="I863" i="1"/>
  <c r="T863" i="1" s="1"/>
  <c r="S862" i="1"/>
  <c r="R862" i="1"/>
  <c r="Q862" i="1"/>
  <c r="J862" i="1"/>
  <c r="I862" i="1"/>
  <c r="T862" i="1" s="1"/>
  <c r="S861" i="1"/>
  <c r="R861" i="1"/>
  <c r="Q861" i="1"/>
  <c r="J861" i="1"/>
  <c r="I861" i="1"/>
  <c r="T861" i="1" s="1"/>
  <c r="S860" i="1"/>
  <c r="R860" i="1"/>
  <c r="Q860" i="1"/>
  <c r="J860" i="1"/>
  <c r="I860" i="1"/>
  <c r="T860" i="1" s="1"/>
  <c r="S859" i="1"/>
  <c r="R859" i="1"/>
  <c r="Q859" i="1"/>
  <c r="J859" i="1"/>
  <c r="I859" i="1"/>
  <c r="T859" i="1" s="1"/>
  <c r="S858" i="1"/>
  <c r="R858" i="1"/>
  <c r="Q858" i="1"/>
  <c r="J858" i="1"/>
  <c r="I858" i="1"/>
  <c r="T858" i="1" s="1"/>
  <c r="S857" i="1"/>
  <c r="R857" i="1"/>
  <c r="Q857" i="1"/>
  <c r="J857" i="1"/>
  <c r="I857" i="1"/>
  <c r="T857" i="1" s="1"/>
  <c r="S856" i="1"/>
  <c r="R856" i="1"/>
  <c r="Q856" i="1"/>
  <c r="J856" i="1"/>
  <c r="I856" i="1"/>
  <c r="T856" i="1" s="1"/>
  <c r="S855" i="1"/>
  <c r="R855" i="1"/>
  <c r="Q855" i="1"/>
  <c r="J855" i="1"/>
  <c r="I855" i="1"/>
  <c r="T855" i="1" s="1"/>
  <c r="S854" i="1"/>
  <c r="R854" i="1"/>
  <c r="Q854" i="1"/>
  <c r="J854" i="1"/>
  <c r="I854" i="1"/>
  <c r="T854" i="1" s="1"/>
  <c r="S853" i="1"/>
  <c r="R853" i="1"/>
  <c r="Q853" i="1"/>
  <c r="J853" i="1"/>
  <c r="I853" i="1"/>
  <c r="T853" i="1" s="1"/>
  <c r="S852" i="1"/>
  <c r="R852" i="1"/>
  <c r="Q852" i="1"/>
  <c r="J852" i="1"/>
  <c r="I852" i="1"/>
  <c r="T852" i="1" s="1"/>
  <c r="S851" i="1"/>
  <c r="R851" i="1"/>
  <c r="Q851" i="1"/>
  <c r="J851" i="1"/>
  <c r="I851" i="1"/>
  <c r="T851" i="1" s="1"/>
  <c r="S850" i="1"/>
  <c r="R850" i="1"/>
  <c r="Q850" i="1"/>
  <c r="J850" i="1"/>
  <c r="I850" i="1"/>
  <c r="T850" i="1" s="1"/>
  <c r="S849" i="1"/>
  <c r="R849" i="1"/>
  <c r="Q849" i="1"/>
  <c r="J849" i="1"/>
  <c r="I849" i="1"/>
  <c r="T849" i="1" s="1"/>
  <c r="S848" i="1"/>
  <c r="R848" i="1"/>
  <c r="Q848" i="1"/>
  <c r="J848" i="1"/>
  <c r="I848" i="1"/>
  <c r="T848" i="1" s="1"/>
  <c r="S847" i="1"/>
  <c r="R847" i="1"/>
  <c r="Q847" i="1"/>
  <c r="J847" i="1"/>
  <c r="I847" i="1"/>
  <c r="T847" i="1" s="1"/>
  <c r="S846" i="1"/>
  <c r="R846" i="1"/>
  <c r="Q846" i="1"/>
  <c r="J846" i="1"/>
  <c r="I846" i="1"/>
  <c r="T846" i="1" s="1"/>
  <c r="S845" i="1"/>
  <c r="R845" i="1"/>
  <c r="Q845" i="1"/>
  <c r="J845" i="1"/>
  <c r="I845" i="1"/>
  <c r="T845" i="1" s="1"/>
  <c r="S844" i="1"/>
  <c r="R844" i="1"/>
  <c r="Q844" i="1"/>
  <c r="J844" i="1"/>
  <c r="I844" i="1"/>
  <c r="T844" i="1" s="1"/>
  <c r="S843" i="1"/>
  <c r="R843" i="1"/>
  <c r="Q843" i="1"/>
  <c r="J843" i="1"/>
  <c r="I843" i="1"/>
  <c r="T843" i="1" s="1"/>
  <c r="S842" i="1"/>
  <c r="R842" i="1"/>
  <c r="Q842" i="1"/>
  <c r="J842" i="1"/>
  <c r="I842" i="1"/>
  <c r="T842" i="1" s="1"/>
  <c r="S841" i="1"/>
  <c r="R841" i="1"/>
  <c r="Q841" i="1"/>
  <c r="J841" i="1"/>
  <c r="I841" i="1"/>
  <c r="T841" i="1" s="1"/>
  <c r="S840" i="1"/>
  <c r="R840" i="1"/>
  <c r="Q840" i="1"/>
  <c r="J840" i="1"/>
  <c r="I840" i="1"/>
  <c r="T840" i="1" s="1"/>
  <c r="S839" i="1"/>
  <c r="R839" i="1"/>
  <c r="Q839" i="1"/>
  <c r="J839" i="1"/>
  <c r="I839" i="1"/>
  <c r="T839" i="1" s="1"/>
  <c r="S838" i="1"/>
  <c r="R838" i="1"/>
  <c r="Q838" i="1"/>
  <c r="J838" i="1"/>
  <c r="I838" i="1"/>
  <c r="T838" i="1" s="1"/>
  <c r="S837" i="1"/>
  <c r="R837" i="1"/>
  <c r="Q837" i="1"/>
  <c r="J837" i="1"/>
  <c r="I837" i="1"/>
  <c r="T837" i="1" s="1"/>
  <c r="S836" i="1"/>
  <c r="R836" i="1"/>
  <c r="Q836" i="1"/>
  <c r="J836" i="1"/>
  <c r="I836" i="1"/>
  <c r="T836" i="1" s="1"/>
  <c r="S835" i="1"/>
  <c r="R835" i="1"/>
  <c r="Q835" i="1"/>
  <c r="J835" i="1"/>
  <c r="I835" i="1"/>
  <c r="T835" i="1" s="1"/>
  <c r="S834" i="1"/>
  <c r="R834" i="1"/>
  <c r="Q834" i="1"/>
  <c r="J834" i="1"/>
  <c r="I834" i="1"/>
  <c r="T834" i="1" s="1"/>
  <c r="S833" i="1"/>
  <c r="R833" i="1"/>
  <c r="Q833" i="1"/>
  <c r="J833" i="1"/>
  <c r="I833" i="1"/>
  <c r="T833" i="1" s="1"/>
  <c r="S832" i="1"/>
  <c r="R832" i="1"/>
  <c r="Q832" i="1"/>
  <c r="J832" i="1"/>
  <c r="I832" i="1"/>
  <c r="T832" i="1" s="1"/>
  <c r="S831" i="1"/>
  <c r="R831" i="1"/>
  <c r="Q831" i="1"/>
  <c r="J831" i="1"/>
  <c r="I831" i="1"/>
  <c r="T831" i="1" s="1"/>
  <c r="S830" i="1"/>
  <c r="R830" i="1"/>
  <c r="Q830" i="1"/>
  <c r="J830" i="1"/>
  <c r="I830" i="1"/>
  <c r="T830" i="1" s="1"/>
  <c r="S829" i="1"/>
  <c r="R829" i="1"/>
  <c r="Q829" i="1"/>
  <c r="J829" i="1"/>
  <c r="I829" i="1"/>
  <c r="T829" i="1" s="1"/>
  <c r="S828" i="1"/>
  <c r="R828" i="1"/>
  <c r="Q828" i="1"/>
  <c r="J828" i="1"/>
  <c r="I828" i="1"/>
  <c r="T828" i="1" s="1"/>
  <c r="S827" i="1"/>
  <c r="R827" i="1"/>
  <c r="Q827" i="1"/>
  <c r="J827" i="1"/>
  <c r="I827" i="1"/>
  <c r="T827" i="1" s="1"/>
  <c r="S826" i="1"/>
  <c r="R826" i="1"/>
  <c r="Q826" i="1"/>
  <c r="J826" i="1"/>
  <c r="I826" i="1"/>
  <c r="T826" i="1" s="1"/>
  <c r="S825" i="1"/>
  <c r="R825" i="1"/>
  <c r="Q825" i="1"/>
  <c r="J825" i="1"/>
  <c r="I825" i="1"/>
  <c r="T825" i="1" s="1"/>
  <c r="S824" i="1"/>
  <c r="R824" i="1"/>
  <c r="Q824" i="1"/>
  <c r="J824" i="1"/>
  <c r="I824" i="1"/>
  <c r="T824" i="1" s="1"/>
  <c r="S823" i="1"/>
  <c r="R823" i="1"/>
  <c r="Q823" i="1"/>
  <c r="J823" i="1"/>
  <c r="I823" i="1"/>
  <c r="T823" i="1" s="1"/>
  <c r="S822" i="1"/>
  <c r="R822" i="1"/>
  <c r="Q822" i="1"/>
  <c r="J822" i="1"/>
  <c r="I822" i="1"/>
  <c r="T822" i="1" s="1"/>
  <c r="S821" i="1"/>
  <c r="R821" i="1"/>
  <c r="Q821" i="1"/>
  <c r="J821" i="1"/>
  <c r="I821" i="1"/>
  <c r="T821" i="1" s="1"/>
  <c r="S820" i="1"/>
  <c r="R820" i="1"/>
  <c r="Q820" i="1"/>
  <c r="J820" i="1"/>
  <c r="I820" i="1"/>
  <c r="T820" i="1" s="1"/>
  <c r="S819" i="1"/>
  <c r="R819" i="1"/>
  <c r="Q819" i="1"/>
  <c r="J819" i="1"/>
  <c r="I819" i="1"/>
  <c r="T819" i="1" s="1"/>
  <c r="S818" i="1"/>
  <c r="R818" i="1"/>
  <c r="Q818" i="1"/>
  <c r="J818" i="1"/>
  <c r="I818" i="1"/>
  <c r="T818" i="1" s="1"/>
  <c r="S817" i="1"/>
  <c r="R817" i="1"/>
  <c r="Q817" i="1"/>
  <c r="J817" i="1"/>
  <c r="I817" i="1"/>
  <c r="T817" i="1" s="1"/>
  <c r="S816" i="1"/>
  <c r="R816" i="1"/>
  <c r="Q816" i="1"/>
  <c r="J816" i="1"/>
  <c r="I816" i="1"/>
  <c r="T816" i="1" s="1"/>
  <c r="S815" i="1"/>
  <c r="R815" i="1"/>
  <c r="Q815" i="1"/>
  <c r="J815" i="1"/>
  <c r="I815" i="1"/>
  <c r="T815" i="1" s="1"/>
  <c r="S814" i="1"/>
  <c r="R814" i="1"/>
  <c r="Q814" i="1"/>
  <c r="J814" i="1"/>
  <c r="I814" i="1"/>
  <c r="T814" i="1" s="1"/>
  <c r="S813" i="1"/>
  <c r="R813" i="1"/>
  <c r="Q813" i="1"/>
  <c r="J813" i="1"/>
  <c r="I813" i="1"/>
  <c r="T813" i="1" s="1"/>
  <c r="S812" i="1"/>
  <c r="R812" i="1"/>
  <c r="Q812" i="1"/>
  <c r="J812" i="1"/>
  <c r="I812" i="1"/>
  <c r="T812" i="1" s="1"/>
  <c r="S811" i="1"/>
  <c r="R811" i="1"/>
  <c r="Q811" i="1"/>
  <c r="J811" i="1"/>
  <c r="I811" i="1"/>
  <c r="T811" i="1" s="1"/>
  <c r="S810" i="1"/>
  <c r="R810" i="1"/>
  <c r="Q810" i="1"/>
  <c r="J810" i="1"/>
  <c r="I810" i="1"/>
  <c r="T810" i="1" s="1"/>
  <c r="S809" i="1"/>
  <c r="R809" i="1"/>
  <c r="Q809" i="1"/>
  <c r="J809" i="1"/>
  <c r="I809" i="1"/>
  <c r="T809" i="1" s="1"/>
  <c r="S808" i="1"/>
  <c r="R808" i="1"/>
  <c r="Q808" i="1"/>
  <c r="J808" i="1"/>
  <c r="I808" i="1"/>
  <c r="T808" i="1" s="1"/>
  <c r="S807" i="1"/>
  <c r="R807" i="1"/>
  <c r="Q807" i="1"/>
  <c r="J807" i="1"/>
  <c r="I807" i="1"/>
  <c r="T807" i="1" s="1"/>
  <c r="S806" i="1"/>
  <c r="R806" i="1"/>
  <c r="Q806" i="1"/>
  <c r="J806" i="1"/>
  <c r="I806" i="1"/>
  <c r="T806" i="1" s="1"/>
  <c r="S805" i="1"/>
  <c r="R805" i="1"/>
  <c r="Q805" i="1"/>
  <c r="J805" i="1"/>
  <c r="I805" i="1"/>
  <c r="T805" i="1" s="1"/>
  <c r="S804" i="1"/>
  <c r="R804" i="1"/>
  <c r="Q804" i="1"/>
  <c r="J804" i="1"/>
  <c r="I804" i="1"/>
  <c r="T804" i="1" s="1"/>
  <c r="S803" i="1"/>
  <c r="R803" i="1"/>
  <c r="Q803" i="1"/>
  <c r="J803" i="1"/>
  <c r="I803" i="1"/>
  <c r="T803" i="1" s="1"/>
  <c r="S802" i="1"/>
  <c r="R802" i="1"/>
  <c r="Q802" i="1"/>
  <c r="J802" i="1"/>
  <c r="I802" i="1"/>
  <c r="T802" i="1" s="1"/>
  <c r="S801" i="1"/>
  <c r="R801" i="1"/>
  <c r="Q801" i="1"/>
  <c r="J801" i="1"/>
  <c r="I801" i="1"/>
  <c r="T801" i="1" s="1"/>
  <c r="S800" i="1"/>
  <c r="R800" i="1"/>
  <c r="Q800" i="1"/>
  <c r="J800" i="1"/>
  <c r="I800" i="1"/>
  <c r="T800" i="1" s="1"/>
  <c r="S799" i="1"/>
  <c r="R799" i="1"/>
  <c r="Q799" i="1"/>
  <c r="J799" i="1"/>
  <c r="I799" i="1"/>
  <c r="T799" i="1" s="1"/>
  <c r="S798" i="1"/>
  <c r="R798" i="1"/>
  <c r="Q798" i="1"/>
  <c r="J798" i="1"/>
  <c r="I798" i="1"/>
  <c r="T798" i="1" s="1"/>
  <c r="S797" i="1"/>
  <c r="R797" i="1"/>
  <c r="Q797" i="1"/>
  <c r="J797" i="1"/>
  <c r="I797" i="1"/>
  <c r="T797" i="1" s="1"/>
  <c r="S796" i="1"/>
  <c r="R796" i="1"/>
  <c r="Q796" i="1"/>
  <c r="J796" i="1"/>
  <c r="I796" i="1"/>
  <c r="T796" i="1" s="1"/>
  <c r="S795" i="1"/>
  <c r="R795" i="1"/>
  <c r="Q795" i="1"/>
  <c r="J795" i="1"/>
  <c r="I795" i="1"/>
  <c r="T795" i="1" s="1"/>
  <c r="S794" i="1"/>
  <c r="R794" i="1"/>
  <c r="Q794" i="1"/>
  <c r="J794" i="1"/>
  <c r="I794" i="1"/>
  <c r="T794" i="1" s="1"/>
  <c r="S793" i="1"/>
  <c r="R793" i="1"/>
  <c r="Q793" i="1"/>
  <c r="J793" i="1"/>
  <c r="I793" i="1"/>
  <c r="T793" i="1" s="1"/>
  <c r="S792" i="1"/>
  <c r="R792" i="1"/>
  <c r="Q792" i="1"/>
  <c r="J792" i="1"/>
  <c r="I792" i="1"/>
  <c r="T792" i="1" s="1"/>
  <c r="S791" i="1"/>
  <c r="R791" i="1"/>
  <c r="Q791" i="1"/>
  <c r="J791" i="1"/>
  <c r="I791" i="1"/>
  <c r="T791" i="1" s="1"/>
  <c r="S790" i="1"/>
  <c r="R790" i="1"/>
  <c r="Q790" i="1"/>
  <c r="J790" i="1"/>
  <c r="I790" i="1"/>
  <c r="T790" i="1" s="1"/>
  <c r="S789" i="1"/>
  <c r="R789" i="1"/>
  <c r="Q789" i="1"/>
  <c r="J789" i="1"/>
  <c r="I789" i="1"/>
  <c r="T789" i="1" s="1"/>
  <c r="S788" i="1"/>
  <c r="R788" i="1"/>
  <c r="Q788" i="1"/>
  <c r="J788" i="1"/>
  <c r="I788" i="1"/>
  <c r="T788" i="1" s="1"/>
  <c r="S787" i="1"/>
  <c r="R787" i="1"/>
  <c r="Q787" i="1"/>
  <c r="J787" i="1"/>
  <c r="I787" i="1"/>
  <c r="T787" i="1" s="1"/>
  <c r="S786" i="1"/>
  <c r="R786" i="1"/>
  <c r="Q786" i="1"/>
  <c r="J786" i="1"/>
  <c r="I786" i="1"/>
  <c r="T786" i="1" s="1"/>
  <c r="S785" i="1"/>
  <c r="R785" i="1"/>
  <c r="Q785" i="1"/>
  <c r="J785" i="1"/>
  <c r="I785" i="1"/>
  <c r="T785" i="1" s="1"/>
  <c r="S784" i="1"/>
  <c r="R784" i="1"/>
  <c r="Q784" i="1"/>
  <c r="J784" i="1"/>
  <c r="I784" i="1"/>
  <c r="T784" i="1" s="1"/>
  <c r="S783" i="1"/>
  <c r="R783" i="1"/>
  <c r="Q783" i="1"/>
  <c r="J783" i="1"/>
  <c r="I783" i="1"/>
  <c r="T783" i="1" s="1"/>
  <c r="S782" i="1"/>
  <c r="R782" i="1"/>
  <c r="Q782" i="1"/>
  <c r="J782" i="1"/>
  <c r="I782" i="1"/>
  <c r="T782" i="1" s="1"/>
  <c r="S781" i="1"/>
  <c r="R781" i="1"/>
  <c r="Q781" i="1"/>
  <c r="J781" i="1"/>
  <c r="I781" i="1"/>
  <c r="T781" i="1" s="1"/>
  <c r="S780" i="1"/>
  <c r="R780" i="1"/>
  <c r="Q780" i="1"/>
  <c r="J780" i="1"/>
  <c r="I780" i="1"/>
  <c r="T780" i="1" s="1"/>
  <c r="S779" i="1"/>
  <c r="R779" i="1"/>
  <c r="Q779" i="1"/>
  <c r="J779" i="1"/>
  <c r="I779" i="1"/>
  <c r="T779" i="1" s="1"/>
  <c r="S778" i="1"/>
  <c r="R778" i="1"/>
  <c r="Q778" i="1"/>
  <c r="J778" i="1"/>
  <c r="I778" i="1"/>
  <c r="T778" i="1" s="1"/>
  <c r="S777" i="1"/>
  <c r="R777" i="1"/>
  <c r="Q777" i="1"/>
  <c r="J777" i="1"/>
  <c r="I777" i="1"/>
  <c r="T777" i="1" s="1"/>
  <c r="S776" i="1"/>
  <c r="R776" i="1"/>
  <c r="Q776" i="1"/>
  <c r="J776" i="1"/>
  <c r="I776" i="1"/>
  <c r="T776" i="1" s="1"/>
  <c r="S775" i="1"/>
  <c r="R775" i="1"/>
  <c r="Q775" i="1"/>
  <c r="J775" i="1"/>
  <c r="I775" i="1"/>
  <c r="T775" i="1" s="1"/>
  <c r="S774" i="1"/>
  <c r="R774" i="1"/>
  <c r="Q774" i="1"/>
  <c r="J774" i="1"/>
  <c r="I774" i="1"/>
  <c r="T774" i="1" s="1"/>
  <c r="S773" i="1"/>
  <c r="R773" i="1"/>
  <c r="Q773" i="1"/>
  <c r="J773" i="1"/>
  <c r="I773" i="1"/>
  <c r="T773" i="1" s="1"/>
  <c r="S772" i="1"/>
  <c r="R772" i="1"/>
  <c r="Q772" i="1"/>
  <c r="J772" i="1"/>
  <c r="I772" i="1"/>
  <c r="T772" i="1" s="1"/>
  <c r="S771" i="1"/>
  <c r="R771" i="1"/>
  <c r="Q771" i="1"/>
  <c r="J771" i="1"/>
  <c r="I771" i="1"/>
  <c r="T771" i="1" s="1"/>
  <c r="S770" i="1"/>
  <c r="R770" i="1"/>
  <c r="Q770" i="1"/>
  <c r="J770" i="1"/>
  <c r="I770" i="1"/>
  <c r="T770" i="1" s="1"/>
  <c r="S769" i="1"/>
  <c r="R769" i="1"/>
  <c r="Q769" i="1"/>
  <c r="J769" i="1"/>
  <c r="I769" i="1"/>
  <c r="T769" i="1" s="1"/>
  <c r="S768" i="1"/>
  <c r="R768" i="1"/>
  <c r="Q768" i="1"/>
  <c r="J768" i="1"/>
  <c r="I768" i="1"/>
  <c r="T768" i="1" s="1"/>
  <c r="S767" i="1"/>
  <c r="R767" i="1"/>
  <c r="Q767" i="1"/>
  <c r="J767" i="1"/>
  <c r="I767" i="1"/>
  <c r="T767" i="1" s="1"/>
  <c r="S766" i="1"/>
  <c r="R766" i="1"/>
  <c r="Q766" i="1"/>
  <c r="J766" i="1"/>
  <c r="I766" i="1"/>
  <c r="T766" i="1" s="1"/>
  <c r="S765" i="1"/>
  <c r="R765" i="1"/>
  <c r="Q765" i="1"/>
  <c r="J765" i="1"/>
  <c r="I765" i="1"/>
  <c r="T765" i="1" s="1"/>
  <c r="S764" i="1"/>
  <c r="R764" i="1"/>
  <c r="Q764" i="1"/>
  <c r="J764" i="1"/>
  <c r="I764" i="1"/>
  <c r="T764" i="1" s="1"/>
  <c r="S763" i="1"/>
  <c r="R763" i="1"/>
  <c r="Q763" i="1"/>
  <c r="J763" i="1"/>
  <c r="I763" i="1"/>
  <c r="T763" i="1" s="1"/>
  <c r="S762" i="1"/>
  <c r="R762" i="1"/>
  <c r="Q762" i="1"/>
  <c r="J762" i="1"/>
  <c r="I762" i="1"/>
  <c r="T762" i="1" s="1"/>
  <c r="S761" i="1"/>
  <c r="R761" i="1"/>
  <c r="Q761" i="1"/>
  <c r="J761" i="1"/>
  <c r="I761" i="1"/>
  <c r="T761" i="1" s="1"/>
  <c r="S760" i="1"/>
  <c r="R760" i="1"/>
  <c r="Q760" i="1"/>
  <c r="J760" i="1"/>
  <c r="I760" i="1"/>
  <c r="T760" i="1" s="1"/>
  <c r="S759" i="1"/>
  <c r="R759" i="1"/>
  <c r="Q759" i="1"/>
  <c r="J759" i="1"/>
  <c r="I759" i="1"/>
  <c r="T759" i="1" s="1"/>
  <c r="S758" i="1"/>
  <c r="R758" i="1"/>
  <c r="Q758" i="1"/>
  <c r="J758" i="1"/>
  <c r="I758" i="1"/>
  <c r="T758" i="1" s="1"/>
  <c r="S757" i="1"/>
  <c r="R757" i="1"/>
  <c r="Q757" i="1"/>
  <c r="J757" i="1"/>
  <c r="I757" i="1"/>
  <c r="T757" i="1" s="1"/>
  <c r="S756" i="1"/>
  <c r="R756" i="1"/>
  <c r="Q756" i="1"/>
  <c r="J756" i="1"/>
  <c r="I756" i="1"/>
  <c r="T756" i="1" s="1"/>
  <c r="S755" i="1"/>
  <c r="R755" i="1"/>
  <c r="Q755" i="1"/>
  <c r="J755" i="1"/>
  <c r="I755" i="1"/>
  <c r="T755" i="1" s="1"/>
  <c r="S754" i="1"/>
  <c r="R754" i="1"/>
  <c r="Q754" i="1"/>
  <c r="J754" i="1"/>
  <c r="I754" i="1"/>
  <c r="T754" i="1" s="1"/>
  <c r="S753" i="1"/>
  <c r="R753" i="1"/>
  <c r="Q753" i="1"/>
  <c r="J753" i="1"/>
  <c r="I753" i="1"/>
  <c r="T753" i="1" s="1"/>
  <c r="S752" i="1"/>
  <c r="R752" i="1"/>
  <c r="Q752" i="1"/>
  <c r="J752" i="1"/>
  <c r="I752" i="1"/>
  <c r="T752" i="1" s="1"/>
  <c r="S751" i="1"/>
  <c r="R751" i="1"/>
  <c r="Q751" i="1"/>
  <c r="J751" i="1"/>
  <c r="I751" i="1"/>
  <c r="T751" i="1" s="1"/>
  <c r="S750" i="1"/>
  <c r="R750" i="1"/>
  <c r="Q750" i="1"/>
  <c r="J750" i="1"/>
  <c r="I750" i="1"/>
  <c r="T750" i="1" s="1"/>
  <c r="S749" i="1"/>
  <c r="R749" i="1"/>
  <c r="Q749" i="1"/>
  <c r="J749" i="1"/>
  <c r="I749" i="1"/>
  <c r="T749" i="1" s="1"/>
  <c r="S748" i="1"/>
  <c r="R748" i="1"/>
  <c r="Q748" i="1"/>
  <c r="J748" i="1"/>
  <c r="I748" i="1"/>
  <c r="T748" i="1" s="1"/>
  <c r="S747" i="1"/>
  <c r="R747" i="1"/>
  <c r="Q747" i="1"/>
  <c r="J747" i="1"/>
  <c r="I747" i="1"/>
  <c r="T747" i="1" s="1"/>
  <c r="S746" i="1"/>
  <c r="R746" i="1"/>
  <c r="Q746" i="1"/>
  <c r="J746" i="1"/>
  <c r="I746" i="1"/>
  <c r="T746" i="1" s="1"/>
  <c r="S745" i="1"/>
  <c r="R745" i="1"/>
  <c r="Q745" i="1"/>
  <c r="J745" i="1"/>
  <c r="I745" i="1"/>
  <c r="T745" i="1" s="1"/>
  <c r="S744" i="1"/>
  <c r="R744" i="1"/>
  <c r="Q744" i="1"/>
  <c r="J744" i="1"/>
  <c r="I744" i="1"/>
  <c r="T744" i="1" s="1"/>
  <c r="S743" i="1"/>
  <c r="R743" i="1"/>
  <c r="Q743" i="1"/>
  <c r="J743" i="1"/>
  <c r="I743" i="1"/>
  <c r="T743" i="1" s="1"/>
  <c r="S742" i="1"/>
  <c r="R742" i="1"/>
  <c r="Q742" i="1"/>
  <c r="J742" i="1"/>
  <c r="I742" i="1"/>
  <c r="T742" i="1" s="1"/>
  <c r="S741" i="1"/>
  <c r="R741" i="1"/>
  <c r="Q741" i="1"/>
  <c r="J741" i="1"/>
  <c r="I741" i="1"/>
  <c r="T741" i="1" s="1"/>
  <c r="S740" i="1"/>
  <c r="R740" i="1"/>
  <c r="Q740" i="1"/>
  <c r="J740" i="1"/>
  <c r="I740" i="1"/>
  <c r="T740" i="1" s="1"/>
  <c r="S739" i="1"/>
  <c r="R739" i="1"/>
  <c r="Q739" i="1"/>
  <c r="J739" i="1"/>
  <c r="I739" i="1"/>
  <c r="T739" i="1" s="1"/>
  <c r="S738" i="1"/>
  <c r="R738" i="1"/>
  <c r="Q738" i="1"/>
  <c r="J738" i="1"/>
  <c r="I738" i="1"/>
  <c r="T738" i="1" s="1"/>
  <c r="S737" i="1"/>
  <c r="R737" i="1"/>
  <c r="Q737" i="1"/>
  <c r="J737" i="1"/>
  <c r="I737" i="1"/>
  <c r="T737" i="1" s="1"/>
  <c r="S736" i="1"/>
  <c r="R736" i="1"/>
  <c r="Q736" i="1"/>
  <c r="J736" i="1"/>
  <c r="I736" i="1"/>
  <c r="T736" i="1" s="1"/>
  <c r="S735" i="1"/>
  <c r="R735" i="1"/>
  <c r="Q735" i="1"/>
  <c r="J735" i="1"/>
  <c r="I735" i="1"/>
  <c r="T735" i="1" s="1"/>
  <c r="S734" i="1"/>
  <c r="R734" i="1"/>
  <c r="Q734" i="1"/>
  <c r="J734" i="1"/>
  <c r="I734" i="1"/>
  <c r="T734" i="1" s="1"/>
  <c r="S733" i="1"/>
  <c r="R733" i="1"/>
  <c r="Q733" i="1"/>
  <c r="J733" i="1"/>
  <c r="I733" i="1"/>
  <c r="T733" i="1" s="1"/>
  <c r="S732" i="1"/>
  <c r="R732" i="1"/>
  <c r="Q732" i="1"/>
  <c r="J732" i="1"/>
  <c r="I732" i="1"/>
  <c r="T732" i="1" s="1"/>
  <c r="S731" i="1"/>
  <c r="R731" i="1"/>
  <c r="Q731" i="1"/>
  <c r="J731" i="1"/>
  <c r="I731" i="1"/>
  <c r="T731" i="1" s="1"/>
  <c r="S730" i="1"/>
  <c r="R730" i="1"/>
  <c r="Q730" i="1"/>
  <c r="J730" i="1"/>
  <c r="I730" i="1"/>
  <c r="T730" i="1" s="1"/>
  <c r="S729" i="1"/>
  <c r="R729" i="1"/>
  <c r="Q729" i="1"/>
  <c r="J729" i="1"/>
  <c r="I729" i="1"/>
  <c r="T729" i="1" s="1"/>
  <c r="S728" i="1"/>
  <c r="R728" i="1"/>
  <c r="Q728" i="1"/>
  <c r="J728" i="1"/>
  <c r="I728" i="1"/>
  <c r="T728" i="1" s="1"/>
  <c r="S727" i="1"/>
  <c r="R727" i="1"/>
  <c r="Q727" i="1"/>
  <c r="J727" i="1"/>
  <c r="I727" i="1"/>
  <c r="T727" i="1" s="1"/>
  <c r="S726" i="1"/>
  <c r="R726" i="1"/>
  <c r="Q726" i="1"/>
  <c r="J726" i="1"/>
  <c r="I726" i="1"/>
  <c r="T726" i="1" s="1"/>
  <c r="S725" i="1"/>
  <c r="R725" i="1"/>
  <c r="Q725" i="1"/>
  <c r="J725" i="1"/>
  <c r="I725" i="1"/>
  <c r="T725" i="1" s="1"/>
  <c r="S724" i="1"/>
  <c r="R724" i="1"/>
  <c r="Q724" i="1"/>
  <c r="J724" i="1"/>
  <c r="I724" i="1"/>
  <c r="T724" i="1" s="1"/>
  <c r="S723" i="1"/>
  <c r="R723" i="1"/>
  <c r="Q723" i="1"/>
  <c r="J723" i="1"/>
  <c r="I723" i="1"/>
  <c r="T723" i="1" s="1"/>
  <c r="S722" i="1"/>
  <c r="R722" i="1"/>
  <c r="Q722" i="1"/>
  <c r="J722" i="1"/>
  <c r="I722" i="1"/>
  <c r="T722" i="1" s="1"/>
  <c r="S721" i="1"/>
  <c r="R721" i="1"/>
  <c r="Q721" i="1"/>
  <c r="J721" i="1"/>
  <c r="I721" i="1"/>
  <c r="T721" i="1" s="1"/>
  <c r="S720" i="1"/>
  <c r="R720" i="1"/>
  <c r="Q720" i="1"/>
  <c r="J720" i="1"/>
  <c r="I720" i="1"/>
  <c r="T720" i="1" s="1"/>
  <c r="S719" i="1"/>
  <c r="R719" i="1"/>
  <c r="Q719" i="1"/>
  <c r="J719" i="1"/>
  <c r="I719" i="1"/>
  <c r="T719" i="1" s="1"/>
  <c r="S718" i="1"/>
  <c r="R718" i="1"/>
  <c r="Q718" i="1"/>
  <c r="J718" i="1"/>
  <c r="I718" i="1"/>
  <c r="T718" i="1" s="1"/>
  <c r="S717" i="1"/>
  <c r="R717" i="1"/>
  <c r="Q717" i="1"/>
  <c r="J717" i="1"/>
  <c r="I717" i="1"/>
  <c r="T717" i="1" s="1"/>
  <c r="S716" i="1"/>
  <c r="R716" i="1"/>
  <c r="Q716" i="1"/>
  <c r="J716" i="1"/>
  <c r="I716" i="1"/>
  <c r="T716" i="1" s="1"/>
  <c r="S715" i="1"/>
  <c r="R715" i="1"/>
  <c r="Q715" i="1"/>
  <c r="J715" i="1"/>
  <c r="I715" i="1"/>
  <c r="T715" i="1" s="1"/>
  <c r="S714" i="1"/>
  <c r="R714" i="1"/>
  <c r="Q714" i="1"/>
  <c r="J714" i="1"/>
  <c r="I714" i="1"/>
  <c r="T714" i="1" s="1"/>
  <c r="S713" i="1"/>
  <c r="R713" i="1"/>
  <c r="Q713" i="1"/>
  <c r="J713" i="1"/>
  <c r="I713" i="1"/>
  <c r="T713" i="1" s="1"/>
  <c r="S712" i="1"/>
  <c r="R712" i="1"/>
  <c r="Q712" i="1"/>
  <c r="J712" i="1"/>
  <c r="I712" i="1"/>
  <c r="T712" i="1" s="1"/>
  <c r="S711" i="1"/>
  <c r="R711" i="1"/>
  <c r="Q711" i="1"/>
  <c r="J711" i="1"/>
  <c r="I711" i="1"/>
  <c r="T711" i="1" s="1"/>
  <c r="S710" i="1"/>
  <c r="R710" i="1"/>
  <c r="Q710" i="1"/>
  <c r="J710" i="1"/>
  <c r="I710" i="1"/>
  <c r="T710" i="1" s="1"/>
  <c r="S709" i="1"/>
  <c r="R709" i="1"/>
  <c r="Q709" i="1"/>
  <c r="J709" i="1"/>
  <c r="I709" i="1"/>
  <c r="T709" i="1" s="1"/>
  <c r="S708" i="1"/>
  <c r="R708" i="1"/>
  <c r="Q708" i="1"/>
  <c r="J708" i="1"/>
  <c r="I708" i="1"/>
  <c r="T708" i="1" s="1"/>
  <c r="S707" i="1"/>
  <c r="R707" i="1"/>
  <c r="Q707" i="1"/>
  <c r="J707" i="1"/>
  <c r="I707" i="1"/>
  <c r="T707" i="1" s="1"/>
  <c r="S706" i="1"/>
  <c r="R706" i="1"/>
  <c r="Q706" i="1"/>
  <c r="J706" i="1"/>
  <c r="I706" i="1"/>
  <c r="T706" i="1" s="1"/>
  <c r="S705" i="1"/>
  <c r="R705" i="1"/>
  <c r="Q705" i="1"/>
  <c r="J705" i="1"/>
  <c r="I705" i="1"/>
  <c r="T705" i="1" s="1"/>
  <c r="S704" i="1"/>
  <c r="R704" i="1"/>
  <c r="Q704" i="1"/>
  <c r="J704" i="1"/>
  <c r="I704" i="1"/>
  <c r="T704" i="1" s="1"/>
  <c r="S703" i="1"/>
  <c r="R703" i="1"/>
  <c r="Q703" i="1"/>
  <c r="J703" i="1"/>
  <c r="I703" i="1"/>
  <c r="T703" i="1" s="1"/>
  <c r="S702" i="1"/>
  <c r="R702" i="1"/>
  <c r="Q702" i="1"/>
  <c r="J702" i="1"/>
  <c r="I702" i="1"/>
  <c r="T702" i="1" s="1"/>
  <c r="S701" i="1"/>
  <c r="R701" i="1"/>
  <c r="Q701" i="1"/>
  <c r="J701" i="1"/>
  <c r="I701" i="1"/>
  <c r="T701" i="1" s="1"/>
  <c r="S700" i="1"/>
  <c r="R700" i="1"/>
  <c r="Q700" i="1"/>
  <c r="J700" i="1"/>
  <c r="I700" i="1"/>
  <c r="T700" i="1" s="1"/>
  <c r="S699" i="1"/>
  <c r="R699" i="1"/>
  <c r="Q699" i="1"/>
  <c r="J699" i="1"/>
  <c r="I699" i="1"/>
  <c r="T699" i="1" s="1"/>
  <c r="S698" i="1"/>
  <c r="R698" i="1"/>
  <c r="Q698" i="1"/>
  <c r="J698" i="1"/>
  <c r="I698" i="1"/>
  <c r="T698" i="1" s="1"/>
  <c r="S697" i="1"/>
  <c r="R697" i="1"/>
  <c r="Q697" i="1"/>
  <c r="J697" i="1"/>
  <c r="I697" i="1"/>
  <c r="T697" i="1" s="1"/>
  <c r="S696" i="1"/>
  <c r="R696" i="1"/>
  <c r="Q696" i="1"/>
  <c r="J696" i="1"/>
  <c r="I696" i="1"/>
  <c r="T696" i="1" s="1"/>
  <c r="S695" i="1"/>
  <c r="R695" i="1"/>
  <c r="Q695" i="1"/>
  <c r="J695" i="1"/>
  <c r="I695" i="1"/>
  <c r="T695" i="1" s="1"/>
  <c r="S694" i="1"/>
  <c r="R694" i="1"/>
  <c r="Q694" i="1"/>
  <c r="J694" i="1"/>
  <c r="I694" i="1"/>
  <c r="T694" i="1" s="1"/>
  <c r="S693" i="1"/>
  <c r="R693" i="1"/>
  <c r="Q693" i="1"/>
  <c r="J693" i="1"/>
  <c r="I693" i="1"/>
  <c r="T693" i="1" s="1"/>
  <c r="S692" i="1"/>
  <c r="R692" i="1"/>
  <c r="Q692" i="1"/>
  <c r="J692" i="1"/>
  <c r="I692" i="1"/>
  <c r="T692" i="1" s="1"/>
  <c r="S691" i="1"/>
  <c r="R691" i="1"/>
  <c r="Q691" i="1"/>
  <c r="J691" i="1"/>
  <c r="I691" i="1"/>
  <c r="T691" i="1" s="1"/>
  <c r="S690" i="1"/>
  <c r="R690" i="1"/>
  <c r="Q690" i="1"/>
  <c r="J690" i="1"/>
  <c r="I690" i="1"/>
  <c r="T690" i="1" s="1"/>
  <c r="S689" i="1"/>
  <c r="R689" i="1"/>
  <c r="Q689" i="1"/>
  <c r="J689" i="1"/>
  <c r="I689" i="1"/>
  <c r="T689" i="1" s="1"/>
  <c r="S688" i="1"/>
  <c r="R688" i="1"/>
  <c r="Q688" i="1"/>
  <c r="J688" i="1"/>
  <c r="I688" i="1"/>
  <c r="T688" i="1" s="1"/>
  <c r="S687" i="1"/>
  <c r="R687" i="1"/>
  <c r="Q687" i="1"/>
  <c r="J687" i="1"/>
  <c r="I687" i="1"/>
  <c r="T687" i="1" s="1"/>
  <c r="S686" i="1"/>
  <c r="R686" i="1"/>
  <c r="Q686" i="1"/>
  <c r="J686" i="1"/>
  <c r="I686" i="1"/>
  <c r="T686" i="1" s="1"/>
  <c r="S685" i="1"/>
  <c r="R685" i="1"/>
  <c r="Q685" i="1"/>
  <c r="J685" i="1"/>
  <c r="I685" i="1"/>
  <c r="T685" i="1" s="1"/>
  <c r="S684" i="1"/>
  <c r="R684" i="1"/>
  <c r="Q684" i="1"/>
  <c r="J684" i="1"/>
  <c r="I684" i="1"/>
  <c r="T684" i="1" s="1"/>
  <c r="S683" i="1"/>
  <c r="R683" i="1"/>
  <c r="Q683" i="1"/>
  <c r="J683" i="1"/>
  <c r="I683" i="1"/>
  <c r="T683" i="1" s="1"/>
  <c r="S682" i="1"/>
  <c r="R682" i="1"/>
  <c r="Q682" i="1"/>
  <c r="J682" i="1"/>
  <c r="I682" i="1"/>
  <c r="T682" i="1" s="1"/>
  <c r="S681" i="1"/>
  <c r="R681" i="1"/>
  <c r="Q681" i="1"/>
  <c r="J681" i="1"/>
  <c r="I681" i="1"/>
  <c r="T681" i="1" s="1"/>
  <c r="S680" i="1"/>
  <c r="R680" i="1"/>
  <c r="Q680" i="1"/>
  <c r="J680" i="1"/>
  <c r="I680" i="1"/>
  <c r="T680" i="1" s="1"/>
  <c r="S679" i="1"/>
  <c r="R679" i="1"/>
  <c r="Q679" i="1"/>
  <c r="J679" i="1"/>
  <c r="I679" i="1"/>
  <c r="T679" i="1" s="1"/>
  <c r="S678" i="1"/>
  <c r="R678" i="1"/>
  <c r="Q678" i="1"/>
  <c r="J678" i="1"/>
  <c r="I678" i="1"/>
  <c r="T678" i="1" s="1"/>
  <c r="S677" i="1"/>
  <c r="R677" i="1"/>
  <c r="Q677" i="1"/>
  <c r="J677" i="1"/>
  <c r="I677" i="1"/>
  <c r="T677" i="1" s="1"/>
  <c r="S676" i="1"/>
  <c r="R676" i="1"/>
  <c r="Q676" i="1"/>
  <c r="J676" i="1"/>
  <c r="I676" i="1"/>
  <c r="T676" i="1" s="1"/>
  <c r="S675" i="1"/>
  <c r="R675" i="1"/>
  <c r="Q675" i="1"/>
  <c r="J675" i="1"/>
  <c r="I675" i="1"/>
  <c r="T675" i="1" s="1"/>
  <c r="S674" i="1"/>
  <c r="R674" i="1"/>
  <c r="Q674" i="1"/>
  <c r="J674" i="1"/>
  <c r="I674" i="1"/>
  <c r="T674" i="1" s="1"/>
  <c r="S673" i="1"/>
  <c r="R673" i="1"/>
  <c r="Q673" i="1"/>
  <c r="J673" i="1"/>
  <c r="I673" i="1"/>
  <c r="T673" i="1" s="1"/>
  <c r="S672" i="1"/>
  <c r="R672" i="1"/>
  <c r="Q672" i="1"/>
  <c r="J672" i="1"/>
  <c r="I672" i="1"/>
  <c r="T672" i="1" s="1"/>
  <c r="S671" i="1"/>
  <c r="R671" i="1"/>
  <c r="Q671" i="1"/>
  <c r="J671" i="1"/>
  <c r="I671" i="1"/>
  <c r="T671" i="1" s="1"/>
  <c r="S670" i="1"/>
  <c r="R670" i="1"/>
  <c r="Q670" i="1"/>
  <c r="J670" i="1"/>
  <c r="I670" i="1"/>
  <c r="T670" i="1" s="1"/>
  <c r="S669" i="1"/>
  <c r="R669" i="1"/>
  <c r="Q669" i="1"/>
  <c r="J669" i="1"/>
  <c r="I669" i="1"/>
  <c r="T669" i="1" s="1"/>
  <c r="S668" i="1"/>
  <c r="R668" i="1"/>
  <c r="Q668" i="1"/>
  <c r="J668" i="1"/>
  <c r="I668" i="1"/>
  <c r="T668" i="1" s="1"/>
  <c r="S667" i="1"/>
  <c r="R667" i="1"/>
  <c r="Q667" i="1"/>
  <c r="J667" i="1"/>
  <c r="I667" i="1"/>
  <c r="T667" i="1" s="1"/>
  <c r="S666" i="1"/>
  <c r="R666" i="1"/>
  <c r="Q666" i="1"/>
  <c r="J666" i="1"/>
  <c r="I666" i="1"/>
  <c r="T666" i="1" s="1"/>
  <c r="S665" i="1"/>
  <c r="R665" i="1"/>
  <c r="Q665" i="1"/>
  <c r="J665" i="1"/>
  <c r="I665" i="1"/>
  <c r="T665" i="1" s="1"/>
  <c r="S664" i="1"/>
  <c r="R664" i="1"/>
  <c r="Q664" i="1"/>
  <c r="J664" i="1"/>
  <c r="I664" i="1"/>
  <c r="T664" i="1" s="1"/>
  <c r="S663" i="1"/>
  <c r="R663" i="1"/>
  <c r="Q663" i="1"/>
  <c r="J663" i="1"/>
  <c r="I663" i="1"/>
  <c r="T663" i="1" s="1"/>
  <c r="S662" i="1"/>
  <c r="R662" i="1"/>
  <c r="Q662" i="1"/>
  <c r="J662" i="1"/>
  <c r="I662" i="1"/>
  <c r="T662" i="1" s="1"/>
  <c r="S661" i="1"/>
  <c r="R661" i="1"/>
  <c r="Q661" i="1"/>
  <c r="J661" i="1"/>
  <c r="I661" i="1"/>
  <c r="T661" i="1" s="1"/>
  <c r="S660" i="1"/>
  <c r="R660" i="1"/>
  <c r="Q660" i="1"/>
  <c r="J660" i="1"/>
  <c r="I660" i="1"/>
  <c r="T660" i="1" s="1"/>
  <c r="S659" i="1"/>
  <c r="R659" i="1"/>
  <c r="Q659" i="1"/>
  <c r="J659" i="1"/>
  <c r="I659" i="1"/>
  <c r="T659" i="1" s="1"/>
  <c r="S658" i="1"/>
  <c r="R658" i="1"/>
  <c r="Q658" i="1"/>
  <c r="J658" i="1"/>
  <c r="I658" i="1"/>
  <c r="T658" i="1" s="1"/>
  <c r="S657" i="1"/>
  <c r="R657" i="1"/>
  <c r="Q657" i="1"/>
  <c r="J657" i="1"/>
  <c r="I657" i="1"/>
  <c r="T657" i="1" s="1"/>
  <c r="S656" i="1"/>
  <c r="R656" i="1"/>
  <c r="Q656" i="1"/>
  <c r="J656" i="1"/>
  <c r="I656" i="1"/>
  <c r="T656" i="1" s="1"/>
  <c r="S655" i="1"/>
  <c r="R655" i="1"/>
  <c r="Q655" i="1"/>
  <c r="J655" i="1"/>
  <c r="I655" i="1"/>
  <c r="T655" i="1" s="1"/>
  <c r="S654" i="1"/>
  <c r="R654" i="1"/>
  <c r="Q654" i="1"/>
  <c r="J654" i="1"/>
  <c r="I654" i="1"/>
  <c r="T654" i="1" s="1"/>
  <c r="S653" i="1"/>
  <c r="R653" i="1"/>
  <c r="Q653" i="1"/>
  <c r="J653" i="1"/>
  <c r="I653" i="1"/>
  <c r="T653" i="1" s="1"/>
  <c r="S652" i="1"/>
  <c r="R652" i="1"/>
  <c r="Q652" i="1"/>
  <c r="J652" i="1"/>
  <c r="I652" i="1"/>
  <c r="T652" i="1" s="1"/>
  <c r="S651" i="1"/>
  <c r="R651" i="1"/>
  <c r="Q651" i="1"/>
  <c r="J651" i="1"/>
  <c r="I651" i="1"/>
  <c r="T651" i="1" s="1"/>
  <c r="S650" i="1"/>
  <c r="R650" i="1"/>
  <c r="Q650" i="1"/>
  <c r="J650" i="1"/>
  <c r="I650" i="1"/>
  <c r="T650" i="1" s="1"/>
  <c r="S649" i="1"/>
  <c r="R649" i="1"/>
  <c r="Q649" i="1"/>
  <c r="J649" i="1"/>
  <c r="I649" i="1"/>
  <c r="T649" i="1" s="1"/>
  <c r="S648" i="1"/>
  <c r="R648" i="1"/>
  <c r="Q648" i="1"/>
  <c r="J648" i="1"/>
  <c r="I648" i="1"/>
  <c r="T648" i="1" s="1"/>
  <c r="S647" i="1"/>
  <c r="R647" i="1"/>
  <c r="Q647" i="1"/>
  <c r="J647" i="1"/>
  <c r="I647" i="1"/>
  <c r="T647" i="1" s="1"/>
  <c r="S646" i="1"/>
  <c r="R646" i="1"/>
  <c r="Q646" i="1"/>
  <c r="J646" i="1"/>
  <c r="I646" i="1"/>
  <c r="T646" i="1" s="1"/>
  <c r="S645" i="1"/>
  <c r="R645" i="1"/>
  <c r="Q645" i="1"/>
  <c r="J645" i="1"/>
  <c r="I645" i="1"/>
  <c r="T645" i="1" s="1"/>
  <c r="S644" i="1"/>
  <c r="R644" i="1"/>
  <c r="Q644" i="1"/>
  <c r="J644" i="1"/>
  <c r="I644" i="1"/>
  <c r="T644" i="1" s="1"/>
  <c r="S643" i="1"/>
  <c r="R643" i="1"/>
  <c r="Q643" i="1"/>
  <c r="J643" i="1"/>
  <c r="I643" i="1"/>
  <c r="T643" i="1" s="1"/>
  <c r="S642" i="1"/>
  <c r="R642" i="1"/>
  <c r="Q642" i="1"/>
  <c r="J642" i="1"/>
  <c r="I642" i="1"/>
  <c r="T642" i="1" s="1"/>
  <c r="S641" i="1"/>
  <c r="R641" i="1"/>
  <c r="Q641" i="1"/>
  <c r="J641" i="1"/>
  <c r="I641" i="1"/>
  <c r="T641" i="1" s="1"/>
  <c r="S640" i="1"/>
  <c r="R640" i="1"/>
  <c r="Q640" i="1"/>
  <c r="J640" i="1"/>
  <c r="I640" i="1"/>
  <c r="T640" i="1" s="1"/>
  <c r="S639" i="1"/>
  <c r="R639" i="1"/>
  <c r="Q639" i="1"/>
  <c r="J639" i="1"/>
  <c r="I639" i="1"/>
  <c r="T639" i="1" s="1"/>
  <c r="S638" i="1"/>
  <c r="R638" i="1"/>
  <c r="Q638" i="1"/>
  <c r="J638" i="1"/>
  <c r="I638" i="1"/>
  <c r="T638" i="1" s="1"/>
  <c r="S637" i="1"/>
  <c r="R637" i="1"/>
  <c r="Q637" i="1"/>
  <c r="J637" i="1"/>
  <c r="I637" i="1"/>
  <c r="T637" i="1" s="1"/>
  <c r="S636" i="1"/>
  <c r="R636" i="1"/>
  <c r="Q636" i="1"/>
  <c r="J636" i="1"/>
  <c r="I636" i="1"/>
  <c r="T636" i="1" s="1"/>
  <c r="S635" i="1"/>
  <c r="R635" i="1"/>
  <c r="Q635" i="1"/>
  <c r="J635" i="1"/>
  <c r="I635" i="1"/>
  <c r="T635" i="1" s="1"/>
  <c r="S634" i="1"/>
  <c r="R634" i="1"/>
  <c r="Q634" i="1"/>
  <c r="J634" i="1"/>
  <c r="I634" i="1"/>
  <c r="T634" i="1" s="1"/>
  <c r="S633" i="1"/>
  <c r="R633" i="1"/>
  <c r="Q633" i="1"/>
  <c r="J633" i="1"/>
  <c r="I633" i="1"/>
  <c r="T633" i="1" s="1"/>
  <c r="S632" i="1"/>
  <c r="R632" i="1"/>
  <c r="Q632" i="1"/>
  <c r="J632" i="1"/>
  <c r="I632" i="1"/>
  <c r="T632" i="1" s="1"/>
  <c r="S631" i="1"/>
  <c r="R631" i="1"/>
  <c r="Q631" i="1"/>
  <c r="J631" i="1"/>
  <c r="I631" i="1"/>
  <c r="T631" i="1" s="1"/>
  <c r="S630" i="1"/>
  <c r="R630" i="1"/>
  <c r="Q630" i="1"/>
  <c r="J630" i="1"/>
  <c r="I630" i="1"/>
  <c r="T630" i="1" s="1"/>
  <c r="S629" i="1"/>
  <c r="R629" i="1"/>
  <c r="Q629" i="1"/>
  <c r="J629" i="1"/>
  <c r="I629" i="1"/>
  <c r="T629" i="1" s="1"/>
  <c r="S628" i="1"/>
  <c r="R628" i="1"/>
  <c r="Q628" i="1"/>
  <c r="J628" i="1"/>
  <c r="I628" i="1"/>
  <c r="T628" i="1" s="1"/>
  <c r="S627" i="1"/>
  <c r="R627" i="1"/>
  <c r="Q627" i="1"/>
  <c r="J627" i="1"/>
  <c r="I627" i="1"/>
  <c r="T627" i="1" s="1"/>
  <c r="S626" i="1"/>
  <c r="R626" i="1"/>
  <c r="Q626" i="1"/>
  <c r="J626" i="1"/>
  <c r="I626" i="1"/>
  <c r="T626" i="1" s="1"/>
  <c r="S625" i="1"/>
  <c r="R625" i="1"/>
  <c r="Q625" i="1"/>
  <c r="J625" i="1"/>
  <c r="I625" i="1"/>
  <c r="T625" i="1" s="1"/>
  <c r="S624" i="1"/>
  <c r="R624" i="1"/>
  <c r="Q624" i="1"/>
  <c r="J624" i="1"/>
  <c r="I624" i="1"/>
  <c r="T624" i="1" s="1"/>
  <c r="S623" i="1"/>
  <c r="R623" i="1"/>
  <c r="Q623" i="1"/>
  <c r="J623" i="1"/>
  <c r="I623" i="1"/>
  <c r="T623" i="1" s="1"/>
  <c r="S622" i="1"/>
  <c r="R622" i="1"/>
  <c r="Q622" i="1"/>
  <c r="J622" i="1"/>
  <c r="I622" i="1"/>
  <c r="T622" i="1" s="1"/>
  <c r="S621" i="1"/>
  <c r="R621" i="1"/>
  <c r="Q621" i="1"/>
  <c r="J621" i="1"/>
  <c r="I621" i="1"/>
  <c r="T621" i="1" s="1"/>
  <c r="S620" i="1"/>
  <c r="R620" i="1"/>
  <c r="Q620" i="1"/>
  <c r="J620" i="1"/>
  <c r="I620" i="1"/>
  <c r="T620" i="1" s="1"/>
  <c r="S619" i="1"/>
  <c r="R619" i="1"/>
  <c r="Q619" i="1"/>
  <c r="J619" i="1"/>
  <c r="I619" i="1"/>
  <c r="T619" i="1" s="1"/>
  <c r="S618" i="1"/>
  <c r="R618" i="1"/>
  <c r="Q618" i="1"/>
  <c r="J618" i="1"/>
  <c r="I618" i="1"/>
  <c r="T618" i="1" s="1"/>
  <c r="S617" i="1"/>
  <c r="R617" i="1"/>
  <c r="Q617" i="1"/>
  <c r="J617" i="1"/>
  <c r="I617" i="1"/>
  <c r="T617" i="1" s="1"/>
  <c r="S616" i="1"/>
  <c r="R616" i="1"/>
  <c r="Q616" i="1"/>
  <c r="J616" i="1"/>
  <c r="I616" i="1"/>
  <c r="T616" i="1" s="1"/>
  <c r="S615" i="1"/>
  <c r="R615" i="1"/>
  <c r="Q615" i="1"/>
  <c r="J615" i="1"/>
  <c r="I615" i="1"/>
  <c r="T615" i="1" s="1"/>
  <c r="S614" i="1"/>
  <c r="R614" i="1"/>
  <c r="Q614" i="1"/>
  <c r="J614" i="1"/>
  <c r="I614" i="1"/>
  <c r="T614" i="1" s="1"/>
  <c r="S613" i="1"/>
  <c r="R613" i="1"/>
  <c r="Q613" i="1"/>
  <c r="J613" i="1"/>
  <c r="I613" i="1"/>
  <c r="T613" i="1" s="1"/>
  <c r="S612" i="1"/>
  <c r="R612" i="1"/>
  <c r="Q612" i="1"/>
  <c r="J612" i="1"/>
  <c r="I612" i="1"/>
  <c r="T612" i="1" s="1"/>
  <c r="S611" i="1"/>
  <c r="R611" i="1"/>
  <c r="Q611" i="1"/>
  <c r="J611" i="1"/>
  <c r="I611" i="1"/>
  <c r="T611" i="1" s="1"/>
  <c r="S610" i="1"/>
  <c r="R610" i="1"/>
  <c r="Q610" i="1"/>
  <c r="J610" i="1"/>
  <c r="I610" i="1"/>
  <c r="T610" i="1" s="1"/>
  <c r="S609" i="1"/>
  <c r="R609" i="1"/>
  <c r="Q609" i="1"/>
  <c r="J609" i="1"/>
  <c r="I609" i="1"/>
  <c r="T609" i="1" s="1"/>
  <c r="S608" i="1"/>
  <c r="R608" i="1"/>
  <c r="Q608" i="1"/>
  <c r="J608" i="1"/>
  <c r="I608" i="1"/>
  <c r="T608" i="1" s="1"/>
  <c r="S607" i="1"/>
  <c r="R607" i="1"/>
  <c r="Q607" i="1"/>
  <c r="J607" i="1"/>
  <c r="I607" i="1"/>
  <c r="T607" i="1" s="1"/>
  <c r="S606" i="1"/>
  <c r="R606" i="1"/>
  <c r="Q606" i="1"/>
  <c r="J606" i="1"/>
  <c r="I606" i="1"/>
  <c r="T606" i="1" s="1"/>
  <c r="S605" i="1"/>
  <c r="R605" i="1"/>
  <c r="Q605" i="1"/>
  <c r="J605" i="1"/>
  <c r="I605" i="1"/>
  <c r="T605" i="1" s="1"/>
  <c r="S604" i="1"/>
  <c r="R604" i="1"/>
  <c r="Q604" i="1"/>
  <c r="J604" i="1"/>
  <c r="I604" i="1"/>
  <c r="T604" i="1" s="1"/>
  <c r="S603" i="1"/>
  <c r="R603" i="1"/>
  <c r="Q603" i="1"/>
  <c r="J603" i="1"/>
  <c r="I603" i="1"/>
  <c r="T603" i="1" s="1"/>
  <c r="S602" i="1"/>
  <c r="R602" i="1"/>
  <c r="Q602" i="1"/>
  <c r="J602" i="1"/>
  <c r="I602" i="1"/>
  <c r="T602" i="1" s="1"/>
  <c r="S601" i="1"/>
  <c r="R601" i="1"/>
  <c r="Q601" i="1"/>
  <c r="J601" i="1"/>
  <c r="I601" i="1"/>
  <c r="T601" i="1" s="1"/>
  <c r="S600" i="1"/>
  <c r="R600" i="1"/>
  <c r="Q600" i="1"/>
  <c r="J600" i="1"/>
  <c r="I600" i="1"/>
  <c r="T600" i="1" s="1"/>
  <c r="S599" i="1"/>
  <c r="R599" i="1"/>
  <c r="Q599" i="1"/>
  <c r="J599" i="1"/>
  <c r="I599" i="1"/>
  <c r="T599" i="1" s="1"/>
  <c r="S598" i="1"/>
  <c r="R598" i="1"/>
  <c r="Q598" i="1"/>
  <c r="J598" i="1"/>
  <c r="I598" i="1"/>
  <c r="T598" i="1" s="1"/>
  <c r="S597" i="1"/>
  <c r="R597" i="1"/>
  <c r="Q597" i="1"/>
  <c r="J597" i="1"/>
  <c r="I597" i="1"/>
  <c r="T597" i="1" s="1"/>
  <c r="S596" i="1"/>
  <c r="R596" i="1"/>
  <c r="Q596" i="1"/>
  <c r="J596" i="1"/>
  <c r="I596" i="1"/>
  <c r="T596" i="1" s="1"/>
  <c r="S595" i="1"/>
  <c r="R595" i="1"/>
  <c r="Q595" i="1"/>
  <c r="J595" i="1"/>
  <c r="I595" i="1"/>
  <c r="T595" i="1" s="1"/>
  <c r="S594" i="1"/>
  <c r="R594" i="1"/>
  <c r="Q594" i="1"/>
  <c r="J594" i="1"/>
  <c r="I594" i="1"/>
  <c r="T594" i="1" s="1"/>
  <c r="S593" i="1"/>
  <c r="R593" i="1"/>
  <c r="Q593" i="1"/>
  <c r="J593" i="1"/>
  <c r="I593" i="1"/>
  <c r="T593" i="1" s="1"/>
  <c r="S592" i="1"/>
  <c r="R592" i="1"/>
  <c r="Q592" i="1"/>
  <c r="J592" i="1"/>
  <c r="I592" i="1"/>
  <c r="T592" i="1" s="1"/>
  <c r="S591" i="1"/>
  <c r="R591" i="1"/>
  <c r="Q591" i="1"/>
  <c r="J591" i="1"/>
  <c r="I591" i="1"/>
  <c r="T591" i="1" s="1"/>
  <c r="S590" i="1"/>
  <c r="R590" i="1"/>
  <c r="Q590" i="1"/>
  <c r="J590" i="1"/>
  <c r="I590" i="1"/>
  <c r="T590" i="1" s="1"/>
  <c r="S589" i="1"/>
  <c r="R589" i="1"/>
  <c r="Q589" i="1"/>
  <c r="J589" i="1"/>
  <c r="I589" i="1"/>
  <c r="T589" i="1" s="1"/>
  <c r="S588" i="1"/>
  <c r="R588" i="1"/>
  <c r="Q588" i="1"/>
  <c r="J588" i="1"/>
  <c r="I588" i="1"/>
  <c r="T588" i="1" s="1"/>
  <c r="S587" i="1"/>
  <c r="R587" i="1"/>
  <c r="Q587" i="1"/>
  <c r="J587" i="1"/>
  <c r="I587" i="1"/>
  <c r="T587" i="1" s="1"/>
  <c r="S586" i="1"/>
  <c r="R586" i="1"/>
  <c r="Q586" i="1"/>
  <c r="J586" i="1"/>
  <c r="I586" i="1"/>
  <c r="T586" i="1" s="1"/>
  <c r="S585" i="1"/>
  <c r="R585" i="1"/>
  <c r="Q585" i="1"/>
  <c r="J585" i="1"/>
  <c r="I585" i="1"/>
  <c r="T585" i="1" s="1"/>
  <c r="S584" i="1"/>
  <c r="R584" i="1"/>
  <c r="Q584" i="1"/>
  <c r="J584" i="1"/>
  <c r="I584" i="1"/>
  <c r="T584" i="1" s="1"/>
  <c r="S583" i="1"/>
  <c r="R583" i="1"/>
  <c r="Q583" i="1"/>
  <c r="J583" i="1"/>
  <c r="I583" i="1"/>
  <c r="T583" i="1" s="1"/>
  <c r="S582" i="1"/>
  <c r="R582" i="1"/>
  <c r="Q582" i="1"/>
  <c r="J582" i="1"/>
  <c r="I582" i="1"/>
  <c r="T582" i="1" s="1"/>
  <c r="S581" i="1"/>
  <c r="R581" i="1"/>
  <c r="Q581" i="1"/>
  <c r="J581" i="1"/>
  <c r="I581" i="1"/>
  <c r="T581" i="1" s="1"/>
  <c r="S580" i="1"/>
  <c r="R580" i="1"/>
  <c r="Q580" i="1"/>
  <c r="J580" i="1"/>
  <c r="I580" i="1"/>
  <c r="T580" i="1" s="1"/>
  <c r="S579" i="1"/>
  <c r="R579" i="1"/>
  <c r="Q579" i="1"/>
  <c r="J579" i="1"/>
  <c r="I579" i="1"/>
  <c r="T579" i="1" s="1"/>
  <c r="S578" i="1"/>
  <c r="R578" i="1"/>
  <c r="Q578" i="1"/>
  <c r="J578" i="1"/>
  <c r="I578" i="1"/>
  <c r="T578" i="1" s="1"/>
  <c r="S577" i="1"/>
  <c r="R577" i="1"/>
  <c r="Q577" i="1"/>
  <c r="J577" i="1"/>
  <c r="I577" i="1"/>
  <c r="T577" i="1" s="1"/>
  <c r="S576" i="1"/>
  <c r="R576" i="1"/>
  <c r="Q576" i="1"/>
  <c r="J576" i="1"/>
  <c r="I576" i="1"/>
  <c r="T576" i="1" s="1"/>
  <c r="S575" i="1"/>
  <c r="R575" i="1"/>
  <c r="Q575" i="1"/>
  <c r="J575" i="1"/>
  <c r="I575" i="1"/>
  <c r="T575" i="1" s="1"/>
  <c r="S574" i="1"/>
  <c r="R574" i="1"/>
  <c r="Q574" i="1"/>
  <c r="J574" i="1"/>
  <c r="I574" i="1"/>
  <c r="T574" i="1" s="1"/>
  <c r="S573" i="1"/>
  <c r="R573" i="1"/>
  <c r="Q573" i="1"/>
  <c r="J573" i="1"/>
  <c r="I573" i="1"/>
  <c r="T573" i="1" s="1"/>
  <c r="S572" i="1"/>
  <c r="R572" i="1"/>
  <c r="Q572" i="1"/>
  <c r="J572" i="1"/>
  <c r="I572" i="1"/>
  <c r="T572" i="1" s="1"/>
  <c r="S571" i="1"/>
  <c r="R571" i="1"/>
  <c r="Q571" i="1"/>
  <c r="J571" i="1"/>
  <c r="I571" i="1"/>
  <c r="T571" i="1" s="1"/>
  <c r="S570" i="1"/>
  <c r="R570" i="1"/>
  <c r="Q570" i="1"/>
  <c r="J570" i="1"/>
  <c r="I570" i="1"/>
  <c r="T570" i="1" s="1"/>
  <c r="S569" i="1"/>
  <c r="R569" i="1"/>
  <c r="Q569" i="1"/>
  <c r="J569" i="1"/>
  <c r="I569" i="1"/>
  <c r="T569" i="1" s="1"/>
  <c r="S568" i="1"/>
  <c r="R568" i="1"/>
  <c r="Q568" i="1"/>
  <c r="J568" i="1"/>
  <c r="I568" i="1"/>
  <c r="T568" i="1" s="1"/>
  <c r="S567" i="1"/>
  <c r="R567" i="1"/>
  <c r="Q567" i="1"/>
  <c r="J567" i="1"/>
  <c r="I567" i="1"/>
  <c r="T567" i="1" s="1"/>
  <c r="S566" i="1"/>
  <c r="R566" i="1"/>
  <c r="Q566" i="1"/>
  <c r="J566" i="1"/>
  <c r="I566" i="1"/>
  <c r="T566" i="1" s="1"/>
  <c r="S565" i="1"/>
  <c r="R565" i="1"/>
  <c r="Q565" i="1"/>
  <c r="J565" i="1"/>
  <c r="I565" i="1"/>
  <c r="T565" i="1" s="1"/>
  <c r="S564" i="1"/>
  <c r="R564" i="1"/>
  <c r="Q564" i="1"/>
  <c r="J564" i="1"/>
  <c r="I564" i="1"/>
  <c r="T564" i="1" s="1"/>
  <c r="S563" i="1"/>
  <c r="R563" i="1"/>
  <c r="Q563" i="1"/>
  <c r="J563" i="1"/>
  <c r="I563" i="1"/>
  <c r="T563" i="1" s="1"/>
  <c r="S562" i="1"/>
  <c r="R562" i="1"/>
  <c r="Q562" i="1"/>
  <c r="J562" i="1"/>
  <c r="I562" i="1"/>
  <c r="T562" i="1" s="1"/>
  <c r="S561" i="1"/>
  <c r="R561" i="1"/>
  <c r="Q561" i="1"/>
  <c r="J561" i="1"/>
  <c r="I561" i="1"/>
  <c r="T561" i="1" s="1"/>
  <c r="S560" i="1"/>
  <c r="R560" i="1"/>
  <c r="Q560" i="1"/>
  <c r="J560" i="1"/>
  <c r="I560" i="1"/>
  <c r="T560" i="1" s="1"/>
  <c r="S559" i="1"/>
  <c r="R559" i="1"/>
  <c r="Q559" i="1"/>
  <c r="J559" i="1"/>
  <c r="I559" i="1"/>
  <c r="T559" i="1" s="1"/>
  <c r="S558" i="1"/>
  <c r="R558" i="1"/>
  <c r="Q558" i="1"/>
  <c r="J558" i="1"/>
  <c r="I558" i="1"/>
  <c r="T558" i="1" s="1"/>
  <c r="S557" i="1"/>
  <c r="R557" i="1"/>
  <c r="Q557" i="1"/>
  <c r="J557" i="1"/>
  <c r="I557" i="1"/>
  <c r="T557" i="1" s="1"/>
  <c r="S556" i="1"/>
  <c r="R556" i="1"/>
  <c r="Q556" i="1"/>
  <c r="J556" i="1"/>
  <c r="I556" i="1"/>
  <c r="T556" i="1" s="1"/>
  <c r="S555" i="1"/>
  <c r="R555" i="1"/>
  <c r="Q555" i="1"/>
  <c r="J555" i="1"/>
  <c r="I555" i="1"/>
  <c r="T555" i="1" s="1"/>
  <c r="S554" i="1"/>
  <c r="R554" i="1"/>
  <c r="Q554" i="1"/>
  <c r="J554" i="1"/>
  <c r="I554" i="1"/>
  <c r="T554" i="1" s="1"/>
  <c r="S553" i="1"/>
  <c r="R553" i="1"/>
  <c r="Q553" i="1"/>
  <c r="J553" i="1"/>
  <c r="I553" i="1"/>
  <c r="T553" i="1" s="1"/>
  <c r="S552" i="1"/>
  <c r="R552" i="1"/>
  <c r="Q552" i="1"/>
  <c r="J552" i="1"/>
  <c r="I552" i="1"/>
  <c r="T552" i="1" s="1"/>
  <c r="S551" i="1"/>
  <c r="R551" i="1"/>
  <c r="Q551" i="1"/>
  <c r="J551" i="1"/>
  <c r="I551" i="1"/>
  <c r="T551" i="1" s="1"/>
  <c r="S550" i="1"/>
  <c r="R550" i="1"/>
  <c r="Q550" i="1"/>
  <c r="J550" i="1"/>
  <c r="I550" i="1"/>
  <c r="T550" i="1" s="1"/>
  <c r="S549" i="1"/>
  <c r="R549" i="1"/>
  <c r="Q549" i="1"/>
  <c r="J549" i="1"/>
  <c r="I549" i="1"/>
  <c r="T549" i="1" s="1"/>
  <c r="S548" i="1"/>
  <c r="R548" i="1"/>
  <c r="Q548" i="1"/>
  <c r="J548" i="1"/>
  <c r="I548" i="1"/>
  <c r="T548" i="1" s="1"/>
  <c r="S547" i="1"/>
  <c r="R547" i="1"/>
  <c r="Q547" i="1"/>
  <c r="J547" i="1"/>
  <c r="I547" i="1"/>
  <c r="T547" i="1" s="1"/>
  <c r="S546" i="1"/>
  <c r="R546" i="1"/>
  <c r="Q546" i="1"/>
  <c r="J546" i="1"/>
  <c r="I546" i="1"/>
  <c r="T546" i="1" s="1"/>
  <c r="S545" i="1"/>
  <c r="R545" i="1"/>
  <c r="Q545" i="1"/>
  <c r="J545" i="1"/>
  <c r="I545" i="1"/>
  <c r="T545" i="1" s="1"/>
  <c r="S544" i="1"/>
  <c r="R544" i="1"/>
  <c r="Q544" i="1"/>
  <c r="J544" i="1"/>
  <c r="I544" i="1"/>
  <c r="T544" i="1" s="1"/>
  <c r="S543" i="1"/>
  <c r="R543" i="1"/>
  <c r="Q543" i="1"/>
  <c r="J543" i="1"/>
  <c r="I543" i="1"/>
  <c r="T543" i="1" s="1"/>
  <c r="S542" i="1"/>
  <c r="R542" i="1"/>
  <c r="Q542" i="1"/>
  <c r="J542" i="1"/>
  <c r="I542" i="1"/>
  <c r="T542" i="1" s="1"/>
  <c r="S541" i="1"/>
  <c r="R541" i="1"/>
  <c r="Q541" i="1"/>
  <c r="J541" i="1"/>
  <c r="I541" i="1"/>
  <c r="T541" i="1" s="1"/>
  <c r="S540" i="1"/>
  <c r="R540" i="1"/>
  <c r="Q540" i="1"/>
  <c r="J540" i="1"/>
  <c r="I540" i="1"/>
  <c r="T540" i="1" s="1"/>
  <c r="S539" i="1"/>
  <c r="R539" i="1"/>
  <c r="Q539" i="1"/>
  <c r="J539" i="1"/>
  <c r="I539" i="1"/>
  <c r="T539" i="1" s="1"/>
  <c r="S538" i="1"/>
  <c r="R538" i="1"/>
  <c r="Q538" i="1"/>
  <c r="J538" i="1"/>
  <c r="I538" i="1"/>
  <c r="T538" i="1" s="1"/>
  <c r="S537" i="1"/>
  <c r="R537" i="1"/>
  <c r="Q537" i="1"/>
  <c r="J537" i="1"/>
  <c r="I537" i="1"/>
  <c r="T537" i="1" s="1"/>
  <c r="S536" i="1"/>
  <c r="R536" i="1"/>
  <c r="Q536" i="1"/>
  <c r="J536" i="1"/>
  <c r="I536" i="1"/>
  <c r="T536" i="1" s="1"/>
  <c r="S535" i="1"/>
  <c r="R535" i="1"/>
  <c r="Q535" i="1"/>
  <c r="J535" i="1"/>
  <c r="I535" i="1"/>
  <c r="T535" i="1" s="1"/>
  <c r="S534" i="1"/>
  <c r="R534" i="1"/>
  <c r="Q534" i="1"/>
  <c r="J534" i="1"/>
  <c r="I534" i="1"/>
  <c r="T534" i="1" s="1"/>
  <c r="S533" i="1"/>
  <c r="R533" i="1"/>
  <c r="Q533" i="1"/>
  <c r="J533" i="1"/>
  <c r="I533" i="1"/>
  <c r="T533" i="1" s="1"/>
  <c r="S532" i="1"/>
  <c r="R532" i="1"/>
  <c r="Q532" i="1"/>
  <c r="J532" i="1"/>
  <c r="I532" i="1"/>
  <c r="T532" i="1" s="1"/>
  <c r="S531" i="1"/>
  <c r="R531" i="1"/>
  <c r="Q531" i="1"/>
  <c r="J531" i="1"/>
  <c r="I531" i="1"/>
  <c r="T531" i="1" s="1"/>
  <c r="S530" i="1"/>
  <c r="R530" i="1"/>
  <c r="Q530" i="1"/>
  <c r="J530" i="1"/>
  <c r="I530" i="1"/>
  <c r="T530" i="1" s="1"/>
  <c r="S529" i="1"/>
  <c r="R529" i="1"/>
  <c r="Q529" i="1"/>
  <c r="J529" i="1"/>
  <c r="I529" i="1"/>
  <c r="T529" i="1" s="1"/>
  <c r="S528" i="1"/>
  <c r="R528" i="1"/>
  <c r="Q528" i="1"/>
  <c r="J528" i="1"/>
  <c r="I528" i="1"/>
  <c r="T528" i="1" s="1"/>
  <c r="S527" i="1"/>
  <c r="R527" i="1"/>
  <c r="Q527" i="1"/>
  <c r="J527" i="1"/>
  <c r="I527" i="1"/>
  <c r="T527" i="1" s="1"/>
  <c r="S526" i="1"/>
  <c r="R526" i="1"/>
  <c r="Q526" i="1"/>
  <c r="J526" i="1"/>
  <c r="I526" i="1"/>
  <c r="T526" i="1" s="1"/>
  <c r="S525" i="1"/>
  <c r="R525" i="1"/>
  <c r="Q525" i="1"/>
  <c r="J525" i="1"/>
  <c r="I525" i="1"/>
  <c r="T525" i="1" s="1"/>
  <c r="S524" i="1"/>
  <c r="R524" i="1"/>
  <c r="Q524" i="1"/>
  <c r="J524" i="1"/>
  <c r="I524" i="1"/>
  <c r="T524" i="1" s="1"/>
  <c r="S523" i="1"/>
  <c r="R523" i="1"/>
  <c r="Q523" i="1"/>
  <c r="J523" i="1"/>
  <c r="I523" i="1"/>
  <c r="T523" i="1" s="1"/>
  <c r="S522" i="1"/>
  <c r="R522" i="1"/>
  <c r="Q522" i="1"/>
  <c r="J522" i="1"/>
  <c r="I522" i="1"/>
  <c r="T522" i="1" s="1"/>
  <c r="S521" i="1"/>
  <c r="R521" i="1"/>
  <c r="Q521" i="1"/>
  <c r="J521" i="1"/>
  <c r="I521" i="1"/>
  <c r="T521" i="1" s="1"/>
  <c r="S520" i="1"/>
  <c r="R520" i="1"/>
  <c r="Q520" i="1"/>
  <c r="J520" i="1"/>
  <c r="I520" i="1"/>
  <c r="T520" i="1" s="1"/>
  <c r="S519" i="1"/>
  <c r="R519" i="1"/>
  <c r="Q519" i="1"/>
  <c r="J519" i="1"/>
  <c r="I519" i="1"/>
  <c r="T519" i="1" s="1"/>
  <c r="S518" i="1"/>
  <c r="R518" i="1"/>
  <c r="Q518" i="1"/>
  <c r="J518" i="1"/>
  <c r="I518" i="1"/>
  <c r="T518" i="1" s="1"/>
  <c r="S517" i="1"/>
  <c r="R517" i="1"/>
  <c r="Q517" i="1"/>
  <c r="J517" i="1"/>
  <c r="I517" i="1"/>
  <c r="T517" i="1" s="1"/>
  <c r="S516" i="1"/>
  <c r="R516" i="1"/>
  <c r="Q516" i="1"/>
  <c r="J516" i="1"/>
  <c r="I516" i="1"/>
  <c r="T516" i="1" s="1"/>
  <c r="S515" i="1"/>
  <c r="R515" i="1"/>
  <c r="Q515" i="1"/>
  <c r="J515" i="1"/>
  <c r="I515" i="1"/>
  <c r="T515" i="1" s="1"/>
  <c r="S514" i="1"/>
  <c r="R514" i="1"/>
  <c r="Q514" i="1"/>
  <c r="J514" i="1"/>
  <c r="I514" i="1"/>
  <c r="T514" i="1" s="1"/>
  <c r="S513" i="1"/>
  <c r="R513" i="1"/>
  <c r="Q513" i="1"/>
  <c r="J513" i="1"/>
  <c r="I513" i="1"/>
  <c r="T513" i="1" s="1"/>
  <c r="S512" i="1"/>
  <c r="R512" i="1"/>
  <c r="Q512" i="1"/>
  <c r="J512" i="1"/>
  <c r="I512" i="1"/>
  <c r="T512" i="1" s="1"/>
  <c r="S511" i="1"/>
  <c r="R511" i="1"/>
  <c r="Q511" i="1"/>
  <c r="J511" i="1"/>
  <c r="I511" i="1"/>
  <c r="T511" i="1" s="1"/>
  <c r="S510" i="1"/>
  <c r="R510" i="1"/>
  <c r="Q510" i="1"/>
  <c r="J510" i="1"/>
  <c r="I510" i="1"/>
  <c r="T510" i="1" s="1"/>
  <c r="S509" i="1"/>
  <c r="R509" i="1"/>
  <c r="Q509" i="1"/>
  <c r="J509" i="1"/>
  <c r="I509" i="1"/>
  <c r="T509" i="1" s="1"/>
  <c r="S508" i="1"/>
  <c r="R508" i="1"/>
  <c r="Q508" i="1"/>
  <c r="J508" i="1"/>
  <c r="I508" i="1"/>
  <c r="T508" i="1" s="1"/>
  <c r="S507" i="1"/>
  <c r="R507" i="1"/>
  <c r="Q507" i="1"/>
  <c r="J507" i="1"/>
  <c r="I507" i="1"/>
  <c r="T507" i="1" s="1"/>
  <c r="S506" i="1"/>
  <c r="R506" i="1"/>
  <c r="Q506" i="1"/>
  <c r="J506" i="1"/>
  <c r="I506" i="1"/>
  <c r="T506" i="1" s="1"/>
  <c r="S505" i="1"/>
  <c r="R505" i="1"/>
  <c r="Q505" i="1"/>
  <c r="J505" i="1"/>
  <c r="I505" i="1"/>
  <c r="T505" i="1" s="1"/>
  <c r="S504" i="1"/>
  <c r="R504" i="1"/>
  <c r="Q504" i="1"/>
  <c r="J504" i="1"/>
  <c r="I504" i="1"/>
  <c r="T504" i="1" s="1"/>
  <c r="S503" i="1"/>
  <c r="R503" i="1"/>
  <c r="Q503" i="1"/>
  <c r="J503" i="1"/>
  <c r="I503" i="1"/>
  <c r="T503" i="1" s="1"/>
  <c r="S502" i="1"/>
  <c r="R502" i="1"/>
  <c r="Q502" i="1"/>
  <c r="J502" i="1"/>
  <c r="I502" i="1"/>
  <c r="T502" i="1" s="1"/>
  <c r="S501" i="1"/>
  <c r="R501" i="1"/>
  <c r="Q501" i="1"/>
  <c r="J501" i="1"/>
  <c r="I501" i="1"/>
  <c r="T501" i="1" s="1"/>
  <c r="S500" i="1"/>
  <c r="R500" i="1"/>
  <c r="Q500" i="1"/>
  <c r="J500" i="1"/>
  <c r="I500" i="1"/>
  <c r="T500" i="1" s="1"/>
  <c r="S499" i="1"/>
  <c r="R499" i="1"/>
  <c r="Q499" i="1"/>
  <c r="J499" i="1"/>
  <c r="I499" i="1"/>
  <c r="T499" i="1" s="1"/>
  <c r="S498" i="1"/>
  <c r="R498" i="1"/>
  <c r="Q498" i="1"/>
  <c r="J498" i="1"/>
  <c r="I498" i="1"/>
  <c r="T498" i="1" s="1"/>
  <c r="S497" i="1"/>
  <c r="R497" i="1"/>
  <c r="Q497" i="1"/>
  <c r="J497" i="1"/>
  <c r="I497" i="1"/>
  <c r="T497" i="1" s="1"/>
  <c r="S496" i="1"/>
  <c r="R496" i="1"/>
  <c r="Q496" i="1"/>
  <c r="J496" i="1"/>
  <c r="I496" i="1"/>
  <c r="T496" i="1" s="1"/>
  <c r="S495" i="1"/>
  <c r="R495" i="1"/>
  <c r="Q495" i="1"/>
  <c r="J495" i="1"/>
  <c r="I495" i="1"/>
  <c r="T495" i="1" s="1"/>
  <c r="S494" i="1"/>
  <c r="R494" i="1"/>
  <c r="Q494" i="1"/>
  <c r="J494" i="1"/>
  <c r="I494" i="1"/>
  <c r="T494" i="1" s="1"/>
  <c r="S493" i="1"/>
  <c r="R493" i="1"/>
  <c r="Q493" i="1"/>
  <c r="J493" i="1"/>
  <c r="I493" i="1"/>
  <c r="T493" i="1" s="1"/>
  <c r="S492" i="1"/>
  <c r="R492" i="1"/>
  <c r="Q492" i="1"/>
  <c r="J492" i="1"/>
  <c r="I492" i="1"/>
  <c r="T492" i="1" s="1"/>
  <c r="S491" i="1"/>
  <c r="R491" i="1"/>
  <c r="Q491" i="1"/>
  <c r="J491" i="1"/>
  <c r="I491" i="1"/>
  <c r="T491" i="1" s="1"/>
  <c r="S490" i="1"/>
  <c r="R490" i="1"/>
  <c r="Q490" i="1"/>
  <c r="J490" i="1"/>
  <c r="I490" i="1"/>
  <c r="T490" i="1" s="1"/>
  <c r="S489" i="1"/>
  <c r="R489" i="1"/>
  <c r="Q489" i="1"/>
  <c r="J489" i="1"/>
  <c r="I489" i="1"/>
  <c r="T489" i="1" s="1"/>
  <c r="S488" i="1"/>
  <c r="R488" i="1"/>
  <c r="Q488" i="1"/>
  <c r="J488" i="1"/>
  <c r="I488" i="1"/>
  <c r="T488" i="1" s="1"/>
  <c r="S487" i="1"/>
  <c r="R487" i="1"/>
  <c r="Q487" i="1"/>
  <c r="J487" i="1"/>
  <c r="I487" i="1"/>
  <c r="T487" i="1" s="1"/>
  <c r="S486" i="1"/>
  <c r="R486" i="1"/>
  <c r="Q486" i="1"/>
  <c r="J486" i="1"/>
  <c r="I486" i="1"/>
  <c r="T486" i="1" s="1"/>
  <c r="S485" i="1"/>
  <c r="R485" i="1"/>
  <c r="Q485" i="1"/>
  <c r="J485" i="1"/>
  <c r="I485" i="1"/>
  <c r="T485" i="1" s="1"/>
  <c r="S484" i="1"/>
  <c r="R484" i="1"/>
  <c r="Q484" i="1"/>
  <c r="J484" i="1"/>
  <c r="I484" i="1"/>
  <c r="T484" i="1" s="1"/>
  <c r="S483" i="1"/>
  <c r="R483" i="1"/>
  <c r="Q483" i="1"/>
  <c r="J483" i="1"/>
  <c r="I483" i="1"/>
  <c r="T483" i="1" s="1"/>
  <c r="S482" i="1"/>
  <c r="R482" i="1"/>
  <c r="Q482" i="1"/>
  <c r="J482" i="1"/>
  <c r="I482" i="1"/>
  <c r="T482" i="1" s="1"/>
  <c r="S481" i="1"/>
  <c r="R481" i="1"/>
  <c r="Q481" i="1"/>
  <c r="J481" i="1"/>
  <c r="I481" i="1"/>
  <c r="T481" i="1" s="1"/>
  <c r="S480" i="1"/>
  <c r="R480" i="1"/>
  <c r="Q480" i="1"/>
  <c r="J480" i="1"/>
  <c r="I480" i="1"/>
  <c r="T480" i="1" s="1"/>
  <c r="S479" i="1"/>
  <c r="R479" i="1"/>
  <c r="Q479" i="1"/>
  <c r="J479" i="1"/>
  <c r="I479" i="1"/>
  <c r="T479" i="1" s="1"/>
  <c r="S478" i="1"/>
  <c r="R478" i="1"/>
  <c r="Q478" i="1"/>
  <c r="J478" i="1"/>
  <c r="I478" i="1"/>
  <c r="T478" i="1" s="1"/>
  <c r="S477" i="1"/>
  <c r="R477" i="1"/>
  <c r="Q477" i="1"/>
  <c r="J477" i="1"/>
  <c r="I477" i="1"/>
  <c r="T477" i="1" s="1"/>
  <c r="S476" i="1"/>
  <c r="R476" i="1"/>
  <c r="Q476" i="1"/>
  <c r="J476" i="1"/>
  <c r="I476" i="1"/>
  <c r="T476" i="1" s="1"/>
  <c r="S475" i="1"/>
  <c r="R475" i="1"/>
  <c r="Q475" i="1"/>
  <c r="J475" i="1"/>
  <c r="I475" i="1"/>
  <c r="T475" i="1" s="1"/>
  <c r="S474" i="1"/>
  <c r="R474" i="1"/>
  <c r="Q474" i="1"/>
  <c r="J474" i="1"/>
  <c r="I474" i="1"/>
  <c r="T474" i="1" s="1"/>
  <c r="S473" i="1"/>
  <c r="R473" i="1"/>
  <c r="Q473" i="1"/>
  <c r="J473" i="1"/>
  <c r="I473" i="1"/>
  <c r="T473" i="1" s="1"/>
  <c r="S472" i="1"/>
  <c r="R472" i="1"/>
  <c r="Q472" i="1"/>
  <c r="J472" i="1"/>
  <c r="I472" i="1"/>
  <c r="T472" i="1" s="1"/>
  <c r="S471" i="1"/>
  <c r="R471" i="1"/>
  <c r="Q471" i="1"/>
  <c r="J471" i="1"/>
  <c r="I471" i="1"/>
  <c r="T471" i="1" s="1"/>
  <c r="S470" i="1"/>
  <c r="R470" i="1"/>
  <c r="Q470" i="1"/>
  <c r="J470" i="1"/>
  <c r="I470" i="1"/>
  <c r="T470" i="1" s="1"/>
  <c r="S469" i="1"/>
  <c r="R469" i="1"/>
  <c r="Q469" i="1"/>
  <c r="J469" i="1"/>
  <c r="I469" i="1"/>
  <c r="T469" i="1" s="1"/>
  <c r="S468" i="1"/>
  <c r="R468" i="1"/>
  <c r="Q468" i="1"/>
  <c r="J468" i="1"/>
  <c r="I468" i="1"/>
  <c r="T468" i="1" s="1"/>
  <c r="S467" i="1"/>
  <c r="R467" i="1"/>
  <c r="Q467" i="1"/>
  <c r="J467" i="1"/>
  <c r="I467" i="1"/>
  <c r="T467" i="1" s="1"/>
  <c r="S466" i="1"/>
  <c r="R466" i="1"/>
  <c r="Q466" i="1"/>
  <c r="J466" i="1"/>
  <c r="I466" i="1"/>
  <c r="T466" i="1" s="1"/>
  <c r="S465" i="1"/>
  <c r="R465" i="1"/>
  <c r="Q465" i="1"/>
  <c r="J465" i="1"/>
  <c r="I465" i="1"/>
  <c r="T465" i="1" s="1"/>
  <c r="S464" i="1"/>
  <c r="R464" i="1"/>
  <c r="Q464" i="1"/>
  <c r="J464" i="1"/>
  <c r="I464" i="1"/>
  <c r="T464" i="1" s="1"/>
  <c r="S463" i="1"/>
  <c r="R463" i="1"/>
  <c r="Q463" i="1"/>
  <c r="J463" i="1"/>
  <c r="I463" i="1"/>
  <c r="T463" i="1" s="1"/>
  <c r="S462" i="1"/>
  <c r="R462" i="1"/>
  <c r="Q462" i="1"/>
  <c r="J462" i="1"/>
  <c r="I462" i="1"/>
  <c r="T462" i="1" s="1"/>
  <c r="S461" i="1"/>
  <c r="R461" i="1"/>
  <c r="Q461" i="1"/>
  <c r="J461" i="1"/>
  <c r="I461" i="1"/>
  <c r="T461" i="1" s="1"/>
  <c r="S460" i="1"/>
  <c r="R460" i="1"/>
  <c r="Q460" i="1"/>
  <c r="J460" i="1"/>
  <c r="I460" i="1"/>
  <c r="T460" i="1" s="1"/>
  <c r="S459" i="1"/>
  <c r="R459" i="1"/>
  <c r="Q459" i="1"/>
  <c r="J459" i="1"/>
  <c r="I459" i="1"/>
  <c r="T459" i="1" s="1"/>
  <c r="S458" i="1"/>
  <c r="R458" i="1"/>
  <c r="Q458" i="1"/>
  <c r="J458" i="1"/>
  <c r="I458" i="1"/>
  <c r="T458" i="1" s="1"/>
  <c r="S457" i="1"/>
  <c r="R457" i="1"/>
  <c r="Q457" i="1"/>
  <c r="J457" i="1"/>
  <c r="I457" i="1"/>
  <c r="T457" i="1" s="1"/>
  <c r="S456" i="1"/>
  <c r="R456" i="1"/>
  <c r="Q456" i="1"/>
  <c r="J456" i="1"/>
  <c r="I456" i="1"/>
  <c r="T456" i="1" s="1"/>
  <c r="S455" i="1"/>
  <c r="R455" i="1"/>
  <c r="Q455" i="1"/>
  <c r="J455" i="1"/>
  <c r="I455" i="1"/>
  <c r="T455" i="1" s="1"/>
  <c r="S454" i="1"/>
  <c r="R454" i="1"/>
  <c r="Q454" i="1"/>
  <c r="J454" i="1"/>
  <c r="I454" i="1"/>
  <c r="T454" i="1" s="1"/>
  <c r="S453" i="1"/>
  <c r="R453" i="1"/>
  <c r="Q453" i="1"/>
  <c r="J453" i="1"/>
  <c r="I453" i="1"/>
  <c r="T453" i="1" s="1"/>
  <c r="S452" i="1"/>
  <c r="R452" i="1"/>
  <c r="Q452" i="1"/>
  <c r="J452" i="1"/>
  <c r="I452" i="1"/>
  <c r="T452" i="1" s="1"/>
  <c r="S451" i="1"/>
  <c r="R451" i="1"/>
  <c r="Q451" i="1"/>
  <c r="J451" i="1"/>
  <c r="I451" i="1"/>
  <c r="T451" i="1" s="1"/>
  <c r="S450" i="1"/>
  <c r="R450" i="1"/>
  <c r="Q450" i="1"/>
  <c r="J450" i="1"/>
  <c r="I450" i="1"/>
  <c r="T450" i="1" s="1"/>
  <c r="S449" i="1"/>
  <c r="R449" i="1"/>
  <c r="Q449" i="1"/>
  <c r="J449" i="1"/>
  <c r="I449" i="1"/>
  <c r="T449" i="1" s="1"/>
  <c r="S448" i="1"/>
  <c r="R448" i="1"/>
  <c r="Q448" i="1"/>
  <c r="J448" i="1"/>
  <c r="I448" i="1"/>
  <c r="T448" i="1" s="1"/>
  <c r="S447" i="1"/>
  <c r="R447" i="1"/>
  <c r="Q447" i="1"/>
  <c r="J447" i="1"/>
  <c r="I447" i="1"/>
  <c r="T447" i="1" s="1"/>
  <c r="S446" i="1"/>
  <c r="R446" i="1"/>
  <c r="Q446" i="1"/>
  <c r="J446" i="1"/>
  <c r="I446" i="1"/>
  <c r="T446" i="1" s="1"/>
  <c r="S445" i="1"/>
  <c r="R445" i="1"/>
  <c r="Q445" i="1"/>
  <c r="J445" i="1"/>
  <c r="I445" i="1"/>
  <c r="T445" i="1" s="1"/>
  <c r="S444" i="1"/>
  <c r="R444" i="1"/>
  <c r="Q444" i="1"/>
  <c r="J444" i="1"/>
  <c r="I444" i="1"/>
  <c r="T444" i="1" s="1"/>
  <c r="S443" i="1"/>
  <c r="R443" i="1"/>
  <c r="Q443" i="1"/>
  <c r="J443" i="1"/>
  <c r="I443" i="1"/>
  <c r="T443" i="1" s="1"/>
  <c r="S442" i="1"/>
  <c r="R442" i="1"/>
  <c r="Q442" i="1"/>
  <c r="J442" i="1"/>
  <c r="I442" i="1"/>
  <c r="T442" i="1" s="1"/>
  <c r="S441" i="1"/>
  <c r="R441" i="1"/>
  <c r="Q441" i="1"/>
  <c r="J441" i="1"/>
  <c r="I441" i="1"/>
  <c r="T441" i="1" s="1"/>
  <c r="S440" i="1"/>
  <c r="R440" i="1"/>
  <c r="Q440" i="1"/>
  <c r="J440" i="1"/>
  <c r="I440" i="1"/>
  <c r="T440" i="1" s="1"/>
  <c r="S439" i="1"/>
  <c r="R439" i="1"/>
  <c r="Q439" i="1"/>
  <c r="J439" i="1"/>
  <c r="I439" i="1"/>
  <c r="T439" i="1" s="1"/>
  <c r="S438" i="1"/>
  <c r="R438" i="1"/>
  <c r="Q438" i="1"/>
  <c r="J438" i="1"/>
  <c r="I438" i="1"/>
  <c r="T438" i="1" s="1"/>
  <c r="S437" i="1"/>
  <c r="R437" i="1"/>
  <c r="Q437" i="1"/>
  <c r="J437" i="1"/>
  <c r="I437" i="1"/>
  <c r="T437" i="1" s="1"/>
  <c r="S436" i="1"/>
  <c r="R436" i="1"/>
  <c r="Q436" i="1"/>
  <c r="J436" i="1"/>
  <c r="I436" i="1"/>
  <c r="T436" i="1" s="1"/>
  <c r="S435" i="1"/>
  <c r="R435" i="1"/>
  <c r="Q435" i="1"/>
  <c r="J435" i="1"/>
  <c r="I435" i="1"/>
  <c r="T435" i="1" s="1"/>
  <c r="S434" i="1"/>
  <c r="R434" i="1"/>
  <c r="Q434" i="1"/>
  <c r="J434" i="1"/>
  <c r="I434" i="1"/>
  <c r="T434" i="1" s="1"/>
  <c r="S433" i="1"/>
  <c r="R433" i="1"/>
  <c r="Q433" i="1"/>
  <c r="J433" i="1"/>
  <c r="I433" i="1"/>
  <c r="T433" i="1" s="1"/>
  <c r="S432" i="1"/>
  <c r="R432" i="1"/>
  <c r="Q432" i="1"/>
  <c r="J432" i="1"/>
  <c r="I432" i="1"/>
  <c r="T432" i="1" s="1"/>
  <c r="S431" i="1"/>
  <c r="R431" i="1"/>
  <c r="Q431" i="1"/>
  <c r="J431" i="1"/>
  <c r="I431" i="1"/>
  <c r="T431" i="1" s="1"/>
  <c r="S430" i="1"/>
  <c r="R430" i="1"/>
  <c r="Q430" i="1"/>
  <c r="J430" i="1"/>
  <c r="I430" i="1"/>
  <c r="T430" i="1" s="1"/>
  <c r="S429" i="1"/>
  <c r="R429" i="1"/>
  <c r="Q429" i="1"/>
  <c r="J429" i="1"/>
  <c r="I429" i="1"/>
  <c r="T429" i="1" s="1"/>
  <c r="S428" i="1"/>
  <c r="R428" i="1"/>
  <c r="Q428" i="1"/>
  <c r="J428" i="1"/>
  <c r="I428" i="1"/>
  <c r="T428" i="1" s="1"/>
  <c r="S427" i="1"/>
  <c r="R427" i="1"/>
  <c r="Q427" i="1"/>
  <c r="J427" i="1"/>
  <c r="I427" i="1"/>
  <c r="T427" i="1" s="1"/>
  <c r="S426" i="1"/>
  <c r="R426" i="1"/>
  <c r="Q426" i="1"/>
  <c r="J426" i="1"/>
  <c r="I426" i="1"/>
  <c r="T426" i="1" s="1"/>
  <c r="S425" i="1"/>
  <c r="R425" i="1"/>
  <c r="Q425" i="1"/>
  <c r="J425" i="1"/>
  <c r="I425" i="1"/>
  <c r="T425" i="1" s="1"/>
  <c r="S424" i="1"/>
  <c r="R424" i="1"/>
  <c r="Q424" i="1"/>
  <c r="J424" i="1"/>
  <c r="I424" i="1"/>
  <c r="T424" i="1" s="1"/>
  <c r="S423" i="1"/>
  <c r="R423" i="1"/>
  <c r="Q423" i="1"/>
  <c r="J423" i="1"/>
  <c r="I423" i="1"/>
  <c r="T423" i="1" s="1"/>
  <c r="S422" i="1"/>
  <c r="R422" i="1"/>
  <c r="Q422" i="1"/>
  <c r="J422" i="1"/>
  <c r="I422" i="1"/>
  <c r="T422" i="1" s="1"/>
  <c r="S421" i="1"/>
  <c r="R421" i="1"/>
  <c r="Q421" i="1"/>
  <c r="J421" i="1"/>
  <c r="I421" i="1"/>
  <c r="T421" i="1" s="1"/>
  <c r="S420" i="1"/>
  <c r="R420" i="1"/>
  <c r="Q420" i="1"/>
  <c r="J420" i="1"/>
  <c r="I420" i="1"/>
  <c r="T420" i="1" s="1"/>
  <c r="S419" i="1"/>
  <c r="R419" i="1"/>
  <c r="Q419" i="1"/>
  <c r="J419" i="1"/>
  <c r="I419" i="1"/>
  <c r="T419" i="1" s="1"/>
  <c r="S418" i="1"/>
  <c r="R418" i="1"/>
  <c r="Q418" i="1"/>
  <c r="J418" i="1"/>
  <c r="I418" i="1"/>
  <c r="T418" i="1" s="1"/>
  <c r="S417" i="1"/>
  <c r="R417" i="1"/>
  <c r="Q417" i="1"/>
  <c r="J417" i="1"/>
  <c r="I417" i="1"/>
  <c r="T417" i="1" s="1"/>
  <c r="S416" i="1"/>
  <c r="R416" i="1"/>
  <c r="Q416" i="1"/>
  <c r="J416" i="1"/>
  <c r="I416" i="1"/>
  <c r="T416" i="1" s="1"/>
  <c r="S415" i="1"/>
  <c r="R415" i="1"/>
  <c r="Q415" i="1"/>
  <c r="J415" i="1"/>
  <c r="I415" i="1"/>
  <c r="T415" i="1" s="1"/>
  <c r="S414" i="1"/>
  <c r="R414" i="1"/>
  <c r="Q414" i="1"/>
  <c r="J414" i="1"/>
  <c r="I414" i="1"/>
  <c r="T414" i="1" s="1"/>
  <c r="S413" i="1"/>
  <c r="R413" i="1"/>
  <c r="Q413" i="1"/>
  <c r="J413" i="1"/>
  <c r="I413" i="1"/>
  <c r="T413" i="1" s="1"/>
  <c r="S412" i="1"/>
  <c r="R412" i="1"/>
  <c r="Q412" i="1"/>
  <c r="J412" i="1"/>
  <c r="I412" i="1"/>
  <c r="T412" i="1" s="1"/>
  <c r="S411" i="1"/>
  <c r="R411" i="1"/>
  <c r="Q411" i="1"/>
  <c r="J411" i="1"/>
  <c r="I411" i="1"/>
  <c r="T411" i="1" s="1"/>
  <c r="S410" i="1"/>
  <c r="R410" i="1"/>
  <c r="Q410" i="1"/>
  <c r="J410" i="1"/>
  <c r="I410" i="1"/>
  <c r="T410" i="1" s="1"/>
  <c r="S409" i="1"/>
  <c r="R409" i="1"/>
  <c r="Q409" i="1"/>
  <c r="J409" i="1"/>
  <c r="I409" i="1"/>
  <c r="T409" i="1" s="1"/>
  <c r="S408" i="1"/>
  <c r="R408" i="1"/>
  <c r="Q408" i="1"/>
  <c r="J408" i="1"/>
  <c r="I408" i="1"/>
  <c r="T408" i="1" s="1"/>
  <c r="S407" i="1"/>
  <c r="R407" i="1"/>
  <c r="Q407" i="1"/>
  <c r="J407" i="1"/>
  <c r="I407" i="1"/>
  <c r="T407" i="1" s="1"/>
  <c r="S406" i="1"/>
  <c r="R406" i="1"/>
  <c r="Q406" i="1"/>
  <c r="J406" i="1"/>
  <c r="I406" i="1"/>
  <c r="T406" i="1" s="1"/>
  <c r="S405" i="1"/>
  <c r="R405" i="1"/>
  <c r="Q405" i="1"/>
  <c r="J405" i="1"/>
  <c r="I405" i="1"/>
  <c r="T405" i="1" s="1"/>
  <c r="S404" i="1"/>
  <c r="R404" i="1"/>
  <c r="Q404" i="1"/>
  <c r="J404" i="1"/>
  <c r="I404" i="1"/>
  <c r="T404" i="1" s="1"/>
  <c r="S403" i="1"/>
  <c r="R403" i="1"/>
  <c r="Q403" i="1"/>
  <c r="J403" i="1"/>
  <c r="I403" i="1"/>
  <c r="T403" i="1" s="1"/>
  <c r="S402" i="1"/>
  <c r="R402" i="1"/>
  <c r="Q402" i="1"/>
  <c r="J402" i="1"/>
  <c r="I402" i="1"/>
  <c r="T402" i="1" s="1"/>
  <c r="S401" i="1"/>
  <c r="R401" i="1"/>
  <c r="Q401" i="1"/>
  <c r="J401" i="1"/>
  <c r="I401" i="1"/>
  <c r="T401" i="1" s="1"/>
  <c r="S400" i="1"/>
  <c r="R400" i="1"/>
  <c r="Q400" i="1"/>
  <c r="J400" i="1"/>
  <c r="I400" i="1"/>
  <c r="T400" i="1" s="1"/>
  <c r="S399" i="1"/>
  <c r="R399" i="1"/>
  <c r="Q399" i="1"/>
  <c r="J399" i="1"/>
  <c r="I399" i="1"/>
  <c r="T399" i="1" s="1"/>
  <c r="S398" i="1"/>
  <c r="R398" i="1"/>
  <c r="Q398" i="1"/>
  <c r="J398" i="1"/>
  <c r="I398" i="1"/>
  <c r="T398" i="1" s="1"/>
  <c r="S397" i="1"/>
  <c r="R397" i="1"/>
  <c r="Q397" i="1"/>
  <c r="J397" i="1"/>
  <c r="I397" i="1"/>
  <c r="T397" i="1" s="1"/>
  <c r="S396" i="1"/>
  <c r="R396" i="1"/>
  <c r="Q396" i="1"/>
  <c r="J396" i="1"/>
  <c r="I396" i="1"/>
  <c r="T396" i="1" s="1"/>
  <c r="S395" i="1"/>
  <c r="R395" i="1"/>
  <c r="Q395" i="1"/>
  <c r="J395" i="1"/>
  <c r="I395" i="1"/>
  <c r="T395" i="1" s="1"/>
  <c r="S394" i="1"/>
  <c r="R394" i="1"/>
  <c r="Q394" i="1"/>
  <c r="J394" i="1"/>
  <c r="I394" i="1"/>
  <c r="T394" i="1" s="1"/>
  <c r="S393" i="1"/>
  <c r="R393" i="1"/>
  <c r="Q393" i="1"/>
  <c r="J393" i="1"/>
  <c r="I393" i="1"/>
  <c r="T393" i="1" s="1"/>
  <c r="S392" i="1"/>
  <c r="R392" i="1"/>
  <c r="Q392" i="1"/>
  <c r="J392" i="1"/>
  <c r="I392" i="1"/>
  <c r="T392" i="1" s="1"/>
  <c r="S391" i="1"/>
  <c r="R391" i="1"/>
  <c r="Q391" i="1"/>
  <c r="J391" i="1"/>
  <c r="I391" i="1"/>
  <c r="T391" i="1" s="1"/>
  <c r="S390" i="1"/>
  <c r="R390" i="1"/>
  <c r="Q390" i="1"/>
  <c r="J390" i="1"/>
  <c r="I390" i="1"/>
  <c r="T390" i="1" s="1"/>
  <c r="S389" i="1"/>
  <c r="R389" i="1"/>
  <c r="Q389" i="1"/>
  <c r="J389" i="1"/>
  <c r="I389" i="1"/>
  <c r="T389" i="1" s="1"/>
  <c r="S388" i="1"/>
  <c r="R388" i="1"/>
  <c r="Q388" i="1"/>
  <c r="J388" i="1"/>
  <c r="I388" i="1"/>
  <c r="T388" i="1" s="1"/>
  <c r="S387" i="1"/>
  <c r="R387" i="1"/>
  <c r="Q387" i="1"/>
  <c r="J387" i="1"/>
  <c r="I387" i="1"/>
  <c r="T387" i="1" s="1"/>
  <c r="S386" i="1"/>
  <c r="R386" i="1"/>
  <c r="Q386" i="1"/>
  <c r="J386" i="1"/>
  <c r="I386" i="1"/>
  <c r="T386" i="1" s="1"/>
  <c r="S385" i="1"/>
  <c r="R385" i="1"/>
  <c r="Q385" i="1"/>
  <c r="J385" i="1"/>
  <c r="I385" i="1"/>
  <c r="T385" i="1" s="1"/>
  <c r="S384" i="1"/>
  <c r="R384" i="1"/>
  <c r="Q384" i="1"/>
  <c r="J384" i="1"/>
  <c r="I384" i="1"/>
  <c r="T384" i="1" s="1"/>
  <c r="S383" i="1"/>
  <c r="R383" i="1"/>
  <c r="Q383" i="1"/>
  <c r="J383" i="1"/>
  <c r="I383" i="1"/>
  <c r="T383" i="1" s="1"/>
  <c r="S382" i="1"/>
  <c r="R382" i="1"/>
  <c r="Q382" i="1"/>
  <c r="J382" i="1"/>
  <c r="I382" i="1"/>
  <c r="T382" i="1" s="1"/>
  <c r="S381" i="1"/>
  <c r="R381" i="1"/>
  <c r="Q381" i="1"/>
  <c r="J381" i="1"/>
  <c r="I381" i="1"/>
  <c r="T381" i="1" s="1"/>
  <c r="S380" i="1"/>
  <c r="R380" i="1"/>
  <c r="Q380" i="1"/>
  <c r="J380" i="1"/>
  <c r="I380" i="1"/>
  <c r="T380" i="1" s="1"/>
  <c r="S379" i="1"/>
  <c r="R379" i="1"/>
  <c r="Q379" i="1"/>
  <c r="J379" i="1"/>
  <c r="I379" i="1"/>
  <c r="T379" i="1" s="1"/>
  <c r="S378" i="1"/>
  <c r="R378" i="1"/>
  <c r="Q378" i="1"/>
  <c r="J378" i="1"/>
  <c r="I378" i="1"/>
  <c r="T378" i="1" s="1"/>
  <c r="S377" i="1"/>
  <c r="R377" i="1"/>
  <c r="Q377" i="1"/>
  <c r="J377" i="1"/>
  <c r="I377" i="1"/>
  <c r="T377" i="1" s="1"/>
  <c r="S376" i="1"/>
  <c r="R376" i="1"/>
  <c r="Q376" i="1"/>
  <c r="J376" i="1"/>
  <c r="I376" i="1"/>
  <c r="T376" i="1" s="1"/>
  <c r="S375" i="1"/>
  <c r="R375" i="1"/>
  <c r="Q375" i="1"/>
  <c r="J375" i="1"/>
  <c r="I375" i="1"/>
  <c r="T375" i="1" s="1"/>
  <c r="S374" i="1"/>
  <c r="R374" i="1"/>
  <c r="Q374" i="1"/>
  <c r="J374" i="1"/>
  <c r="I374" i="1"/>
  <c r="T374" i="1" s="1"/>
  <c r="S373" i="1"/>
  <c r="R373" i="1"/>
  <c r="Q373" i="1"/>
  <c r="J373" i="1"/>
  <c r="I373" i="1"/>
  <c r="T373" i="1" s="1"/>
  <c r="S372" i="1"/>
  <c r="R372" i="1"/>
  <c r="Q372" i="1"/>
  <c r="J372" i="1"/>
  <c r="I372" i="1"/>
  <c r="T372" i="1" s="1"/>
  <c r="S371" i="1"/>
  <c r="R371" i="1"/>
  <c r="Q371" i="1"/>
  <c r="J371" i="1"/>
  <c r="I371" i="1"/>
  <c r="T371" i="1" s="1"/>
  <c r="S370" i="1"/>
  <c r="R370" i="1"/>
  <c r="Q370" i="1"/>
  <c r="J370" i="1"/>
  <c r="I370" i="1"/>
  <c r="T370" i="1" s="1"/>
  <c r="S369" i="1"/>
  <c r="R369" i="1"/>
  <c r="Q369" i="1"/>
  <c r="J369" i="1"/>
  <c r="I369" i="1"/>
  <c r="T369" i="1" s="1"/>
  <c r="S368" i="1"/>
  <c r="R368" i="1"/>
  <c r="Q368" i="1"/>
  <c r="J368" i="1"/>
  <c r="I368" i="1"/>
  <c r="T368" i="1" s="1"/>
  <c r="S367" i="1"/>
  <c r="R367" i="1"/>
  <c r="Q367" i="1"/>
  <c r="J367" i="1"/>
  <c r="I367" i="1"/>
  <c r="T367" i="1" s="1"/>
  <c r="S366" i="1"/>
  <c r="R366" i="1"/>
  <c r="Q366" i="1"/>
  <c r="J366" i="1"/>
  <c r="I366" i="1"/>
  <c r="T366" i="1" s="1"/>
  <c r="S365" i="1"/>
  <c r="R365" i="1"/>
  <c r="Q365" i="1"/>
  <c r="J365" i="1"/>
  <c r="I365" i="1"/>
  <c r="T365" i="1" s="1"/>
  <c r="S364" i="1"/>
  <c r="R364" i="1"/>
  <c r="Q364" i="1"/>
  <c r="J364" i="1"/>
  <c r="I364" i="1"/>
  <c r="T364" i="1" s="1"/>
  <c r="S363" i="1"/>
  <c r="R363" i="1"/>
  <c r="Q363" i="1"/>
  <c r="J363" i="1"/>
  <c r="I363" i="1"/>
  <c r="T363" i="1" s="1"/>
  <c r="S362" i="1"/>
  <c r="R362" i="1"/>
  <c r="Q362" i="1"/>
  <c r="J362" i="1"/>
  <c r="I362" i="1"/>
  <c r="T362" i="1" s="1"/>
  <c r="S361" i="1"/>
  <c r="R361" i="1"/>
  <c r="Q361" i="1"/>
  <c r="J361" i="1"/>
  <c r="I361" i="1"/>
  <c r="T361" i="1" s="1"/>
  <c r="S360" i="1"/>
  <c r="R360" i="1"/>
  <c r="Q360" i="1"/>
  <c r="J360" i="1"/>
  <c r="I360" i="1"/>
  <c r="T360" i="1" s="1"/>
  <c r="S359" i="1"/>
  <c r="R359" i="1"/>
  <c r="Q359" i="1"/>
  <c r="J359" i="1"/>
  <c r="I359" i="1"/>
  <c r="T359" i="1" s="1"/>
  <c r="S358" i="1"/>
  <c r="R358" i="1"/>
  <c r="Q358" i="1"/>
  <c r="J358" i="1"/>
  <c r="I358" i="1"/>
  <c r="T358" i="1" s="1"/>
  <c r="S357" i="1"/>
  <c r="R357" i="1"/>
  <c r="Q357" i="1"/>
  <c r="J357" i="1"/>
  <c r="I357" i="1"/>
  <c r="T357" i="1" s="1"/>
  <c r="S356" i="1"/>
  <c r="R356" i="1"/>
  <c r="Q356" i="1"/>
  <c r="J356" i="1"/>
  <c r="I356" i="1"/>
  <c r="T356" i="1" s="1"/>
  <c r="S355" i="1"/>
  <c r="R355" i="1"/>
  <c r="Q355" i="1"/>
  <c r="J355" i="1"/>
  <c r="I355" i="1"/>
  <c r="T355" i="1" s="1"/>
  <c r="S354" i="1"/>
  <c r="R354" i="1"/>
  <c r="Q354" i="1"/>
  <c r="J354" i="1"/>
  <c r="I354" i="1"/>
  <c r="T354" i="1" s="1"/>
  <c r="S353" i="1"/>
  <c r="R353" i="1"/>
  <c r="Q353" i="1"/>
  <c r="J353" i="1"/>
  <c r="I353" i="1"/>
  <c r="T353" i="1" s="1"/>
  <c r="S352" i="1"/>
  <c r="R352" i="1"/>
  <c r="Q352" i="1"/>
  <c r="J352" i="1"/>
  <c r="I352" i="1"/>
  <c r="T352" i="1" s="1"/>
  <c r="S351" i="1"/>
  <c r="R351" i="1"/>
  <c r="Q351" i="1"/>
  <c r="J351" i="1"/>
  <c r="I351" i="1"/>
  <c r="T351" i="1" s="1"/>
  <c r="S350" i="1"/>
  <c r="R350" i="1"/>
  <c r="Q350" i="1"/>
  <c r="J350" i="1"/>
  <c r="I350" i="1"/>
  <c r="T350" i="1" s="1"/>
  <c r="S349" i="1"/>
  <c r="R349" i="1"/>
  <c r="Q349" i="1"/>
  <c r="J349" i="1"/>
  <c r="I349" i="1"/>
  <c r="T349" i="1" s="1"/>
  <c r="S348" i="1"/>
  <c r="R348" i="1"/>
  <c r="Q348" i="1"/>
  <c r="J348" i="1"/>
  <c r="I348" i="1"/>
  <c r="T348" i="1" s="1"/>
  <c r="S347" i="1"/>
  <c r="R347" i="1"/>
  <c r="Q347" i="1"/>
  <c r="J347" i="1"/>
  <c r="I347" i="1"/>
  <c r="T347" i="1" s="1"/>
  <c r="S346" i="1"/>
  <c r="R346" i="1"/>
  <c r="Q346" i="1"/>
  <c r="J346" i="1"/>
  <c r="I346" i="1"/>
  <c r="T346" i="1" s="1"/>
  <c r="S345" i="1"/>
  <c r="R345" i="1"/>
  <c r="Q345" i="1"/>
  <c r="J345" i="1"/>
  <c r="I345" i="1"/>
  <c r="T345" i="1" s="1"/>
  <c r="S344" i="1"/>
  <c r="R344" i="1"/>
  <c r="Q344" i="1"/>
  <c r="J344" i="1"/>
  <c r="I344" i="1"/>
  <c r="T344" i="1" s="1"/>
  <c r="S343" i="1"/>
  <c r="R343" i="1"/>
  <c r="Q343" i="1"/>
  <c r="J343" i="1"/>
  <c r="I343" i="1"/>
  <c r="T343" i="1" s="1"/>
  <c r="S342" i="1"/>
  <c r="R342" i="1"/>
  <c r="Q342" i="1"/>
  <c r="J342" i="1"/>
  <c r="I342" i="1"/>
  <c r="T342" i="1" s="1"/>
  <c r="S341" i="1"/>
  <c r="R341" i="1"/>
  <c r="Q341" i="1"/>
  <c r="J341" i="1"/>
  <c r="I341" i="1"/>
  <c r="T341" i="1" s="1"/>
  <c r="S340" i="1"/>
  <c r="R340" i="1"/>
  <c r="Q340" i="1"/>
  <c r="J340" i="1"/>
  <c r="I340" i="1"/>
  <c r="T340" i="1" s="1"/>
  <c r="S339" i="1"/>
  <c r="R339" i="1"/>
  <c r="Q339" i="1"/>
  <c r="J339" i="1"/>
  <c r="I339" i="1"/>
  <c r="T339" i="1" s="1"/>
  <c r="S338" i="1"/>
  <c r="R338" i="1"/>
  <c r="Q338" i="1"/>
  <c r="J338" i="1"/>
  <c r="I338" i="1"/>
  <c r="T338" i="1" s="1"/>
  <c r="S337" i="1"/>
  <c r="R337" i="1"/>
  <c r="Q337" i="1"/>
  <c r="J337" i="1"/>
  <c r="I337" i="1"/>
  <c r="T337" i="1" s="1"/>
  <c r="S336" i="1"/>
  <c r="R336" i="1"/>
  <c r="Q336" i="1"/>
  <c r="J336" i="1"/>
  <c r="I336" i="1"/>
  <c r="T336" i="1" s="1"/>
  <c r="S335" i="1"/>
  <c r="R335" i="1"/>
  <c r="Q335" i="1"/>
  <c r="J335" i="1"/>
  <c r="I335" i="1"/>
  <c r="T335" i="1" s="1"/>
  <c r="S334" i="1"/>
  <c r="R334" i="1"/>
  <c r="Q334" i="1"/>
  <c r="J334" i="1"/>
  <c r="I334" i="1"/>
  <c r="T334" i="1" s="1"/>
  <c r="S333" i="1"/>
  <c r="R333" i="1"/>
  <c r="Q333" i="1"/>
  <c r="J333" i="1"/>
  <c r="I333" i="1"/>
  <c r="T333" i="1" s="1"/>
  <c r="S332" i="1"/>
  <c r="R332" i="1"/>
  <c r="Q332" i="1"/>
  <c r="J332" i="1"/>
  <c r="I332" i="1"/>
  <c r="T332" i="1" s="1"/>
  <c r="S331" i="1"/>
  <c r="R331" i="1"/>
  <c r="Q331" i="1"/>
  <c r="J331" i="1"/>
  <c r="I331" i="1"/>
  <c r="T331" i="1" s="1"/>
  <c r="S330" i="1"/>
  <c r="R330" i="1"/>
  <c r="Q330" i="1"/>
  <c r="J330" i="1"/>
  <c r="I330" i="1"/>
  <c r="T330" i="1" s="1"/>
  <c r="S329" i="1"/>
  <c r="R329" i="1"/>
  <c r="Q329" i="1"/>
  <c r="J329" i="1"/>
  <c r="I329" i="1"/>
  <c r="T329" i="1" s="1"/>
  <c r="S328" i="1"/>
  <c r="R328" i="1"/>
  <c r="Q328" i="1"/>
  <c r="J328" i="1"/>
  <c r="I328" i="1"/>
  <c r="T328" i="1" s="1"/>
  <c r="S327" i="1"/>
  <c r="R327" i="1"/>
  <c r="Q327" i="1"/>
  <c r="J327" i="1"/>
  <c r="I327" i="1"/>
  <c r="T327" i="1" s="1"/>
  <c r="S326" i="1"/>
  <c r="R326" i="1"/>
  <c r="Q326" i="1"/>
  <c r="J326" i="1"/>
  <c r="I326" i="1"/>
  <c r="T326" i="1" s="1"/>
  <c r="S325" i="1"/>
  <c r="R325" i="1"/>
  <c r="Q325" i="1"/>
  <c r="J325" i="1"/>
  <c r="I325" i="1"/>
  <c r="T325" i="1" s="1"/>
  <c r="S324" i="1"/>
  <c r="R324" i="1"/>
  <c r="Q324" i="1"/>
  <c r="J324" i="1"/>
  <c r="I324" i="1"/>
  <c r="T324" i="1" s="1"/>
  <c r="S323" i="1"/>
  <c r="R323" i="1"/>
  <c r="Q323" i="1"/>
  <c r="J323" i="1"/>
  <c r="I323" i="1"/>
  <c r="T323" i="1" s="1"/>
  <c r="S322" i="1"/>
  <c r="R322" i="1"/>
  <c r="Q322" i="1"/>
  <c r="J322" i="1"/>
  <c r="I322" i="1"/>
  <c r="T322" i="1" s="1"/>
  <c r="S321" i="1"/>
  <c r="R321" i="1"/>
  <c r="Q321" i="1"/>
  <c r="J321" i="1"/>
  <c r="I321" i="1"/>
  <c r="T321" i="1" s="1"/>
  <c r="S320" i="1"/>
  <c r="R320" i="1"/>
  <c r="Q320" i="1"/>
  <c r="J320" i="1"/>
  <c r="I320" i="1"/>
  <c r="T320" i="1" s="1"/>
  <c r="S319" i="1"/>
  <c r="R319" i="1"/>
  <c r="Q319" i="1"/>
  <c r="J319" i="1"/>
  <c r="I319" i="1"/>
  <c r="T319" i="1" s="1"/>
  <c r="S318" i="1"/>
  <c r="R318" i="1"/>
  <c r="Q318" i="1"/>
  <c r="J318" i="1"/>
  <c r="I318" i="1"/>
  <c r="T318" i="1" s="1"/>
  <c r="S317" i="1"/>
  <c r="R317" i="1"/>
  <c r="Q317" i="1"/>
  <c r="J317" i="1"/>
  <c r="I317" i="1"/>
  <c r="T317" i="1" s="1"/>
  <c r="S316" i="1"/>
  <c r="R316" i="1"/>
  <c r="Q316" i="1"/>
  <c r="J316" i="1"/>
  <c r="I316" i="1"/>
  <c r="T316" i="1" s="1"/>
  <c r="S315" i="1"/>
  <c r="R315" i="1"/>
  <c r="Q315" i="1"/>
  <c r="J315" i="1"/>
  <c r="I315" i="1"/>
  <c r="T315" i="1" s="1"/>
  <c r="S314" i="1"/>
  <c r="R314" i="1"/>
  <c r="Q314" i="1"/>
  <c r="J314" i="1"/>
  <c r="I314" i="1"/>
  <c r="T314" i="1" s="1"/>
  <c r="S313" i="1"/>
  <c r="R313" i="1"/>
  <c r="Q313" i="1"/>
  <c r="J313" i="1"/>
  <c r="I313" i="1"/>
  <c r="T313" i="1" s="1"/>
  <c r="S312" i="1"/>
  <c r="R312" i="1"/>
  <c r="Q312" i="1"/>
  <c r="J312" i="1"/>
  <c r="I312" i="1"/>
  <c r="T312" i="1" s="1"/>
  <c r="S311" i="1"/>
  <c r="R311" i="1"/>
  <c r="Q311" i="1"/>
  <c r="J311" i="1"/>
  <c r="I311" i="1"/>
  <c r="T311" i="1" s="1"/>
  <c r="S310" i="1"/>
  <c r="R310" i="1"/>
  <c r="Q310" i="1"/>
  <c r="J310" i="1"/>
  <c r="I310" i="1"/>
  <c r="T310" i="1" s="1"/>
  <c r="S309" i="1"/>
  <c r="R309" i="1"/>
  <c r="Q309" i="1"/>
  <c r="J309" i="1"/>
  <c r="I309" i="1"/>
  <c r="T309" i="1" s="1"/>
  <c r="S308" i="1"/>
  <c r="R308" i="1"/>
  <c r="Q308" i="1"/>
  <c r="J308" i="1"/>
  <c r="I308" i="1"/>
  <c r="T308" i="1" s="1"/>
  <c r="S307" i="1"/>
  <c r="R307" i="1"/>
  <c r="Q307" i="1"/>
  <c r="J307" i="1"/>
  <c r="I307" i="1"/>
  <c r="T307" i="1" s="1"/>
  <c r="S306" i="1"/>
  <c r="R306" i="1"/>
  <c r="Q306" i="1"/>
  <c r="J306" i="1"/>
  <c r="I306" i="1"/>
  <c r="T306" i="1" s="1"/>
  <c r="S305" i="1"/>
  <c r="R305" i="1"/>
  <c r="Q305" i="1"/>
  <c r="J305" i="1"/>
  <c r="I305" i="1"/>
  <c r="T305" i="1" s="1"/>
  <c r="S304" i="1"/>
  <c r="R304" i="1"/>
  <c r="Q304" i="1"/>
  <c r="J304" i="1"/>
  <c r="I304" i="1"/>
  <c r="T304" i="1" s="1"/>
  <c r="S303" i="1"/>
  <c r="R303" i="1"/>
  <c r="Q303" i="1"/>
  <c r="J303" i="1"/>
  <c r="I303" i="1"/>
  <c r="T303" i="1" s="1"/>
  <c r="S302" i="1"/>
  <c r="R302" i="1"/>
  <c r="Q302" i="1"/>
  <c r="J302" i="1"/>
  <c r="I302" i="1"/>
  <c r="T302" i="1" s="1"/>
  <c r="S301" i="1"/>
  <c r="R301" i="1"/>
  <c r="Q301" i="1"/>
  <c r="J301" i="1"/>
  <c r="I301" i="1"/>
  <c r="T301" i="1" s="1"/>
  <c r="S300" i="1"/>
  <c r="R300" i="1"/>
  <c r="Q300" i="1"/>
  <c r="J300" i="1"/>
  <c r="I300" i="1"/>
  <c r="T300" i="1" s="1"/>
  <c r="S299" i="1"/>
  <c r="R299" i="1"/>
  <c r="Q299" i="1"/>
  <c r="J299" i="1"/>
  <c r="I299" i="1"/>
  <c r="T299" i="1" s="1"/>
  <c r="S298" i="1"/>
  <c r="R298" i="1"/>
  <c r="Q298" i="1"/>
  <c r="J298" i="1"/>
  <c r="I298" i="1"/>
  <c r="T298" i="1" s="1"/>
  <c r="S297" i="1"/>
  <c r="R297" i="1"/>
  <c r="Q297" i="1"/>
  <c r="J297" i="1"/>
  <c r="I297" i="1"/>
  <c r="T297" i="1" s="1"/>
  <c r="S296" i="1"/>
  <c r="R296" i="1"/>
  <c r="Q296" i="1"/>
  <c r="J296" i="1"/>
  <c r="I296" i="1"/>
  <c r="T296" i="1" s="1"/>
  <c r="S295" i="1"/>
  <c r="R295" i="1"/>
  <c r="Q295" i="1"/>
  <c r="J295" i="1"/>
  <c r="I295" i="1"/>
  <c r="T295" i="1" s="1"/>
  <c r="S294" i="1"/>
  <c r="R294" i="1"/>
  <c r="Q294" i="1"/>
  <c r="J294" i="1"/>
  <c r="I294" i="1"/>
  <c r="T294" i="1" s="1"/>
  <c r="S293" i="1"/>
  <c r="R293" i="1"/>
  <c r="Q293" i="1"/>
  <c r="J293" i="1"/>
  <c r="I293" i="1"/>
  <c r="T293" i="1" s="1"/>
  <c r="S292" i="1"/>
  <c r="R292" i="1"/>
  <c r="Q292" i="1"/>
  <c r="J292" i="1"/>
  <c r="I292" i="1"/>
  <c r="T292" i="1" s="1"/>
  <c r="S291" i="1"/>
  <c r="R291" i="1"/>
  <c r="Q291" i="1"/>
  <c r="J291" i="1"/>
  <c r="I291" i="1"/>
  <c r="T291" i="1" s="1"/>
  <c r="S290" i="1"/>
  <c r="R290" i="1"/>
  <c r="Q290" i="1"/>
  <c r="J290" i="1"/>
  <c r="I290" i="1"/>
  <c r="T290" i="1" s="1"/>
  <c r="S289" i="1"/>
  <c r="R289" i="1"/>
  <c r="Q289" i="1"/>
  <c r="J289" i="1"/>
  <c r="I289" i="1"/>
  <c r="T289" i="1" s="1"/>
  <c r="S288" i="1"/>
  <c r="R288" i="1"/>
  <c r="Q288" i="1"/>
  <c r="J288" i="1"/>
  <c r="I288" i="1"/>
  <c r="T288" i="1" s="1"/>
  <c r="S287" i="1"/>
  <c r="R287" i="1"/>
  <c r="Q287" i="1"/>
  <c r="J287" i="1"/>
  <c r="I287" i="1"/>
  <c r="T287" i="1" s="1"/>
  <c r="S286" i="1"/>
  <c r="R286" i="1"/>
  <c r="Q286" i="1"/>
  <c r="J286" i="1"/>
  <c r="I286" i="1"/>
  <c r="T286" i="1" s="1"/>
  <c r="S285" i="1"/>
  <c r="R285" i="1"/>
  <c r="Q285" i="1"/>
  <c r="J285" i="1"/>
  <c r="I285" i="1"/>
  <c r="T285" i="1" s="1"/>
  <c r="S284" i="1"/>
  <c r="R284" i="1"/>
  <c r="Q284" i="1"/>
  <c r="J284" i="1"/>
  <c r="I284" i="1"/>
  <c r="T284" i="1" s="1"/>
  <c r="S283" i="1"/>
  <c r="R283" i="1"/>
  <c r="Q283" i="1"/>
  <c r="J283" i="1"/>
  <c r="I283" i="1"/>
  <c r="T283" i="1" s="1"/>
  <c r="S282" i="1"/>
  <c r="R282" i="1"/>
  <c r="Q282" i="1"/>
  <c r="J282" i="1"/>
  <c r="I282" i="1"/>
  <c r="T282" i="1" s="1"/>
  <c r="S281" i="1"/>
  <c r="R281" i="1"/>
  <c r="Q281" i="1"/>
  <c r="J281" i="1"/>
  <c r="I281" i="1"/>
  <c r="T281" i="1" s="1"/>
  <c r="S280" i="1"/>
  <c r="R280" i="1"/>
  <c r="Q280" i="1"/>
  <c r="J280" i="1"/>
  <c r="I280" i="1"/>
  <c r="T280" i="1" s="1"/>
  <c r="S279" i="1"/>
  <c r="R279" i="1"/>
  <c r="Q279" i="1"/>
  <c r="J279" i="1"/>
  <c r="I279" i="1"/>
  <c r="T279" i="1" s="1"/>
  <c r="S278" i="1"/>
  <c r="R278" i="1"/>
  <c r="Q278" i="1"/>
  <c r="J278" i="1"/>
  <c r="I278" i="1"/>
  <c r="T278" i="1" s="1"/>
  <c r="S277" i="1"/>
  <c r="R277" i="1"/>
  <c r="Q277" i="1"/>
  <c r="J277" i="1"/>
  <c r="I277" i="1"/>
  <c r="T277" i="1" s="1"/>
  <c r="S276" i="1"/>
  <c r="R276" i="1"/>
  <c r="Q276" i="1"/>
  <c r="J276" i="1"/>
  <c r="I276" i="1"/>
  <c r="T276" i="1" s="1"/>
  <c r="S275" i="1"/>
  <c r="R275" i="1"/>
  <c r="Q275" i="1"/>
  <c r="J275" i="1"/>
  <c r="I275" i="1"/>
  <c r="T275" i="1" s="1"/>
  <c r="S274" i="1"/>
  <c r="R274" i="1"/>
  <c r="Q274" i="1"/>
  <c r="J274" i="1"/>
  <c r="I274" i="1"/>
  <c r="T274" i="1" s="1"/>
  <c r="S273" i="1"/>
  <c r="R273" i="1"/>
  <c r="Q273" i="1"/>
  <c r="J273" i="1"/>
  <c r="I273" i="1"/>
  <c r="T273" i="1" s="1"/>
  <c r="S272" i="1"/>
  <c r="R272" i="1"/>
  <c r="Q272" i="1"/>
  <c r="J272" i="1"/>
  <c r="I272" i="1"/>
  <c r="T272" i="1" s="1"/>
  <c r="S271" i="1"/>
  <c r="R271" i="1"/>
  <c r="Q271" i="1"/>
  <c r="J271" i="1"/>
  <c r="I271" i="1"/>
  <c r="T271" i="1" s="1"/>
  <c r="S270" i="1"/>
  <c r="R270" i="1"/>
  <c r="Q270" i="1"/>
  <c r="J270" i="1"/>
  <c r="I270" i="1"/>
  <c r="T270" i="1" s="1"/>
  <c r="S269" i="1"/>
  <c r="R269" i="1"/>
  <c r="Q269" i="1"/>
  <c r="J269" i="1"/>
  <c r="I269" i="1"/>
  <c r="T269" i="1" s="1"/>
  <c r="S268" i="1"/>
  <c r="R268" i="1"/>
  <c r="Q268" i="1"/>
  <c r="J268" i="1"/>
  <c r="I268" i="1"/>
  <c r="T268" i="1" s="1"/>
  <c r="S267" i="1"/>
  <c r="R267" i="1"/>
  <c r="Q267" i="1"/>
  <c r="J267" i="1"/>
  <c r="I267" i="1"/>
  <c r="T267" i="1" s="1"/>
  <c r="S266" i="1"/>
  <c r="R266" i="1"/>
  <c r="Q266" i="1"/>
  <c r="J266" i="1"/>
  <c r="I266" i="1"/>
  <c r="T266" i="1" s="1"/>
  <c r="S265" i="1"/>
  <c r="R265" i="1"/>
  <c r="Q265" i="1"/>
  <c r="J265" i="1"/>
  <c r="I265" i="1"/>
  <c r="T265" i="1" s="1"/>
  <c r="S264" i="1"/>
  <c r="R264" i="1"/>
  <c r="Q264" i="1"/>
  <c r="J264" i="1"/>
  <c r="I264" i="1"/>
  <c r="T264" i="1" s="1"/>
  <c r="S263" i="1"/>
  <c r="R263" i="1"/>
  <c r="Q263" i="1"/>
  <c r="J263" i="1"/>
  <c r="I263" i="1"/>
  <c r="T263" i="1" s="1"/>
  <c r="S262" i="1"/>
  <c r="R262" i="1"/>
  <c r="Q262" i="1"/>
  <c r="J262" i="1"/>
  <c r="I262" i="1"/>
  <c r="T262" i="1" s="1"/>
  <c r="S261" i="1"/>
  <c r="R261" i="1"/>
  <c r="Q261" i="1"/>
  <c r="J261" i="1"/>
  <c r="I261" i="1"/>
  <c r="T261" i="1" s="1"/>
  <c r="S260" i="1"/>
  <c r="R260" i="1"/>
  <c r="Q260" i="1"/>
  <c r="J260" i="1"/>
  <c r="I260" i="1"/>
  <c r="T260" i="1" s="1"/>
  <c r="S259" i="1"/>
  <c r="R259" i="1"/>
  <c r="Q259" i="1"/>
  <c r="J259" i="1"/>
  <c r="I259" i="1"/>
  <c r="T259" i="1" s="1"/>
  <c r="S258" i="1"/>
  <c r="R258" i="1"/>
  <c r="Q258" i="1"/>
  <c r="J258" i="1"/>
  <c r="I258" i="1"/>
  <c r="T258" i="1" s="1"/>
  <c r="S257" i="1"/>
  <c r="R257" i="1"/>
  <c r="Q257" i="1"/>
  <c r="J257" i="1"/>
  <c r="I257" i="1"/>
  <c r="T257" i="1" s="1"/>
  <c r="S256" i="1"/>
  <c r="R256" i="1"/>
  <c r="Q256" i="1"/>
  <c r="J256" i="1"/>
  <c r="I256" i="1"/>
  <c r="T256" i="1" s="1"/>
  <c r="S255" i="1"/>
  <c r="R255" i="1"/>
  <c r="Q255" i="1"/>
  <c r="J255" i="1"/>
  <c r="I255" i="1"/>
  <c r="T255" i="1" s="1"/>
  <c r="S254" i="1"/>
  <c r="R254" i="1"/>
  <c r="Q254" i="1"/>
  <c r="J254" i="1"/>
  <c r="I254" i="1"/>
  <c r="T254" i="1" s="1"/>
  <c r="S253" i="1"/>
  <c r="R253" i="1"/>
  <c r="Q253" i="1"/>
  <c r="J253" i="1"/>
  <c r="I253" i="1"/>
  <c r="T253" i="1" s="1"/>
  <c r="S252" i="1"/>
  <c r="R252" i="1"/>
  <c r="Q252" i="1"/>
  <c r="J252" i="1"/>
  <c r="I252" i="1"/>
  <c r="T252" i="1" s="1"/>
  <c r="S251" i="1"/>
  <c r="R251" i="1"/>
  <c r="Q251" i="1"/>
  <c r="J251" i="1"/>
  <c r="I251" i="1"/>
  <c r="T251" i="1" s="1"/>
  <c r="S250" i="1"/>
  <c r="R250" i="1"/>
  <c r="Q250" i="1"/>
  <c r="J250" i="1"/>
  <c r="I250" i="1"/>
  <c r="T250" i="1" s="1"/>
  <c r="S249" i="1"/>
  <c r="R249" i="1"/>
  <c r="Q249" i="1"/>
  <c r="J249" i="1"/>
  <c r="I249" i="1"/>
  <c r="T249" i="1" s="1"/>
  <c r="S248" i="1"/>
  <c r="R248" i="1"/>
  <c r="Q248" i="1"/>
  <c r="J248" i="1"/>
  <c r="I248" i="1"/>
  <c r="T248" i="1" s="1"/>
  <c r="S247" i="1"/>
  <c r="R247" i="1"/>
  <c r="Q247" i="1"/>
  <c r="J247" i="1"/>
  <c r="I247" i="1"/>
  <c r="T247" i="1" s="1"/>
  <c r="S246" i="1"/>
  <c r="R246" i="1"/>
  <c r="Q246" i="1"/>
  <c r="J246" i="1"/>
  <c r="I246" i="1"/>
  <c r="T246" i="1" s="1"/>
  <c r="S245" i="1"/>
  <c r="R245" i="1"/>
  <c r="Q245" i="1"/>
  <c r="J245" i="1"/>
  <c r="I245" i="1"/>
  <c r="T245" i="1" s="1"/>
  <c r="S244" i="1"/>
  <c r="R244" i="1"/>
  <c r="Q244" i="1"/>
  <c r="J244" i="1"/>
  <c r="I244" i="1"/>
  <c r="T244" i="1" s="1"/>
  <c r="S243" i="1"/>
  <c r="R243" i="1"/>
  <c r="Q243" i="1"/>
  <c r="J243" i="1"/>
  <c r="I243" i="1"/>
  <c r="T243" i="1" s="1"/>
  <c r="S242" i="1"/>
  <c r="R242" i="1"/>
  <c r="Q242" i="1"/>
  <c r="J242" i="1"/>
  <c r="I242" i="1"/>
  <c r="T242" i="1" s="1"/>
  <c r="S241" i="1"/>
  <c r="R241" i="1"/>
  <c r="Q241" i="1"/>
  <c r="J241" i="1"/>
  <c r="I241" i="1"/>
  <c r="T241" i="1" s="1"/>
  <c r="S240" i="1"/>
  <c r="R240" i="1"/>
  <c r="Q240" i="1"/>
  <c r="J240" i="1"/>
  <c r="I240" i="1"/>
  <c r="T240" i="1" s="1"/>
  <c r="S239" i="1"/>
  <c r="R239" i="1"/>
  <c r="Q239" i="1"/>
  <c r="J239" i="1"/>
  <c r="I239" i="1"/>
  <c r="T239" i="1" s="1"/>
  <c r="S238" i="1"/>
  <c r="R238" i="1"/>
  <c r="Q238" i="1"/>
  <c r="J238" i="1"/>
  <c r="I238" i="1"/>
  <c r="T238" i="1" s="1"/>
  <c r="S237" i="1"/>
  <c r="R237" i="1"/>
  <c r="Q237" i="1"/>
  <c r="J237" i="1"/>
  <c r="I237" i="1"/>
  <c r="T237" i="1" s="1"/>
  <c r="S236" i="1"/>
  <c r="R236" i="1"/>
  <c r="Q236" i="1"/>
  <c r="J236" i="1"/>
  <c r="I236" i="1"/>
  <c r="T236" i="1" s="1"/>
  <c r="S235" i="1"/>
  <c r="R235" i="1"/>
  <c r="Q235" i="1"/>
  <c r="J235" i="1"/>
  <c r="I235" i="1"/>
  <c r="T235" i="1" s="1"/>
  <c r="S234" i="1"/>
  <c r="R234" i="1"/>
  <c r="Q234" i="1"/>
  <c r="J234" i="1"/>
  <c r="I234" i="1"/>
  <c r="T234" i="1" s="1"/>
  <c r="S233" i="1"/>
  <c r="R233" i="1"/>
  <c r="Q233" i="1"/>
  <c r="J233" i="1"/>
  <c r="I233" i="1"/>
  <c r="T233" i="1" s="1"/>
  <c r="S232" i="1"/>
  <c r="R232" i="1"/>
  <c r="Q232" i="1"/>
  <c r="J232" i="1"/>
  <c r="I232" i="1"/>
  <c r="T232" i="1" s="1"/>
  <c r="S231" i="1"/>
  <c r="R231" i="1"/>
  <c r="Q231" i="1"/>
  <c r="J231" i="1"/>
  <c r="I231" i="1"/>
  <c r="T231" i="1" s="1"/>
  <c r="S230" i="1"/>
  <c r="R230" i="1"/>
  <c r="Q230" i="1"/>
  <c r="J230" i="1"/>
  <c r="I230" i="1"/>
  <c r="T230" i="1" s="1"/>
  <c r="S229" i="1"/>
  <c r="R229" i="1"/>
  <c r="Q229" i="1"/>
  <c r="J229" i="1"/>
  <c r="I229" i="1"/>
  <c r="T229" i="1" s="1"/>
  <c r="S228" i="1"/>
  <c r="R228" i="1"/>
  <c r="Q228" i="1"/>
  <c r="J228" i="1"/>
  <c r="I228" i="1"/>
  <c r="T228" i="1" s="1"/>
  <c r="S227" i="1"/>
  <c r="R227" i="1"/>
  <c r="Q227" i="1"/>
  <c r="J227" i="1"/>
  <c r="I227" i="1"/>
  <c r="T227" i="1" s="1"/>
  <c r="S226" i="1"/>
  <c r="R226" i="1"/>
  <c r="Q226" i="1"/>
  <c r="J226" i="1"/>
  <c r="I226" i="1"/>
  <c r="T226" i="1" s="1"/>
  <c r="S225" i="1"/>
  <c r="R225" i="1"/>
  <c r="Q225" i="1"/>
  <c r="J225" i="1"/>
  <c r="I225" i="1"/>
  <c r="T225" i="1" s="1"/>
  <c r="S224" i="1"/>
  <c r="R224" i="1"/>
  <c r="Q224" i="1"/>
  <c r="J224" i="1"/>
  <c r="I224" i="1"/>
  <c r="T224" i="1" s="1"/>
  <c r="S223" i="1"/>
  <c r="R223" i="1"/>
  <c r="Q223" i="1"/>
  <c r="J223" i="1"/>
  <c r="I223" i="1"/>
  <c r="T223" i="1" s="1"/>
  <c r="S222" i="1"/>
  <c r="R222" i="1"/>
  <c r="Q222" i="1"/>
  <c r="J222" i="1"/>
  <c r="I222" i="1"/>
  <c r="T222" i="1" s="1"/>
  <c r="S221" i="1"/>
  <c r="R221" i="1"/>
  <c r="Q221" i="1"/>
  <c r="J221" i="1"/>
  <c r="I221" i="1"/>
  <c r="T221" i="1" s="1"/>
  <c r="S220" i="1"/>
  <c r="R220" i="1"/>
  <c r="Q220" i="1"/>
  <c r="J220" i="1"/>
  <c r="I220" i="1"/>
  <c r="T220" i="1" s="1"/>
  <c r="S219" i="1"/>
  <c r="R219" i="1"/>
  <c r="Q219" i="1"/>
  <c r="J219" i="1"/>
  <c r="I219" i="1"/>
  <c r="T219" i="1" s="1"/>
  <c r="S218" i="1"/>
  <c r="R218" i="1"/>
  <c r="Q218" i="1"/>
  <c r="J218" i="1"/>
  <c r="I218" i="1"/>
  <c r="T218" i="1" s="1"/>
  <c r="S217" i="1"/>
  <c r="R217" i="1"/>
  <c r="Q217" i="1"/>
  <c r="J217" i="1"/>
  <c r="I217" i="1"/>
  <c r="T217" i="1" s="1"/>
  <c r="S216" i="1"/>
  <c r="R216" i="1"/>
  <c r="Q216" i="1"/>
  <c r="J216" i="1"/>
  <c r="I216" i="1"/>
  <c r="T216" i="1" s="1"/>
  <c r="S215" i="1"/>
  <c r="R215" i="1"/>
  <c r="Q215" i="1"/>
  <c r="J215" i="1"/>
  <c r="I215" i="1"/>
  <c r="T215" i="1" s="1"/>
  <c r="S214" i="1"/>
  <c r="R214" i="1"/>
  <c r="Q214" i="1"/>
  <c r="J214" i="1"/>
  <c r="I214" i="1"/>
  <c r="T214" i="1" s="1"/>
  <c r="S213" i="1"/>
  <c r="R213" i="1"/>
  <c r="Q213" i="1"/>
  <c r="J213" i="1"/>
  <c r="I213" i="1"/>
  <c r="T213" i="1" s="1"/>
  <c r="S212" i="1"/>
  <c r="R212" i="1"/>
  <c r="Q212" i="1"/>
  <c r="J212" i="1"/>
  <c r="I212" i="1"/>
  <c r="T212" i="1" s="1"/>
  <c r="S211" i="1"/>
  <c r="R211" i="1"/>
  <c r="Q211" i="1"/>
  <c r="J211" i="1"/>
  <c r="I211" i="1"/>
  <c r="T211" i="1" s="1"/>
  <c r="S210" i="1"/>
  <c r="R210" i="1"/>
  <c r="Q210" i="1"/>
  <c r="J210" i="1"/>
  <c r="I210" i="1"/>
  <c r="T210" i="1" s="1"/>
  <c r="S209" i="1"/>
  <c r="R209" i="1"/>
  <c r="Q209" i="1"/>
  <c r="J209" i="1"/>
  <c r="I209" i="1"/>
  <c r="T209" i="1" s="1"/>
  <c r="S208" i="1"/>
  <c r="R208" i="1"/>
  <c r="Q208" i="1"/>
  <c r="J208" i="1"/>
  <c r="I208" i="1"/>
  <c r="T208" i="1" s="1"/>
  <c r="S207" i="1"/>
  <c r="R207" i="1"/>
  <c r="Q207" i="1"/>
  <c r="J207" i="1"/>
  <c r="I207" i="1"/>
  <c r="T207" i="1" s="1"/>
  <c r="S206" i="1"/>
  <c r="R206" i="1"/>
  <c r="Q206" i="1"/>
  <c r="J206" i="1"/>
  <c r="I206" i="1"/>
  <c r="T206" i="1" s="1"/>
  <c r="S205" i="1"/>
  <c r="R205" i="1"/>
  <c r="Q205" i="1"/>
  <c r="J205" i="1"/>
  <c r="I205" i="1"/>
  <c r="T205" i="1" s="1"/>
  <c r="S204" i="1"/>
  <c r="R204" i="1"/>
  <c r="Q204" i="1"/>
  <c r="J204" i="1"/>
  <c r="I204" i="1"/>
  <c r="T204" i="1" s="1"/>
  <c r="S203" i="1"/>
  <c r="R203" i="1"/>
  <c r="Q203" i="1"/>
  <c r="J203" i="1"/>
  <c r="I203" i="1"/>
  <c r="T203" i="1" s="1"/>
  <c r="S202" i="1"/>
  <c r="R202" i="1"/>
  <c r="Q202" i="1"/>
  <c r="J202" i="1"/>
  <c r="I202" i="1"/>
  <c r="T202" i="1" s="1"/>
  <c r="S201" i="1"/>
  <c r="R201" i="1"/>
  <c r="Q201" i="1"/>
  <c r="J201" i="1"/>
  <c r="I201" i="1"/>
  <c r="T201" i="1" s="1"/>
  <c r="S200" i="1"/>
  <c r="R200" i="1"/>
  <c r="Q200" i="1"/>
  <c r="J200" i="1"/>
  <c r="I200" i="1"/>
  <c r="T200" i="1" s="1"/>
  <c r="S199" i="1"/>
  <c r="R199" i="1"/>
  <c r="Q199" i="1"/>
  <c r="J199" i="1"/>
  <c r="I199" i="1"/>
  <c r="T199" i="1" s="1"/>
  <c r="S198" i="1"/>
  <c r="R198" i="1"/>
  <c r="Q198" i="1"/>
  <c r="J198" i="1"/>
  <c r="I198" i="1"/>
  <c r="T198" i="1" s="1"/>
  <c r="S197" i="1"/>
  <c r="R197" i="1"/>
  <c r="Q197" i="1"/>
  <c r="J197" i="1"/>
  <c r="I197" i="1"/>
  <c r="T197" i="1" s="1"/>
  <c r="S196" i="1"/>
  <c r="R196" i="1"/>
  <c r="Q196" i="1"/>
  <c r="J196" i="1"/>
  <c r="I196" i="1"/>
  <c r="T196" i="1" s="1"/>
  <c r="S195" i="1"/>
  <c r="R195" i="1"/>
  <c r="Q195" i="1"/>
  <c r="J195" i="1"/>
  <c r="I195" i="1"/>
  <c r="T195" i="1" s="1"/>
  <c r="S194" i="1"/>
  <c r="R194" i="1"/>
  <c r="Q194" i="1"/>
  <c r="J194" i="1"/>
  <c r="I194" i="1"/>
  <c r="T194" i="1" s="1"/>
  <c r="S193" i="1"/>
  <c r="R193" i="1"/>
  <c r="Q193" i="1"/>
  <c r="J193" i="1"/>
  <c r="I193" i="1"/>
  <c r="T193" i="1" s="1"/>
  <c r="S192" i="1"/>
  <c r="R192" i="1"/>
  <c r="Q192" i="1"/>
  <c r="J192" i="1"/>
  <c r="I192" i="1"/>
  <c r="T192" i="1" s="1"/>
  <c r="S191" i="1"/>
  <c r="R191" i="1"/>
  <c r="Q191" i="1"/>
  <c r="J191" i="1"/>
  <c r="I191" i="1"/>
  <c r="T191" i="1" s="1"/>
  <c r="S190" i="1"/>
  <c r="R190" i="1"/>
  <c r="Q190" i="1"/>
  <c r="J190" i="1"/>
  <c r="I190" i="1"/>
  <c r="T190" i="1" s="1"/>
  <c r="S189" i="1"/>
  <c r="R189" i="1"/>
  <c r="Q189" i="1"/>
  <c r="J189" i="1"/>
  <c r="I189" i="1"/>
  <c r="T189" i="1" s="1"/>
  <c r="S188" i="1"/>
  <c r="R188" i="1"/>
  <c r="Q188" i="1"/>
  <c r="J188" i="1"/>
  <c r="I188" i="1"/>
  <c r="T188" i="1" s="1"/>
  <c r="S187" i="1"/>
  <c r="R187" i="1"/>
  <c r="Q187" i="1"/>
  <c r="J187" i="1"/>
  <c r="I187" i="1"/>
  <c r="T187" i="1" s="1"/>
  <c r="S186" i="1"/>
  <c r="R186" i="1"/>
  <c r="Q186" i="1"/>
  <c r="J186" i="1"/>
  <c r="I186" i="1"/>
  <c r="T186" i="1" s="1"/>
  <c r="S185" i="1"/>
  <c r="R185" i="1"/>
  <c r="Q185" i="1"/>
  <c r="J185" i="1"/>
  <c r="I185" i="1"/>
  <c r="T185" i="1" s="1"/>
  <c r="S184" i="1"/>
  <c r="R184" i="1"/>
  <c r="Q184" i="1"/>
  <c r="J184" i="1"/>
  <c r="I184" i="1"/>
  <c r="T184" i="1" s="1"/>
  <c r="S183" i="1"/>
  <c r="R183" i="1"/>
  <c r="Q183" i="1"/>
  <c r="J183" i="1"/>
  <c r="I183" i="1"/>
  <c r="T183" i="1" s="1"/>
  <c r="S182" i="1"/>
  <c r="R182" i="1"/>
  <c r="Q182" i="1"/>
  <c r="J182" i="1"/>
  <c r="I182" i="1"/>
  <c r="T182" i="1" s="1"/>
  <c r="S181" i="1"/>
  <c r="R181" i="1"/>
  <c r="Q181" i="1"/>
  <c r="J181" i="1"/>
  <c r="I181" i="1"/>
  <c r="T181" i="1" s="1"/>
  <c r="S180" i="1"/>
  <c r="R180" i="1"/>
  <c r="Q180" i="1"/>
  <c r="J180" i="1"/>
  <c r="I180" i="1"/>
  <c r="T180" i="1" s="1"/>
  <c r="S179" i="1"/>
  <c r="R179" i="1"/>
  <c r="Q179" i="1"/>
  <c r="J179" i="1"/>
  <c r="I179" i="1"/>
  <c r="T179" i="1" s="1"/>
  <c r="S178" i="1"/>
  <c r="R178" i="1"/>
  <c r="Q178" i="1"/>
  <c r="J178" i="1"/>
  <c r="I178" i="1"/>
  <c r="T178" i="1" s="1"/>
  <c r="S177" i="1"/>
  <c r="R177" i="1"/>
  <c r="Q177" i="1"/>
  <c r="J177" i="1"/>
  <c r="I177" i="1"/>
  <c r="T177" i="1" s="1"/>
  <c r="S176" i="1"/>
  <c r="R176" i="1"/>
  <c r="Q176" i="1"/>
  <c r="J176" i="1"/>
  <c r="I176" i="1"/>
  <c r="T176" i="1" s="1"/>
  <c r="S175" i="1"/>
  <c r="R175" i="1"/>
  <c r="Q175" i="1"/>
  <c r="J175" i="1"/>
  <c r="I175" i="1"/>
  <c r="T175" i="1" s="1"/>
  <c r="S174" i="1"/>
  <c r="R174" i="1"/>
  <c r="Q174" i="1"/>
  <c r="J174" i="1"/>
  <c r="I174" i="1"/>
  <c r="T174" i="1" s="1"/>
  <c r="S173" i="1"/>
  <c r="R173" i="1"/>
  <c r="Q173" i="1"/>
  <c r="J173" i="1"/>
  <c r="I173" i="1"/>
  <c r="T173" i="1" s="1"/>
  <c r="S172" i="1"/>
  <c r="R172" i="1"/>
  <c r="Q172" i="1"/>
  <c r="J172" i="1"/>
  <c r="I172" i="1"/>
  <c r="T172" i="1" s="1"/>
  <c r="S171" i="1"/>
  <c r="R171" i="1"/>
  <c r="Q171" i="1"/>
  <c r="J171" i="1"/>
  <c r="I171" i="1"/>
  <c r="T171" i="1" s="1"/>
  <c r="S170" i="1"/>
  <c r="R170" i="1"/>
  <c r="Q170" i="1"/>
  <c r="J170" i="1"/>
  <c r="I170" i="1"/>
  <c r="T170" i="1" s="1"/>
  <c r="S169" i="1"/>
  <c r="R169" i="1"/>
  <c r="Q169" i="1"/>
  <c r="J169" i="1"/>
  <c r="I169" i="1"/>
  <c r="T169" i="1" s="1"/>
  <c r="S168" i="1"/>
  <c r="R168" i="1"/>
  <c r="Q168" i="1"/>
  <c r="J168" i="1"/>
  <c r="I168" i="1"/>
  <c r="T168" i="1" s="1"/>
  <c r="S167" i="1"/>
  <c r="R167" i="1"/>
  <c r="Q167" i="1"/>
  <c r="J167" i="1"/>
  <c r="I167" i="1"/>
  <c r="T167" i="1" s="1"/>
  <c r="S166" i="1"/>
  <c r="R166" i="1"/>
  <c r="Q166" i="1"/>
  <c r="J166" i="1"/>
  <c r="I166" i="1"/>
  <c r="T166" i="1" s="1"/>
  <c r="S165" i="1"/>
  <c r="R165" i="1"/>
  <c r="Q165" i="1"/>
  <c r="J165" i="1"/>
  <c r="I165" i="1"/>
  <c r="T165" i="1" s="1"/>
  <c r="S164" i="1"/>
  <c r="R164" i="1"/>
  <c r="Q164" i="1"/>
  <c r="J164" i="1"/>
  <c r="I164" i="1"/>
  <c r="T164" i="1" s="1"/>
  <c r="S163" i="1"/>
  <c r="R163" i="1"/>
  <c r="Q163" i="1"/>
  <c r="J163" i="1"/>
  <c r="I163" i="1"/>
  <c r="T163" i="1" s="1"/>
  <c r="S162" i="1"/>
  <c r="R162" i="1"/>
  <c r="Q162" i="1"/>
  <c r="J162" i="1"/>
  <c r="I162" i="1"/>
  <c r="T162" i="1" s="1"/>
  <c r="S161" i="1"/>
  <c r="R161" i="1"/>
  <c r="Q161" i="1"/>
  <c r="J161" i="1"/>
  <c r="I161" i="1"/>
  <c r="T161" i="1" s="1"/>
  <c r="S160" i="1"/>
  <c r="R160" i="1"/>
  <c r="Q160" i="1"/>
  <c r="J160" i="1"/>
  <c r="I160" i="1"/>
  <c r="T160" i="1" s="1"/>
  <c r="S159" i="1"/>
  <c r="R159" i="1"/>
  <c r="Q159" i="1"/>
  <c r="J159" i="1"/>
  <c r="I159" i="1"/>
  <c r="T159" i="1" s="1"/>
  <c r="S158" i="1"/>
  <c r="R158" i="1"/>
  <c r="Q158" i="1"/>
  <c r="J158" i="1"/>
  <c r="I158" i="1"/>
  <c r="T158" i="1" s="1"/>
  <c r="S157" i="1"/>
  <c r="R157" i="1"/>
  <c r="Q157" i="1"/>
  <c r="J157" i="1"/>
  <c r="I157" i="1"/>
  <c r="T157" i="1" s="1"/>
  <c r="S156" i="1"/>
  <c r="R156" i="1"/>
  <c r="Q156" i="1"/>
  <c r="J156" i="1"/>
  <c r="I156" i="1"/>
  <c r="T156" i="1" s="1"/>
  <c r="S155" i="1"/>
  <c r="R155" i="1"/>
  <c r="Q155" i="1"/>
  <c r="J155" i="1"/>
  <c r="I155" i="1"/>
  <c r="T155" i="1" s="1"/>
  <c r="S154" i="1"/>
  <c r="R154" i="1"/>
  <c r="Q154" i="1"/>
  <c r="J154" i="1"/>
  <c r="I154" i="1"/>
  <c r="T154" i="1" s="1"/>
  <c r="S153" i="1"/>
  <c r="R153" i="1"/>
  <c r="Q153" i="1"/>
  <c r="J153" i="1"/>
  <c r="I153" i="1"/>
  <c r="T153" i="1" s="1"/>
  <c r="S152" i="1"/>
  <c r="R152" i="1"/>
  <c r="Q152" i="1"/>
  <c r="J152" i="1"/>
  <c r="I152" i="1"/>
  <c r="T152" i="1" s="1"/>
  <c r="S151" i="1"/>
  <c r="R151" i="1"/>
  <c r="Q151" i="1"/>
  <c r="J151" i="1"/>
  <c r="I151" i="1"/>
  <c r="T151" i="1" s="1"/>
  <c r="S150" i="1"/>
  <c r="R150" i="1"/>
  <c r="Q150" i="1"/>
  <c r="J150" i="1"/>
  <c r="I150" i="1"/>
  <c r="T150" i="1" s="1"/>
  <c r="S149" i="1"/>
  <c r="R149" i="1"/>
  <c r="Q149" i="1"/>
  <c r="J149" i="1"/>
  <c r="I149" i="1"/>
  <c r="T149" i="1" s="1"/>
  <c r="S148" i="1"/>
  <c r="R148" i="1"/>
  <c r="Q148" i="1"/>
  <c r="J148" i="1"/>
  <c r="I148" i="1"/>
  <c r="T148" i="1" s="1"/>
  <c r="S147" i="1"/>
  <c r="R147" i="1"/>
  <c r="Q147" i="1"/>
  <c r="J147" i="1"/>
  <c r="I147" i="1"/>
  <c r="T147" i="1" s="1"/>
  <c r="S146" i="1"/>
  <c r="R146" i="1"/>
  <c r="Q146" i="1"/>
  <c r="J146" i="1"/>
  <c r="I146" i="1"/>
  <c r="T146" i="1" s="1"/>
  <c r="S145" i="1"/>
  <c r="R145" i="1"/>
  <c r="Q145" i="1"/>
  <c r="J145" i="1"/>
  <c r="I145" i="1"/>
  <c r="T145" i="1" s="1"/>
  <c r="S144" i="1"/>
  <c r="R144" i="1"/>
  <c r="Q144" i="1"/>
  <c r="J144" i="1"/>
  <c r="I144" i="1"/>
  <c r="T144" i="1" s="1"/>
  <c r="S143" i="1"/>
  <c r="R143" i="1"/>
  <c r="Q143" i="1"/>
  <c r="J143" i="1"/>
  <c r="I143" i="1"/>
  <c r="T143" i="1" s="1"/>
  <c r="S142" i="1"/>
  <c r="R142" i="1"/>
  <c r="Q142" i="1"/>
  <c r="J142" i="1"/>
  <c r="I142" i="1"/>
  <c r="T142" i="1" s="1"/>
  <c r="S141" i="1"/>
  <c r="R141" i="1"/>
  <c r="Q141" i="1"/>
  <c r="J141" i="1"/>
  <c r="I141" i="1"/>
  <c r="T141" i="1" s="1"/>
  <c r="S140" i="1"/>
  <c r="R140" i="1"/>
  <c r="Q140" i="1"/>
  <c r="J140" i="1"/>
  <c r="I140" i="1"/>
  <c r="T140" i="1" s="1"/>
  <c r="S139" i="1"/>
  <c r="R139" i="1"/>
  <c r="Q139" i="1"/>
  <c r="J139" i="1"/>
  <c r="I139" i="1"/>
  <c r="T139" i="1" s="1"/>
  <c r="S138" i="1"/>
  <c r="R138" i="1"/>
  <c r="Q138" i="1"/>
  <c r="J138" i="1"/>
  <c r="I138" i="1"/>
  <c r="T138" i="1" s="1"/>
  <c r="S137" i="1"/>
  <c r="R137" i="1"/>
  <c r="Q137" i="1"/>
  <c r="J137" i="1"/>
  <c r="I137" i="1"/>
  <c r="T137" i="1" s="1"/>
  <c r="S136" i="1"/>
  <c r="R136" i="1"/>
  <c r="Q136" i="1"/>
  <c r="J136" i="1"/>
  <c r="I136" i="1"/>
  <c r="T136" i="1" s="1"/>
  <c r="S135" i="1"/>
  <c r="R135" i="1"/>
  <c r="Q135" i="1"/>
  <c r="J135" i="1"/>
  <c r="I135" i="1"/>
  <c r="T135" i="1" s="1"/>
  <c r="S134" i="1"/>
  <c r="R134" i="1"/>
  <c r="Q134" i="1"/>
  <c r="J134" i="1"/>
  <c r="I134" i="1"/>
  <c r="T134" i="1" s="1"/>
  <c r="S133" i="1"/>
  <c r="R133" i="1"/>
  <c r="Q133" i="1"/>
  <c r="J133" i="1"/>
  <c r="I133" i="1"/>
  <c r="T133" i="1" s="1"/>
  <c r="S132" i="1"/>
  <c r="R132" i="1"/>
  <c r="Q132" i="1"/>
  <c r="J132" i="1"/>
  <c r="I132" i="1"/>
  <c r="T132" i="1" s="1"/>
  <c r="S131" i="1"/>
  <c r="R131" i="1"/>
  <c r="Q131" i="1"/>
  <c r="J131" i="1"/>
  <c r="I131" i="1"/>
  <c r="T131" i="1" s="1"/>
  <c r="S130" i="1"/>
  <c r="R130" i="1"/>
  <c r="Q130" i="1"/>
  <c r="J130" i="1"/>
  <c r="I130" i="1"/>
  <c r="T130" i="1" s="1"/>
  <c r="S129" i="1"/>
  <c r="R129" i="1"/>
  <c r="Q129" i="1"/>
  <c r="J129" i="1"/>
  <c r="I129" i="1"/>
  <c r="T129" i="1" s="1"/>
  <c r="S128" i="1"/>
  <c r="R128" i="1"/>
  <c r="Q128" i="1"/>
  <c r="J128" i="1"/>
  <c r="I128" i="1"/>
  <c r="T128" i="1" s="1"/>
  <c r="S127" i="1"/>
  <c r="R127" i="1"/>
  <c r="Q127" i="1"/>
  <c r="J127" i="1"/>
  <c r="I127" i="1"/>
  <c r="T127" i="1" s="1"/>
  <c r="S126" i="1"/>
  <c r="R126" i="1"/>
  <c r="Q126" i="1"/>
  <c r="J126" i="1"/>
  <c r="I126" i="1"/>
  <c r="T126" i="1" s="1"/>
  <c r="S125" i="1"/>
  <c r="R125" i="1"/>
  <c r="Q125" i="1"/>
  <c r="J125" i="1"/>
  <c r="I125" i="1"/>
  <c r="T125" i="1" s="1"/>
  <c r="S124" i="1"/>
  <c r="R124" i="1"/>
  <c r="Q124" i="1"/>
  <c r="J124" i="1"/>
  <c r="I124" i="1"/>
  <c r="T124" i="1" s="1"/>
  <c r="S123" i="1"/>
  <c r="R123" i="1"/>
  <c r="Q123" i="1"/>
  <c r="J123" i="1"/>
  <c r="I123" i="1"/>
  <c r="T123" i="1" s="1"/>
  <c r="S122" i="1"/>
  <c r="R122" i="1"/>
  <c r="Q122" i="1"/>
  <c r="J122" i="1"/>
  <c r="I122" i="1"/>
  <c r="T122" i="1" s="1"/>
  <c r="S121" i="1"/>
  <c r="R121" i="1"/>
  <c r="Q121" i="1"/>
  <c r="J121" i="1"/>
  <c r="I121" i="1"/>
  <c r="T121" i="1" s="1"/>
  <c r="S120" i="1"/>
  <c r="R120" i="1"/>
  <c r="Q120" i="1"/>
  <c r="J120" i="1"/>
  <c r="I120" i="1"/>
  <c r="T120" i="1" s="1"/>
  <c r="S119" i="1"/>
  <c r="R119" i="1"/>
  <c r="Q119" i="1"/>
  <c r="J119" i="1"/>
  <c r="I119" i="1"/>
  <c r="T119" i="1" s="1"/>
  <c r="S118" i="1"/>
  <c r="R118" i="1"/>
  <c r="Q118" i="1"/>
  <c r="J118" i="1"/>
  <c r="I118" i="1"/>
  <c r="T118" i="1" s="1"/>
  <c r="S117" i="1"/>
  <c r="R117" i="1"/>
  <c r="Q117" i="1"/>
  <c r="J117" i="1"/>
  <c r="I117" i="1"/>
  <c r="T117" i="1" s="1"/>
  <c r="S116" i="1"/>
  <c r="R116" i="1"/>
  <c r="Q116" i="1"/>
  <c r="J116" i="1"/>
  <c r="I116" i="1"/>
  <c r="T116" i="1" s="1"/>
  <c r="S115" i="1"/>
  <c r="R115" i="1"/>
  <c r="Q115" i="1"/>
  <c r="J115" i="1"/>
  <c r="I115" i="1"/>
  <c r="T115" i="1" s="1"/>
  <c r="S114" i="1"/>
  <c r="R114" i="1"/>
  <c r="Q114" i="1"/>
  <c r="J114" i="1"/>
  <c r="I114" i="1"/>
  <c r="T114" i="1" s="1"/>
  <c r="S113" i="1"/>
  <c r="R113" i="1"/>
  <c r="Q113" i="1"/>
  <c r="J113" i="1"/>
  <c r="I113" i="1"/>
  <c r="T113" i="1" s="1"/>
  <c r="S112" i="1"/>
  <c r="R112" i="1"/>
  <c r="Q112" i="1"/>
  <c r="J112" i="1"/>
  <c r="I112" i="1"/>
  <c r="T112" i="1" s="1"/>
  <c r="S111" i="1"/>
  <c r="R111" i="1"/>
  <c r="Q111" i="1"/>
  <c r="J111" i="1"/>
  <c r="I111" i="1"/>
  <c r="T111" i="1" s="1"/>
  <c r="S110" i="1"/>
  <c r="R110" i="1"/>
  <c r="Q110" i="1"/>
  <c r="J110" i="1"/>
  <c r="I110" i="1"/>
  <c r="T110" i="1" s="1"/>
  <c r="S109" i="1"/>
  <c r="R109" i="1"/>
  <c r="Q109" i="1"/>
  <c r="J109" i="1"/>
  <c r="I109" i="1"/>
  <c r="T109" i="1" s="1"/>
  <c r="S108" i="1"/>
  <c r="R108" i="1"/>
  <c r="Q108" i="1"/>
  <c r="J108" i="1"/>
  <c r="I108" i="1"/>
  <c r="T108" i="1" s="1"/>
  <c r="S107" i="1"/>
  <c r="R107" i="1"/>
  <c r="Q107" i="1"/>
  <c r="J107" i="1"/>
  <c r="I107" i="1"/>
  <c r="T107" i="1" s="1"/>
  <c r="S106" i="1"/>
  <c r="R106" i="1"/>
  <c r="Q106" i="1"/>
  <c r="J106" i="1"/>
  <c r="I106" i="1"/>
  <c r="T106" i="1" s="1"/>
  <c r="S105" i="1"/>
  <c r="R105" i="1"/>
  <c r="Q105" i="1"/>
  <c r="J105" i="1"/>
  <c r="I105" i="1"/>
  <c r="T105" i="1" s="1"/>
  <c r="S104" i="1"/>
  <c r="R104" i="1"/>
  <c r="Q104" i="1"/>
  <c r="J104" i="1"/>
  <c r="I104" i="1"/>
  <c r="T104" i="1" s="1"/>
  <c r="S103" i="1"/>
  <c r="R103" i="1"/>
  <c r="Q103" i="1"/>
  <c r="J103" i="1"/>
  <c r="I103" i="1"/>
  <c r="T103" i="1" s="1"/>
  <c r="S102" i="1"/>
  <c r="R102" i="1"/>
  <c r="Q102" i="1"/>
  <c r="J102" i="1"/>
  <c r="I102" i="1"/>
  <c r="T102" i="1" s="1"/>
  <c r="S101" i="1"/>
  <c r="R101" i="1"/>
  <c r="Q101" i="1"/>
  <c r="J101" i="1"/>
  <c r="I101" i="1"/>
  <c r="T101" i="1" s="1"/>
  <c r="S100" i="1"/>
  <c r="R100" i="1"/>
  <c r="Q100" i="1"/>
  <c r="J100" i="1"/>
  <c r="I100" i="1"/>
  <c r="T100" i="1" s="1"/>
  <c r="S99" i="1"/>
  <c r="R99" i="1"/>
  <c r="Q99" i="1"/>
  <c r="J99" i="1"/>
  <c r="I99" i="1"/>
  <c r="T99" i="1" s="1"/>
  <c r="S98" i="1"/>
  <c r="R98" i="1"/>
  <c r="Q98" i="1"/>
  <c r="J98" i="1"/>
  <c r="I98" i="1"/>
  <c r="T98" i="1" s="1"/>
  <c r="S97" i="1"/>
  <c r="R97" i="1"/>
  <c r="Q97" i="1"/>
  <c r="J97" i="1"/>
  <c r="I97" i="1"/>
  <c r="T97" i="1" s="1"/>
  <c r="S96" i="1"/>
  <c r="R96" i="1"/>
  <c r="Q96" i="1"/>
  <c r="J96" i="1"/>
  <c r="I96" i="1"/>
  <c r="T96" i="1" s="1"/>
  <c r="S95" i="1"/>
  <c r="R95" i="1"/>
  <c r="Q95" i="1"/>
  <c r="J95" i="1"/>
  <c r="I95" i="1"/>
  <c r="T95" i="1" s="1"/>
  <c r="S94" i="1"/>
  <c r="R94" i="1"/>
  <c r="Q94" i="1"/>
  <c r="J94" i="1"/>
  <c r="I94" i="1"/>
  <c r="T94" i="1" s="1"/>
  <c r="S93" i="1"/>
  <c r="R93" i="1"/>
  <c r="Q93" i="1"/>
  <c r="J93" i="1"/>
  <c r="I93" i="1"/>
  <c r="T93" i="1" s="1"/>
  <c r="S92" i="1"/>
  <c r="R92" i="1"/>
  <c r="Q92" i="1"/>
  <c r="J92" i="1"/>
  <c r="I92" i="1"/>
  <c r="T92" i="1" s="1"/>
  <c r="S91" i="1"/>
  <c r="R91" i="1"/>
  <c r="Q91" i="1"/>
  <c r="J91" i="1"/>
  <c r="I91" i="1"/>
  <c r="T91" i="1" s="1"/>
  <c r="S90" i="1"/>
  <c r="R90" i="1"/>
  <c r="Q90" i="1"/>
  <c r="J90" i="1"/>
  <c r="I90" i="1"/>
  <c r="T90" i="1" s="1"/>
  <c r="S89" i="1"/>
  <c r="R89" i="1"/>
  <c r="Q89" i="1"/>
  <c r="J89" i="1"/>
  <c r="I89" i="1"/>
  <c r="T89" i="1" s="1"/>
  <c r="S88" i="1"/>
  <c r="R88" i="1"/>
  <c r="Q88" i="1"/>
  <c r="J88" i="1"/>
  <c r="I88" i="1"/>
  <c r="T88" i="1" s="1"/>
  <c r="S87" i="1"/>
  <c r="R87" i="1"/>
  <c r="Q87" i="1"/>
  <c r="J87" i="1"/>
  <c r="I87" i="1"/>
  <c r="T87" i="1" s="1"/>
  <c r="S86" i="1"/>
  <c r="R86" i="1"/>
  <c r="Q86" i="1"/>
  <c r="J86" i="1"/>
  <c r="I86" i="1"/>
  <c r="T86" i="1" s="1"/>
  <c r="S85" i="1"/>
  <c r="R85" i="1"/>
  <c r="Q85" i="1"/>
  <c r="J85" i="1"/>
  <c r="I85" i="1"/>
  <c r="T85" i="1" s="1"/>
  <c r="S84" i="1"/>
  <c r="R84" i="1"/>
  <c r="Q84" i="1"/>
  <c r="J84" i="1"/>
  <c r="I84" i="1"/>
  <c r="T84" i="1" s="1"/>
  <c r="S83" i="1"/>
  <c r="R83" i="1"/>
  <c r="Q83" i="1"/>
  <c r="J83" i="1"/>
  <c r="I83" i="1"/>
  <c r="T83" i="1" s="1"/>
  <c r="S82" i="1"/>
  <c r="R82" i="1"/>
  <c r="Q82" i="1"/>
  <c r="J82" i="1"/>
  <c r="I82" i="1"/>
  <c r="T82" i="1" s="1"/>
  <c r="S81" i="1"/>
  <c r="R81" i="1"/>
  <c r="Q81" i="1"/>
  <c r="J81" i="1"/>
  <c r="I81" i="1"/>
  <c r="T81" i="1" s="1"/>
  <c r="S80" i="1"/>
  <c r="R80" i="1"/>
  <c r="Q80" i="1"/>
  <c r="J80" i="1"/>
  <c r="I80" i="1"/>
  <c r="T80" i="1" s="1"/>
  <c r="S79" i="1"/>
  <c r="R79" i="1"/>
  <c r="Q79" i="1"/>
  <c r="J79" i="1"/>
  <c r="I79" i="1"/>
  <c r="T79" i="1" s="1"/>
  <c r="S78" i="1"/>
  <c r="R78" i="1"/>
  <c r="Q78" i="1"/>
  <c r="J78" i="1"/>
  <c r="I78" i="1"/>
  <c r="T78" i="1" s="1"/>
  <c r="S77" i="1"/>
  <c r="R77" i="1"/>
  <c r="Q77" i="1"/>
  <c r="J77" i="1"/>
  <c r="I77" i="1"/>
  <c r="T77" i="1" s="1"/>
  <c r="S76" i="1"/>
  <c r="R76" i="1"/>
  <c r="Q76" i="1"/>
  <c r="J76" i="1"/>
  <c r="I76" i="1"/>
  <c r="T76" i="1" s="1"/>
  <c r="S75" i="1"/>
  <c r="R75" i="1"/>
  <c r="Q75" i="1"/>
  <c r="J75" i="1"/>
  <c r="I75" i="1"/>
  <c r="T75" i="1" s="1"/>
  <c r="S74" i="1"/>
  <c r="R74" i="1"/>
  <c r="Q74" i="1"/>
  <c r="J74" i="1"/>
  <c r="I74" i="1"/>
  <c r="T74" i="1" s="1"/>
  <c r="S73" i="1"/>
  <c r="R73" i="1"/>
  <c r="Q73" i="1"/>
  <c r="J73" i="1"/>
  <c r="I73" i="1"/>
  <c r="T73" i="1" s="1"/>
  <c r="S72" i="1"/>
  <c r="R72" i="1"/>
  <c r="Q72" i="1"/>
  <c r="J72" i="1"/>
  <c r="I72" i="1"/>
  <c r="T72" i="1" s="1"/>
  <c r="S71" i="1"/>
  <c r="R71" i="1"/>
  <c r="Q71" i="1"/>
  <c r="J71" i="1"/>
  <c r="I71" i="1"/>
  <c r="T71" i="1" s="1"/>
  <c r="S70" i="1"/>
  <c r="R70" i="1"/>
  <c r="Q70" i="1"/>
  <c r="J70" i="1"/>
  <c r="I70" i="1"/>
  <c r="T70" i="1" s="1"/>
  <c r="S69" i="1"/>
  <c r="R69" i="1"/>
  <c r="Q69" i="1"/>
  <c r="J69" i="1"/>
  <c r="I69" i="1"/>
  <c r="T69" i="1" s="1"/>
  <c r="S68" i="1"/>
  <c r="R68" i="1"/>
  <c r="Q68" i="1"/>
  <c r="J68" i="1"/>
  <c r="I68" i="1"/>
  <c r="T68" i="1" s="1"/>
  <c r="S67" i="1"/>
  <c r="R67" i="1"/>
  <c r="Q67" i="1"/>
  <c r="J67" i="1"/>
  <c r="I67" i="1"/>
  <c r="T67" i="1" s="1"/>
  <c r="S66" i="1"/>
  <c r="R66" i="1"/>
  <c r="Q66" i="1"/>
  <c r="J66" i="1"/>
  <c r="I66" i="1"/>
  <c r="T66" i="1" s="1"/>
  <c r="S65" i="1"/>
  <c r="R65" i="1"/>
  <c r="Q65" i="1"/>
  <c r="J65" i="1"/>
  <c r="I65" i="1"/>
  <c r="T65" i="1" s="1"/>
  <c r="S64" i="1"/>
  <c r="R64" i="1"/>
  <c r="Q64" i="1"/>
  <c r="J64" i="1"/>
  <c r="I64" i="1"/>
  <c r="T64" i="1" s="1"/>
  <c r="S63" i="1"/>
  <c r="R63" i="1"/>
  <c r="Q63" i="1"/>
  <c r="J63" i="1"/>
  <c r="I63" i="1"/>
  <c r="T63" i="1" s="1"/>
  <c r="S62" i="1"/>
  <c r="R62" i="1"/>
  <c r="Q62" i="1"/>
  <c r="J62" i="1"/>
  <c r="I62" i="1"/>
  <c r="T62" i="1" s="1"/>
  <c r="S61" i="1"/>
  <c r="R61" i="1"/>
  <c r="Q61" i="1"/>
  <c r="J61" i="1"/>
  <c r="I61" i="1"/>
  <c r="T61" i="1" s="1"/>
  <c r="S60" i="1"/>
  <c r="R60" i="1"/>
  <c r="Q60" i="1"/>
  <c r="J60" i="1"/>
  <c r="I60" i="1"/>
  <c r="T60" i="1" s="1"/>
  <c r="S59" i="1"/>
  <c r="R59" i="1"/>
  <c r="Q59" i="1"/>
  <c r="J59" i="1"/>
  <c r="I59" i="1"/>
  <c r="T59" i="1" s="1"/>
  <c r="S58" i="1"/>
  <c r="R58" i="1"/>
  <c r="Q58" i="1"/>
  <c r="J58" i="1"/>
  <c r="I58" i="1"/>
  <c r="T58" i="1" s="1"/>
  <c r="S57" i="1"/>
  <c r="R57" i="1"/>
  <c r="Q57" i="1"/>
  <c r="J57" i="1"/>
  <c r="I57" i="1"/>
  <c r="T57" i="1" s="1"/>
  <c r="S56" i="1"/>
  <c r="R56" i="1"/>
  <c r="Q56" i="1"/>
  <c r="J56" i="1"/>
  <c r="I56" i="1"/>
  <c r="T56" i="1" s="1"/>
  <c r="S55" i="1"/>
  <c r="R55" i="1"/>
  <c r="Q55" i="1"/>
  <c r="J55" i="1"/>
  <c r="I55" i="1"/>
  <c r="T55" i="1" s="1"/>
  <c r="S54" i="1"/>
  <c r="R54" i="1"/>
  <c r="Q54" i="1"/>
  <c r="J54" i="1"/>
  <c r="I54" i="1"/>
  <c r="T54" i="1" s="1"/>
  <c r="S53" i="1"/>
  <c r="R53" i="1"/>
  <c r="Q53" i="1"/>
  <c r="J53" i="1"/>
  <c r="I53" i="1"/>
  <c r="T53" i="1" s="1"/>
  <c r="S52" i="1"/>
  <c r="R52" i="1"/>
  <c r="Q52" i="1"/>
  <c r="J52" i="1"/>
  <c r="I52" i="1"/>
  <c r="T52" i="1" s="1"/>
  <c r="S51" i="1"/>
  <c r="R51" i="1"/>
  <c r="Q51" i="1"/>
  <c r="J51" i="1"/>
  <c r="I51" i="1"/>
  <c r="T51" i="1" s="1"/>
  <c r="S50" i="1"/>
  <c r="R50" i="1"/>
  <c r="Q50" i="1"/>
  <c r="J50" i="1"/>
  <c r="I50" i="1"/>
  <c r="T50" i="1" s="1"/>
  <c r="S49" i="1"/>
  <c r="R49" i="1"/>
  <c r="Q49" i="1"/>
  <c r="J49" i="1"/>
  <c r="I49" i="1"/>
  <c r="T49" i="1" s="1"/>
  <c r="S48" i="1"/>
  <c r="R48" i="1"/>
  <c r="Q48" i="1"/>
  <c r="J48" i="1"/>
  <c r="I48" i="1"/>
  <c r="T48" i="1" s="1"/>
  <c r="S47" i="1"/>
  <c r="R47" i="1"/>
  <c r="Q47" i="1"/>
  <c r="J47" i="1"/>
  <c r="I47" i="1"/>
  <c r="T47" i="1" s="1"/>
  <c r="S46" i="1"/>
  <c r="R46" i="1"/>
  <c r="Q46" i="1"/>
  <c r="J46" i="1"/>
  <c r="I46" i="1"/>
  <c r="T46" i="1" s="1"/>
  <c r="S45" i="1"/>
  <c r="R45" i="1"/>
  <c r="Q45" i="1"/>
  <c r="J45" i="1"/>
  <c r="I45" i="1"/>
  <c r="T45" i="1" s="1"/>
  <c r="S44" i="1"/>
  <c r="R44" i="1"/>
  <c r="Q44" i="1"/>
  <c r="J44" i="1"/>
  <c r="I44" i="1"/>
  <c r="T44" i="1" s="1"/>
  <c r="S43" i="1"/>
  <c r="R43" i="1"/>
  <c r="Q43" i="1"/>
  <c r="J43" i="1"/>
  <c r="I43" i="1"/>
  <c r="T43" i="1" s="1"/>
  <c r="S42" i="1"/>
  <c r="R42" i="1"/>
  <c r="Q42" i="1"/>
  <c r="J42" i="1"/>
  <c r="I42" i="1"/>
  <c r="T42" i="1" s="1"/>
  <c r="S41" i="1"/>
  <c r="R41" i="1"/>
  <c r="Q41" i="1"/>
  <c r="J41" i="1"/>
  <c r="I41" i="1"/>
  <c r="T41" i="1" s="1"/>
  <c r="S40" i="1"/>
  <c r="R40" i="1"/>
  <c r="Q40" i="1"/>
  <c r="J40" i="1"/>
  <c r="I40" i="1"/>
  <c r="T40" i="1" s="1"/>
  <c r="S39" i="1"/>
  <c r="R39" i="1"/>
  <c r="Q39" i="1"/>
  <c r="J39" i="1"/>
  <c r="I39" i="1"/>
  <c r="T39" i="1" s="1"/>
  <c r="S38" i="1"/>
  <c r="R38" i="1"/>
  <c r="Q38" i="1"/>
  <c r="J38" i="1"/>
  <c r="I38" i="1"/>
  <c r="T38" i="1" s="1"/>
  <c r="S37" i="1"/>
  <c r="R37" i="1"/>
  <c r="Q37" i="1"/>
  <c r="J37" i="1"/>
  <c r="I37" i="1"/>
  <c r="T37" i="1" s="1"/>
  <c r="S36" i="1"/>
  <c r="R36" i="1"/>
  <c r="Q36" i="1"/>
  <c r="J36" i="1"/>
  <c r="I36" i="1"/>
  <c r="T36" i="1" s="1"/>
  <c r="S35" i="1"/>
  <c r="R35" i="1"/>
  <c r="Q35" i="1"/>
  <c r="J35" i="1"/>
  <c r="I35" i="1"/>
  <c r="T35" i="1" s="1"/>
  <c r="S34" i="1"/>
  <c r="R34" i="1"/>
  <c r="Q34" i="1"/>
  <c r="J34" i="1"/>
  <c r="I34" i="1"/>
  <c r="T34" i="1" s="1"/>
  <c r="S33" i="1"/>
  <c r="R33" i="1"/>
  <c r="Q33" i="1"/>
  <c r="J33" i="1"/>
  <c r="I33" i="1"/>
  <c r="T33" i="1" s="1"/>
  <c r="S32" i="1"/>
  <c r="R32" i="1"/>
  <c r="Q32" i="1"/>
  <c r="J32" i="1"/>
  <c r="I32" i="1"/>
  <c r="T32" i="1" s="1"/>
  <c r="S31" i="1"/>
  <c r="R31" i="1"/>
  <c r="Q31" i="1"/>
  <c r="J31" i="1"/>
  <c r="I31" i="1"/>
  <c r="T31" i="1" s="1"/>
  <c r="S30" i="1"/>
  <c r="R30" i="1"/>
  <c r="Q30" i="1"/>
  <c r="J30" i="1"/>
  <c r="I30" i="1"/>
  <c r="T30" i="1" s="1"/>
  <c r="S29" i="1"/>
  <c r="R29" i="1"/>
  <c r="Q29" i="1"/>
  <c r="J29" i="1"/>
  <c r="I29" i="1"/>
  <c r="T29" i="1" s="1"/>
  <c r="S28" i="1"/>
  <c r="R28" i="1"/>
  <c r="Q28" i="1"/>
  <c r="J28" i="1"/>
  <c r="I28" i="1"/>
  <c r="T28" i="1" s="1"/>
  <c r="S27" i="1"/>
  <c r="R27" i="1"/>
  <c r="Q27" i="1"/>
  <c r="J27" i="1"/>
  <c r="I27" i="1"/>
  <c r="T27" i="1" s="1"/>
  <c r="S26" i="1"/>
  <c r="R26" i="1"/>
  <c r="Q26" i="1"/>
  <c r="J26" i="1"/>
  <c r="I26" i="1"/>
  <c r="T26" i="1" s="1"/>
  <c r="S25" i="1"/>
  <c r="R25" i="1"/>
  <c r="Q25" i="1"/>
  <c r="J25" i="1"/>
  <c r="I25" i="1"/>
  <c r="T25" i="1" s="1"/>
  <c r="S24" i="1"/>
  <c r="R24" i="1"/>
  <c r="Q24" i="1"/>
  <c r="J24" i="1"/>
  <c r="I24" i="1"/>
  <c r="T24" i="1" s="1"/>
  <c r="S23" i="1"/>
  <c r="R23" i="1"/>
  <c r="Q23" i="1"/>
  <c r="J23" i="1"/>
  <c r="I23" i="1"/>
  <c r="T23" i="1" s="1"/>
  <c r="S22" i="1"/>
  <c r="R22" i="1"/>
  <c r="Q22" i="1"/>
  <c r="J22" i="1"/>
  <c r="I22" i="1"/>
  <c r="T22" i="1" s="1"/>
  <c r="S21" i="1"/>
  <c r="R21" i="1"/>
  <c r="Q21" i="1"/>
  <c r="J21" i="1"/>
  <c r="I21" i="1"/>
  <c r="T21" i="1" s="1"/>
  <c r="S20" i="1"/>
  <c r="R20" i="1"/>
  <c r="Q20" i="1"/>
  <c r="J20" i="1"/>
  <c r="I20" i="1"/>
  <c r="T20" i="1" s="1"/>
  <c r="S19" i="1"/>
  <c r="R19" i="1"/>
  <c r="Q19" i="1"/>
  <c r="J19" i="1"/>
  <c r="I19" i="1"/>
  <c r="T19" i="1" s="1"/>
  <c r="S18" i="1"/>
  <c r="R18" i="1"/>
  <c r="Q18" i="1"/>
  <c r="J18" i="1"/>
  <c r="I18" i="1"/>
  <c r="T18" i="1" s="1"/>
  <c r="S17" i="1"/>
  <c r="R17" i="1"/>
  <c r="Q17" i="1"/>
  <c r="J17" i="1"/>
  <c r="I17" i="1"/>
  <c r="T17" i="1" s="1"/>
  <c r="S16" i="1"/>
  <c r="R16" i="1"/>
  <c r="Q16" i="1"/>
  <c r="J16" i="1"/>
  <c r="I16" i="1"/>
  <c r="T16" i="1" s="1"/>
  <c r="S15" i="1"/>
  <c r="R15" i="1"/>
  <c r="Q15" i="1"/>
  <c r="J15" i="1"/>
  <c r="I15" i="1"/>
  <c r="T15" i="1" s="1"/>
  <c r="S14" i="1"/>
  <c r="R14" i="1"/>
  <c r="Q14" i="1"/>
  <c r="J14" i="1"/>
  <c r="I14" i="1"/>
  <c r="T14" i="1" s="1"/>
  <c r="S13" i="1"/>
  <c r="R13" i="1"/>
  <c r="Q13" i="1"/>
  <c r="J13" i="1"/>
  <c r="I13" i="1"/>
  <c r="T13" i="1" s="1"/>
  <c r="S12" i="1"/>
  <c r="R12" i="1"/>
  <c r="Q12" i="1"/>
  <c r="J12" i="1"/>
  <c r="I12" i="1"/>
  <c r="T12" i="1" s="1"/>
  <c r="S11" i="1"/>
  <c r="R11" i="1"/>
  <c r="Q11" i="1"/>
  <c r="J11" i="1"/>
  <c r="I11" i="1"/>
  <c r="T11" i="1" s="1"/>
  <c r="S10" i="1"/>
  <c r="R10" i="1"/>
  <c r="Q10" i="1"/>
  <c r="J10" i="1"/>
  <c r="I10" i="1"/>
  <c r="S9" i="1"/>
  <c r="R9" i="1"/>
  <c r="Q9" i="1"/>
  <c r="J9" i="1"/>
  <c r="I9" i="1"/>
  <c r="T9" i="1" s="1"/>
  <c r="S8" i="1"/>
  <c r="R8" i="1"/>
  <c r="Q8" i="1"/>
  <c r="J8" i="1"/>
  <c r="I8" i="1"/>
  <c r="T8" i="1" s="1"/>
  <c r="S7" i="1"/>
  <c r="R7" i="1"/>
  <c r="Q7" i="1"/>
  <c r="J7" i="1"/>
  <c r="I7" i="1"/>
  <c r="T7" i="1" s="1"/>
  <c r="S54" i="1010"/>
  <c r="R54" i="1010"/>
  <c r="Q54" i="1010"/>
  <c r="J54" i="1010"/>
  <c r="I54" i="1010"/>
  <c r="T54" i="1010" s="1"/>
  <c r="S53" i="1010"/>
  <c r="R53" i="1010"/>
  <c r="Q53" i="1010"/>
  <c r="J53" i="1010"/>
  <c r="I53" i="1010"/>
  <c r="T53" i="1010" s="1"/>
  <c r="S52" i="1010"/>
  <c r="R52" i="1010"/>
  <c r="Q52" i="1010"/>
  <c r="J52" i="1010"/>
  <c r="I52" i="1010"/>
  <c r="T52" i="1010" s="1"/>
  <c r="S51" i="1010"/>
  <c r="R51" i="1010"/>
  <c r="Q51" i="1010"/>
  <c r="J51" i="1010"/>
  <c r="I51" i="1010"/>
  <c r="T51" i="1010" s="1"/>
  <c r="S50" i="1010"/>
  <c r="R50" i="1010"/>
  <c r="Q50" i="1010"/>
  <c r="J50" i="1010"/>
  <c r="I50" i="1010"/>
  <c r="T50" i="1010" s="1"/>
  <c r="S49" i="1010"/>
  <c r="R49" i="1010"/>
  <c r="Q49" i="1010"/>
  <c r="J49" i="1010"/>
  <c r="I49" i="1010"/>
  <c r="T49" i="1010" s="1"/>
  <c r="S48" i="1010"/>
  <c r="R48" i="1010"/>
  <c r="Q48" i="1010"/>
  <c r="J48" i="1010"/>
  <c r="I48" i="1010"/>
  <c r="T48" i="1010" s="1"/>
  <c r="S47" i="1010"/>
  <c r="R47" i="1010"/>
  <c r="Q47" i="1010"/>
  <c r="J47" i="1010"/>
  <c r="I47" i="1010"/>
  <c r="T47" i="1010" s="1"/>
  <c r="S46" i="1010"/>
  <c r="R46" i="1010"/>
  <c r="Q46" i="1010"/>
  <c r="J46" i="1010"/>
  <c r="I46" i="1010"/>
  <c r="T46" i="1010" s="1"/>
  <c r="S45" i="1010"/>
  <c r="R45" i="1010"/>
  <c r="Q45" i="1010"/>
  <c r="J45" i="1010"/>
  <c r="I45" i="1010"/>
  <c r="T45" i="1010" s="1"/>
  <c r="S44" i="1010"/>
  <c r="R44" i="1010"/>
  <c r="Q44" i="1010"/>
  <c r="J44" i="1010"/>
  <c r="I44" i="1010"/>
  <c r="T44" i="1010" s="1"/>
  <c r="S43" i="1010"/>
  <c r="R43" i="1010"/>
  <c r="Q43" i="1010"/>
  <c r="J43" i="1010"/>
  <c r="I43" i="1010"/>
  <c r="T43" i="1010" s="1"/>
  <c r="S42" i="1010"/>
  <c r="R42" i="1010"/>
  <c r="Q42" i="1010"/>
  <c r="J42" i="1010"/>
  <c r="I42" i="1010"/>
  <c r="T42" i="1010" s="1"/>
  <c r="S41" i="1010"/>
  <c r="R41" i="1010"/>
  <c r="Q41" i="1010"/>
  <c r="J41" i="1010"/>
  <c r="I41" i="1010"/>
  <c r="T41" i="1010" s="1"/>
  <c r="S40" i="1010"/>
  <c r="R40" i="1010"/>
  <c r="Q40" i="1010"/>
  <c r="J40" i="1010"/>
  <c r="I40" i="1010"/>
  <c r="T40" i="1010" s="1"/>
  <c r="S39" i="1010"/>
  <c r="R39" i="1010"/>
  <c r="Q39" i="1010"/>
  <c r="J39" i="1010"/>
  <c r="I39" i="1010"/>
  <c r="T39" i="1010" s="1"/>
  <c r="S38" i="1010"/>
  <c r="R38" i="1010"/>
  <c r="Q38" i="1010"/>
  <c r="J38" i="1010"/>
  <c r="I38" i="1010"/>
  <c r="T38" i="1010" s="1"/>
  <c r="S37" i="1010"/>
  <c r="R37" i="1010"/>
  <c r="Q37" i="1010"/>
  <c r="J37" i="1010"/>
  <c r="I37" i="1010"/>
  <c r="T37" i="1010" s="1"/>
  <c r="S36" i="1010"/>
  <c r="R36" i="1010"/>
  <c r="Q36" i="1010"/>
  <c r="J36" i="1010"/>
  <c r="I36" i="1010"/>
  <c r="T36" i="1010" s="1"/>
  <c r="S35" i="1010"/>
  <c r="R35" i="1010"/>
  <c r="Q35" i="1010"/>
  <c r="J35" i="1010"/>
  <c r="I35" i="1010"/>
  <c r="T35" i="1010" s="1"/>
  <c r="S34" i="1010"/>
  <c r="R34" i="1010"/>
  <c r="Q34" i="1010"/>
  <c r="J34" i="1010"/>
  <c r="I34" i="1010"/>
  <c r="T34" i="1010" s="1"/>
  <c r="S33" i="1010"/>
  <c r="R33" i="1010"/>
  <c r="Q33" i="1010"/>
  <c r="J33" i="1010"/>
  <c r="I33" i="1010"/>
  <c r="T33" i="1010" s="1"/>
  <c r="S32" i="1010"/>
  <c r="R32" i="1010"/>
  <c r="Q32" i="1010"/>
  <c r="J32" i="1010"/>
  <c r="I32" i="1010"/>
  <c r="T32" i="1010" s="1"/>
  <c r="S31" i="1010"/>
  <c r="R31" i="1010"/>
  <c r="Q31" i="1010"/>
  <c r="J31" i="1010"/>
  <c r="I31" i="1010"/>
  <c r="T31" i="1010" s="1"/>
  <c r="S30" i="1010"/>
  <c r="R30" i="1010"/>
  <c r="Q30" i="1010"/>
  <c r="J30" i="1010"/>
  <c r="I30" i="1010"/>
  <c r="T30" i="1010" s="1"/>
  <c r="S29" i="1010"/>
  <c r="R29" i="1010"/>
  <c r="Q29" i="1010"/>
  <c r="J29" i="1010"/>
  <c r="I29" i="1010"/>
  <c r="T29" i="1010" s="1"/>
  <c r="S28" i="1010"/>
  <c r="R28" i="1010"/>
  <c r="Q28" i="1010"/>
  <c r="J28" i="1010"/>
  <c r="I28" i="1010"/>
  <c r="T28" i="1010" s="1"/>
  <c r="S27" i="1010"/>
  <c r="R27" i="1010"/>
  <c r="Q27" i="1010"/>
  <c r="J27" i="1010"/>
  <c r="I27" i="1010"/>
  <c r="T27" i="1010" s="1"/>
  <c r="S26" i="1010"/>
  <c r="R26" i="1010"/>
  <c r="Q26" i="1010"/>
  <c r="J26" i="1010"/>
  <c r="I26" i="1010"/>
  <c r="T26" i="1010" s="1"/>
  <c r="S25" i="1010"/>
  <c r="R25" i="1010"/>
  <c r="Q25" i="1010"/>
  <c r="J25" i="1010"/>
  <c r="I25" i="1010"/>
  <c r="T25" i="1010" s="1"/>
  <c r="S24" i="1010"/>
  <c r="R24" i="1010"/>
  <c r="Q24" i="1010"/>
  <c r="J24" i="1010"/>
  <c r="I24" i="1010"/>
  <c r="T24" i="1010" s="1"/>
  <c r="S23" i="1010"/>
  <c r="R23" i="1010"/>
  <c r="Q23" i="1010"/>
  <c r="J23" i="1010"/>
  <c r="I23" i="1010"/>
  <c r="T23" i="1010" s="1"/>
  <c r="S22" i="1010"/>
  <c r="R22" i="1010"/>
  <c r="Q22" i="1010"/>
  <c r="J22" i="1010"/>
  <c r="I22" i="1010"/>
  <c r="T22" i="1010" s="1"/>
  <c r="S21" i="1010"/>
  <c r="R21" i="1010"/>
  <c r="Q21" i="1010"/>
  <c r="J21" i="1010"/>
  <c r="I21" i="1010"/>
  <c r="T21" i="1010" s="1"/>
  <c r="S20" i="1010"/>
  <c r="R20" i="1010"/>
  <c r="Q20" i="1010"/>
  <c r="J20" i="1010"/>
  <c r="I20" i="1010"/>
  <c r="T20" i="1010" s="1"/>
  <c r="S19" i="1010"/>
  <c r="R19" i="1010"/>
  <c r="Q19" i="1010"/>
  <c r="J19" i="1010"/>
  <c r="I19" i="1010"/>
  <c r="T19" i="1010" s="1"/>
  <c r="S18" i="1010"/>
  <c r="R18" i="1010"/>
  <c r="Q18" i="1010"/>
  <c r="J18" i="1010"/>
  <c r="I18" i="1010"/>
  <c r="T18" i="1010" s="1"/>
  <c r="S17" i="1010"/>
  <c r="R17" i="1010"/>
  <c r="Q17" i="1010"/>
  <c r="J17" i="1010"/>
  <c r="I17" i="1010"/>
  <c r="T17" i="1010" s="1"/>
  <c r="S16" i="1010"/>
  <c r="R16" i="1010"/>
  <c r="Q16" i="1010"/>
  <c r="J16" i="1010"/>
  <c r="I16" i="1010"/>
  <c r="T16" i="1010" s="1"/>
  <c r="S15" i="1010"/>
  <c r="R15" i="1010"/>
  <c r="Q15" i="1010"/>
  <c r="J15" i="1010"/>
  <c r="I15" i="1010"/>
  <c r="T15" i="1010" s="1"/>
  <c r="S14" i="1010"/>
  <c r="R14" i="1010"/>
  <c r="Q14" i="1010"/>
  <c r="J14" i="1010"/>
  <c r="I14" i="1010"/>
  <c r="T14" i="1010" s="1"/>
  <c r="S13" i="1010"/>
  <c r="R13" i="1010"/>
  <c r="Q13" i="1010"/>
  <c r="J13" i="1010"/>
  <c r="I13" i="1010"/>
  <c r="T13" i="1010" s="1"/>
  <c r="S12" i="1010"/>
  <c r="R12" i="1010"/>
  <c r="Q12" i="1010"/>
  <c r="J12" i="1010"/>
  <c r="I12" i="1010"/>
  <c r="T12" i="1010" s="1"/>
  <c r="S11" i="1010"/>
  <c r="R11" i="1010"/>
  <c r="Q11" i="1010"/>
  <c r="J11" i="1010"/>
  <c r="I11" i="1010"/>
  <c r="T11" i="1010" s="1"/>
  <c r="S10" i="1010"/>
  <c r="R10" i="1010"/>
  <c r="Q10" i="1010"/>
  <c r="J10" i="1010"/>
  <c r="I10" i="1010"/>
  <c r="T10" i="1010" s="1"/>
  <c r="S9" i="1010"/>
  <c r="R9" i="1010"/>
  <c r="Q9" i="1010"/>
  <c r="J9" i="1010"/>
  <c r="I9" i="1010"/>
  <c r="T9" i="1010" s="1"/>
  <c r="S8" i="1010"/>
  <c r="R8" i="1010"/>
  <c r="Q8" i="1010"/>
  <c r="J8" i="1010"/>
  <c r="I8" i="1010"/>
  <c r="T8" i="1010" s="1"/>
  <c r="S7" i="1010"/>
  <c r="R7" i="1010"/>
  <c r="Q7" i="1010"/>
  <c r="J7" i="1010"/>
  <c r="I7" i="1010"/>
  <c r="T7" i="1010" s="1"/>
  <c r="S65" i="1009"/>
  <c r="R65" i="1009"/>
  <c r="Q65" i="1009"/>
  <c r="J65" i="1009"/>
  <c r="I65" i="1009"/>
  <c r="T65" i="1009" s="1"/>
  <c r="S64" i="1009"/>
  <c r="R64" i="1009"/>
  <c r="Q64" i="1009"/>
  <c r="J64" i="1009"/>
  <c r="I64" i="1009"/>
  <c r="T64" i="1009" s="1"/>
  <c r="S63" i="1009"/>
  <c r="R63" i="1009"/>
  <c r="Q63" i="1009"/>
  <c r="J63" i="1009"/>
  <c r="I63" i="1009"/>
  <c r="T63" i="1009" s="1"/>
  <c r="S62" i="1009"/>
  <c r="R62" i="1009"/>
  <c r="Q62" i="1009"/>
  <c r="J62" i="1009"/>
  <c r="I62" i="1009"/>
  <c r="T62" i="1009" s="1"/>
  <c r="S61" i="1009"/>
  <c r="R61" i="1009"/>
  <c r="Q61" i="1009"/>
  <c r="J61" i="1009"/>
  <c r="I61" i="1009"/>
  <c r="T61" i="1009" s="1"/>
  <c r="S60" i="1009"/>
  <c r="R60" i="1009"/>
  <c r="Q60" i="1009"/>
  <c r="J60" i="1009"/>
  <c r="I60" i="1009"/>
  <c r="T60" i="1009" s="1"/>
  <c r="S59" i="1009"/>
  <c r="R59" i="1009"/>
  <c r="Q59" i="1009"/>
  <c r="J59" i="1009"/>
  <c r="I59" i="1009"/>
  <c r="T59" i="1009" s="1"/>
  <c r="S58" i="1009"/>
  <c r="R58" i="1009"/>
  <c r="Q58" i="1009"/>
  <c r="J58" i="1009"/>
  <c r="I58" i="1009"/>
  <c r="T58" i="1009" s="1"/>
  <c r="S57" i="1009"/>
  <c r="R57" i="1009"/>
  <c r="Q57" i="1009"/>
  <c r="J57" i="1009"/>
  <c r="I57" i="1009"/>
  <c r="T57" i="1009" s="1"/>
  <c r="S56" i="1009"/>
  <c r="R56" i="1009"/>
  <c r="Q56" i="1009"/>
  <c r="J56" i="1009"/>
  <c r="I56" i="1009"/>
  <c r="T56" i="1009" s="1"/>
  <c r="S55" i="1009"/>
  <c r="R55" i="1009"/>
  <c r="Q55" i="1009"/>
  <c r="J55" i="1009"/>
  <c r="I55" i="1009"/>
  <c r="T55" i="1009" s="1"/>
  <c r="S54" i="1009"/>
  <c r="R54" i="1009"/>
  <c r="Q54" i="1009"/>
  <c r="J54" i="1009"/>
  <c r="I54" i="1009"/>
  <c r="T54" i="1009" s="1"/>
  <c r="S53" i="1009"/>
  <c r="R53" i="1009"/>
  <c r="Q53" i="1009"/>
  <c r="J53" i="1009"/>
  <c r="I53" i="1009"/>
  <c r="T53" i="1009" s="1"/>
  <c r="S52" i="1009"/>
  <c r="R52" i="1009"/>
  <c r="Q52" i="1009"/>
  <c r="J52" i="1009"/>
  <c r="I52" i="1009"/>
  <c r="T52" i="1009" s="1"/>
  <c r="S51" i="1009"/>
  <c r="R51" i="1009"/>
  <c r="Q51" i="1009"/>
  <c r="J51" i="1009"/>
  <c r="I51" i="1009"/>
  <c r="T51" i="1009" s="1"/>
  <c r="S50" i="1009"/>
  <c r="R50" i="1009"/>
  <c r="Q50" i="1009"/>
  <c r="J50" i="1009"/>
  <c r="I50" i="1009"/>
  <c r="T50" i="1009" s="1"/>
  <c r="S49" i="1009"/>
  <c r="R49" i="1009"/>
  <c r="Q49" i="1009"/>
  <c r="J49" i="1009"/>
  <c r="I49" i="1009"/>
  <c r="T49" i="1009" s="1"/>
  <c r="S48" i="1009"/>
  <c r="R48" i="1009"/>
  <c r="Q48" i="1009"/>
  <c r="J48" i="1009"/>
  <c r="I48" i="1009"/>
  <c r="T48" i="1009" s="1"/>
  <c r="S47" i="1009"/>
  <c r="R47" i="1009"/>
  <c r="Q47" i="1009"/>
  <c r="J47" i="1009"/>
  <c r="I47" i="1009"/>
  <c r="T47" i="1009" s="1"/>
  <c r="S46" i="1009"/>
  <c r="R46" i="1009"/>
  <c r="Q46" i="1009"/>
  <c r="J46" i="1009"/>
  <c r="I46" i="1009"/>
  <c r="T46" i="1009" s="1"/>
  <c r="S45" i="1009"/>
  <c r="R45" i="1009"/>
  <c r="Q45" i="1009"/>
  <c r="J45" i="1009"/>
  <c r="I45" i="1009"/>
  <c r="T45" i="1009" s="1"/>
  <c r="S44" i="1009"/>
  <c r="R44" i="1009"/>
  <c r="Q44" i="1009"/>
  <c r="J44" i="1009"/>
  <c r="I44" i="1009"/>
  <c r="T44" i="1009" s="1"/>
  <c r="S43" i="1009"/>
  <c r="R43" i="1009"/>
  <c r="Q43" i="1009"/>
  <c r="J43" i="1009"/>
  <c r="I43" i="1009"/>
  <c r="T43" i="1009" s="1"/>
  <c r="S42" i="1009"/>
  <c r="R42" i="1009"/>
  <c r="Q42" i="1009"/>
  <c r="J42" i="1009"/>
  <c r="I42" i="1009"/>
  <c r="T42" i="1009" s="1"/>
  <c r="S41" i="1009"/>
  <c r="R41" i="1009"/>
  <c r="Q41" i="1009"/>
  <c r="J41" i="1009"/>
  <c r="I41" i="1009"/>
  <c r="T41" i="1009" s="1"/>
  <c r="S40" i="1009"/>
  <c r="R40" i="1009"/>
  <c r="Q40" i="1009"/>
  <c r="J40" i="1009"/>
  <c r="I40" i="1009"/>
  <c r="T40" i="1009" s="1"/>
  <c r="S39" i="1009"/>
  <c r="R39" i="1009"/>
  <c r="Q39" i="1009"/>
  <c r="J39" i="1009"/>
  <c r="I39" i="1009"/>
  <c r="T39" i="1009" s="1"/>
  <c r="S38" i="1009"/>
  <c r="R38" i="1009"/>
  <c r="Q38" i="1009"/>
  <c r="J38" i="1009"/>
  <c r="I38" i="1009"/>
  <c r="T38" i="1009" s="1"/>
  <c r="S37" i="1009"/>
  <c r="R37" i="1009"/>
  <c r="Q37" i="1009"/>
  <c r="J37" i="1009"/>
  <c r="I37" i="1009"/>
  <c r="T37" i="1009" s="1"/>
  <c r="S36" i="1009"/>
  <c r="R36" i="1009"/>
  <c r="Q36" i="1009"/>
  <c r="J36" i="1009"/>
  <c r="I36" i="1009"/>
  <c r="T36" i="1009" s="1"/>
  <c r="S35" i="1009"/>
  <c r="R35" i="1009"/>
  <c r="Q35" i="1009"/>
  <c r="J35" i="1009"/>
  <c r="I35" i="1009"/>
  <c r="T35" i="1009" s="1"/>
  <c r="S34" i="1009"/>
  <c r="R34" i="1009"/>
  <c r="Q34" i="1009"/>
  <c r="J34" i="1009"/>
  <c r="I34" i="1009"/>
  <c r="T34" i="1009" s="1"/>
  <c r="S33" i="1009"/>
  <c r="R33" i="1009"/>
  <c r="Q33" i="1009"/>
  <c r="J33" i="1009"/>
  <c r="I33" i="1009"/>
  <c r="T33" i="1009" s="1"/>
  <c r="S32" i="1009"/>
  <c r="R32" i="1009"/>
  <c r="Q32" i="1009"/>
  <c r="J32" i="1009"/>
  <c r="I32" i="1009"/>
  <c r="T32" i="1009" s="1"/>
  <c r="S31" i="1009"/>
  <c r="R31" i="1009"/>
  <c r="Q31" i="1009"/>
  <c r="J31" i="1009"/>
  <c r="I31" i="1009"/>
  <c r="T31" i="1009" s="1"/>
  <c r="S30" i="1009"/>
  <c r="R30" i="1009"/>
  <c r="Q30" i="1009"/>
  <c r="J30" i="1009"/>
  <c r="I30" i="1009"/>
  <c r="T30" i="1009" s="1"/>
  <c r="S29" i="1009"/>
  <c r="R29" i="1009"/>
  <c r="Q29" i="1009"/>
  <c r="J29" i="1009"/>
  <c r="I29" i="1009"/>
  <c r="T29" i="1009" s="1"/>
  <c r="S28" i="1009"/>
  <c r="R28" i="1009"/>
  <c r="Q28" i="1009"/>
  <c r="J28" i="1009"/>
  <c r="I28" i="1009"/>
  <c r="T28" i="1009" s="1"/>
  <c r="S27" i="1009"/>
  <c r="R27" i="1009"/>
  <c r="Q27" i="1009"/>
  <c r="J27" i="1009"/>
  <c r="I27" i="1009"/>
  <c r="T27" i="1009" s="1"/>
  <c r="S26" i="1009"/>
  <c r="R26" i="1009"/>
  <c r="Q26" i="1009"/>
  <c r="J26" i="1009"/>
  <c r="I26" i="1009"/>
  <c r="T26" i="1009" s="1"/>
  <c r="S25" i="1009"/>
  <c r="R25" i="1009"/>
  <c r="Q25" i="1009"/>
  <c r="J25" i="1009"/>
  <c r="I25" i="1009"/>
  <c r="T25" i="1009" s="1"/>
  <c r="S24" i="1009"/>
  <c r="R24" i="1009"/>
  <c r="Q24" i="1009"/>
  <c r="J24" i="1009"/>
  <c r="I24" i="1009"/>
  <c r="T24" i="1009" s="1"/>
  <c r="S23" i="1009"/>
  <c r="R23" i="1009"/>
  <c r="Q23" i="1009"/>
  <c r="J23" i="1009"/>
  <c r="I23" i="1009"/>
  <c r="T23" i="1009" s="1"/>
  <c r="S22" i="1009"/>
  <c r="R22" i="1009"/>
  <c r="Q22" i="1009"/>
  <c r="J22" i="1009"/>
  <c r="I22" i="1009"/>
  <c r="T22" i="1009" s="1"/>
  <c r="S21" i="1009"/>
  <c r="R21" i="1009"/>
  <c r="Q21" i="1009"/>
  <c r="J21" i="1009"/>
  <c r="I21" i="1009"/>
  <c r="T21" i="1009" s="1"/>
  <c r="S20" i="1009"/>
  <c r="R20" i="1009"/>
  <c r="Q20" i="1009"/>
  <c r="J20" i="1009"/>
  <c r="I20" i="1009"/>
  <c r="T20" i="1009" s="1"/>
  <c r="S19" i="1009"/>
  <c r="R19" i="1009"/>
  <c r="Q19" i="1009"/>
  <c r="J19" i="1009"/>
  <c r="I19" i="1009"/>
  <c r="T19" i="1009" s="1"/>
  <c r="S18" i="1009"/>
  <c r="R18" i="1009"/>
  <c r="Q18" i="1009"/>
  <c r="J18" i="1009"/>
  <c r="I18" i="1009"/>
  <c r="T18" i="1009" s="1"/>
  <c r="S17" i="1009"/>
  <c r="R17" i="1009"/>
  <c r="Q17" i="1009"/>
  <c r="J17" i="1009"/>
  <c r="I17" i="1009"/>
  <c r="T17" i="1009" s="1"/>
  <c r="S16" i="1009"/>
  <c r="R16" i="1009"/>
  <c r="Q16" i="1009"/>
  <c r="J16" i="1009"/>
  <c r="I16" i="1009"/>
  <c r="T16" i="1009" s="1"/>
  <c r="S15" i="1009"/>
  <c r="R15" i="1009"/>
  <c r="Q15" i="1009"/>
  <c r="J15" i="1009"/>
  <c r="I15" i="1009"/>
  <c r="T15" i="1009" s="1"/>
  <c r="S14" i="1009"/>
  <c r="R14" i="1009"/>
  <c r="Q14" i="1009"/>
  <c r="J14" i="1009"/>
  <c r="I14" i="1009"/>
  <c r="T14" i="1009" s="1"/>
  <c r="S13" i="1009"/>
  <c r="R13" i="1009"/>
  <c r="Q13" i="1009"/>
  <c r="J13" i="1009"/>
  <c r="I13" i="1009"/>
  <c r="T13" i="1009" s="1"/>
  <c r="S12" i="1009"/>
  <c r="R12" i="1009"/>
  <c r="Q12" i="1009"/>
  <c r="J12" i="1009"/>
  <c r="I12" i="1009"/>
  <c r="T12" i="1009" s="1"/>
  <c r="S11" i="1009"/>
  <c r="R11" i="1009"/>
  <c r="Q11" i="1009"/>
  <c r="J11" i="1009"/>
  <c r="I11" i="1009"/>
  <c r="T11" i="1009" s="1"/>
  <c r="S10" i="1009"/>
  <c r="R10" i="1009"/>
  <c r="Q10" i="1009"/>
  <c r="J10" i="1009"/>
  <c r="I10" i="1009"/>
  <c r="T10" i="1009" s="1"/>
  <c r="S9" i="1009"/>
  <c r="R9" i="1009"/>
  <c r="Q9" i="1009"/>
  <c r="J9" i="1009"/>
  <c r="I9" i="1009"/>
  <c r="T9" i="1009" s="1"/>
  <c r="S8" i="1009"/>
  <c r="R8" i="1009"/>
  <c r="Q8" i="1009"/>
  <c r="J8" i="1009"/>
  <c r="I8" i="1009"/>
  <c r="T8" i="1009" s="1"/>
  <c r="S7" i="1009"/>
  <c r="R7" i="1009"/>
  <c r="Q7" i="1009"/>
  <c r="J7" i="1009"/>
  <c r="I7" i="1009"/>
  <c r="T7" i="1009" s="1"/>
  <c r="S88" i="1008"/>
  <c r="R88" i="1008"/>
  <c r="Q88" i="1008"/>
  <c r="J88" i="1008"/>
  <c r="I88" i="1008"/>
  <c r="T88" i="1008" s="1"/>
  <c r="S87" i="1008"/>
  <c r="R87" i="1008"/>
  <c r="Q87" i="1008"/>
  <c r="J87" i="1008"/>
  <c r="I87" i="1008"/>
  <c r="T87" i="1008" s="1"/>
  <c r="S86" i="1008"/>
  <c r="R86" i="1008"/>
  <c r="Q86" i="1008"/>
  <c r="J86" i="1008"/>
  <c r="I86" i="1008"/>
  <c r="T86" i="1008" s="1"/>
  <c r="S85" i="1008"/>
  <c r="R85" i="1008"/>
  <c r="Q85" i="1008"/>
  <c r="J85" i="1008"/>
  <c r="I85" i="1008"/>
  <c r="T85" i="1008" s="1"/>
  <c r="S84" i="1008"/>
  <c r="R84" i="1008"/>
  <c r="Q84" i="1008"/>
  <c r="J84" i="1008"/>
  <c r="I84" i="1008"/>
  <c r="T84" i="1008" s="1"/>
  <c r="S83" i="1008"/>
  <c r="R83" i="1008"/>
  <c r="Q83" i="1008"/>
  <c r="J83" i="1008"/>
  <c r="I83" i="1008"/>
  <c r="T83" i="1008" s="1"/>
  <c r="S82" i="1008"/>
  <c r="R82" i="1008"/>
  <c r="Q82" i="1008"/>
  <c r="J82" i="1008"/>
  <c r="I82" i="1008"/>
  <c r="T82" i="1008" s="1"/>
  <c r="S81" i="1008"/>
  <c r="R81" i="1008"/>
  <c r="Q81" i="1008"/>
  <c r="J81" i="1008"/>
  <c r="I81" i="1008"/>
  <c r="T81" i="1008" s="1"/>
  <c r="S80" i="1008"/>
  <c r="R80" i="1008"/>
  <c r="Q80" i="1008"/>
  <c r="J80" i="1008"/>
  <c r="I80" i="1008"/>
  <c r="T80" i="1008" s="1"/>
  <c r="S79" i="1008"/>
  <c r="R79" i="1008"/>
  <c r="Q79" i="1008"/>
  <c r="J79" i="1008"/>
  <c r="I79" i="1008"/>
  <c r="T79" i="1008" s="1"/>
  <c r="S78" i="1008"/>
  <c r="R78" i="1008"/>
  <c r="Q78" i="1008"/>
  <c r="J78" i="1008"/>
  <c r="I78" i="1008"/>
  <c r="T78" i="1008" s="1"/>
  <c r="S77" i="1008"/>
  <c r="R77" i="1008"/>
  <c r="Q77" i="1008"/>
  <c r="J77" i="1008"/>
  <c r="I77" i="1008"/>
  <c r="T77" i="1008" s="1"/>
  <c r="S76" i="1008"/>
  <c r="R76" i="1008"/>
  <c r="Q76" i="1008"/>
  <c r="J76" i="1008"/>
  <c r="I76" i="1008"/>
  <c r="T76" i="1008" s="1"/>
  <c r="S75" i="1008"/>
  <c r="R75" i="1008"/>
  <c r="Q75" i="1008"/>
  <c r="J75" i="1008"/>
  <c r="I75" i="1008"/>
  <c r="T75" i="1008" s="1"/>
  <c r="S74" i="1008"/>
  <c r="R74" i="1008"/>
  <c r="Q74" i="1008"/>
  <c r="J74" i="1008"/>
  <c r="I74" i="1008"/>
  <c r="T74" i="1008" s="1"/>
  <c r="S73" i="1008"/>
  <c r="R73" i="1008"/>
  <c r="Q73" i="1008"/>
  <c r="J73" i="1008"/>
  <c r="I73" i="1008"/>
  <c r="T73" i="1008" s="1"/>
  <c r="S72" i="1008"/>
  <c r="R72" i="1008"/>
  <c r="Q72" i="1008"/>
  <c r="J72" i="1008"/>
  <c r="I72" i="1008"/>
  <c r="T72" i="1008" s="1"/>
  <c r="S71" i="1008"/>
  <c r="R71" i="1008"/>
  <c r="Q71" i="1008"/>
  <c r="J71" i="1008"/>
  <c r="I71" i="1008"/>
  <c r="T71" i="1008" s="1"/>
  <c r="S70" i="1008"/>
  <c r="R70" i="1008"/>
  <c r="Q70" i="1008"/>
  <c r="J70" i="1008"/>
  <c r="I70" i="1008"/>
  <c r="T70" i="1008" s="1"/>
  <c r="S69" i="1008"/>
  <c r="R69" i="1008"/>
  <c r="Q69" i="1008"/>
  <c r="J69" i="1008"/>
  <c r="I69" i="1008"/>
  <c r="T69" i="1008" s="1"/>
  <c r="S68" i="1008"/>
  <c r="R68" i="1008"/>
  <c r="Q68" i="1008"/>
  <c r="J68" i="1008"/>
  <c r="I68" i="1008"/>
  <c r="T68" i="1008" s="1"/>
  <c r="S67" i="1008"/>
  <c r="R67" i="1008"/>
  <c r="Q67" i="1008"/>
  <c r="J67" i="1008"/>
  <c r="I67" i="1008"/>
  <c r="T67" i="1008" s="1"/>
  <c r="S66" i="1008"/>
  <c r="R66" i="1008"/>
  <c r="Q66" i="1008"/>
  <c r="J66" i="1008"/>
  <c r="I66" i="1008"/>
  <c r="T66" i="1008" s="1"/>
  <c r="S65" i="1008"/>
  <c r="R65" i="1008"/>
  <c r="Q65" i="1008"/>
  <c r="J65" i="1008"/>
  <c r="I65" i="1008"/>
  <c r="T65" i="1008" s="1"/>
  <c r="S64" i="1008"/>
  <c r="R64" i="1008"/>
  <c r="Q64" i="1008"/>
  <c r="J64" i="1008"/>
  <c r="I64" i="1008"/>
  <c r="T64" i="1008" s="1"/>
  <c r="S63" i="1008"/>
  <c r="R63" i="1008"/>
  <c r="Q63" i="1008"/>
  <c r="J63" i="1008"/>
  <c r="I63" i="1008"/>
  <c r="T63" i="1008" s="1"/>
  <c r="S62" i="1008"/>
  <c r="R62" i="1008"/>
  <c r="Q62" i="1008"/>
  <c r="J62" i="1008"/>
  <c r="I62" i="1008"/>
  <c r="T62" i="1008" s="1"/>
  <c r="S61" i="1008"/>
  <c r="R61" i="1008"/>
  <c r="Q61" i="1008"/>
  <c r="J61" i="1008"/>
  <c r="I61" i="1008"/>
  <c r="T61" i="1008" s="1"/>
  <c r="S60" i="1008"/>
  <c r="R60" i="1008"/>
  <c r="Q60" i="1008"/>
  <c r="J60" i="1008"/>
  <c r="I60" i="1008"/>
  <c r="T60" i="1008" s="1"/>
  <c r="S59" i="1008"/>
  <c r="R59" i="1008"/>
  <c r="Q59" i="1008"/>
  <c r="J59" i="1008"/>
  <c r="I59" i="1008"/>
  <c r="T59" i="1008" s="1"/>
  <c r="S58" i="1008"/>
  <c r="R58" i="1008"/>
  <c r="Q58" i="1008"/>
  <c r="J58" i="1008"/>
  <c r="I58" i="1008"/>
  <c r="T58" i="1008" s="1"/>
  <c r="S57" i="1008"/>
  <c r="R57" i="1008"/>
  <c r="Q57" i="1008"/>
  <c r="J57" i="1008"/>
  <c r="I57" i="1008"/>
  <c r="T57" i="1008" s="1"/>
  <c r="S56" i="1008"/>
  <c r="R56" i="1008"/>
  <c r="Q56" i="1008"/>
  <c r="J56" i="1008"/>
  <c r="I56" i="1008"/>
  <c r="T56" i="1008" s="1"/>
  <c r="S55" i="1008"/>
  <c r="R55" i="1008"/>
  <c r="Q55" i="1008"/>
  <c r="J55" i="1008"/>
  <c r="I55" i="1008"/>
  <c r="T55" i="1008" s="1"/>
  <c r="S54" i="1008"/>
  <c r="R54" i="1008"/>
  <c r="Q54" i="1008"/>
  <c r="J54" i="1008"/>
  <c r="I54" i="1008"/>
  <c r="T54" i="1008" s="1"/>
  <c r="S53" i="1008"/>
  <c r="R53" i="1008"/>
  <c r="Q53" i="1008"/>
  <c r="J53" i="1008"/>
  <c r="I53" i="1008"/>
  <c r="T53" i="1008" s="1"/>
  <c r="S52" i="1008"/>
  <c r="R52" i="1008"/>
  <c r="Q52" i="1008"/>
  <c r="J52" i="1008"/>
  <c r="I52" i="1008"/>
  <c r="T52" i="1008" s="1"/>
  <c r="S51" i="1008"/>
  <c r="R51" i="1008"/>
  <c r="Q51" i="1008"/>
  <c r="J51" i="1008"/>
  <c r="I51" i="1008"/>
  <c r="T51" i="1008" s="1"/>
  <c r="S50" i="1008"/>
  <c r="R50" i="1008"/>
  <c r="Q50" i="1008"/>
  <c r="J50" i="1008"/>
  <c r="I50" i="1008"/>
  <c r="T50" i="1008" s="1"/>
  <c r="S49" i="1008"/>
  <c r="R49" i="1008"/>
  <c r="Q49" i="1008"/>
  <c r="J49" i="1008"/>
  <c r="I49" i="1008"/>
  <c r="T49" i="1008" s="1"/>
  <c r="S48" i="1008"/>
  <c r="R48" i="1008"/>
  <c r="Q48" i="1008"/>
  <c r="J48" i="1008"/>
  <c r="I48" i="1008"/>
  <c r="T48" i="1008" s="1"/>
  <c r="S47" i="1008"/>
  <c r="R47" i="1008"/>
  <c r="Q47" i="1008"/>
  <c r="J47" i="1008"/>
  <c r="I47" i="1008"/>
  <c r="T47" i="1008" s="1"/>
  <c r="S46" i="1008"/>
  <c r="R46" i="1008"/>
  <c r="Q46" i="1008"/>
  <c r="J46" i="1008"/>
  <c r="I46" i="1008"/>
  <c r="T46" i="1008" s="1"/>
  <c r="S45" i="1008"/>
  <c r="R45" i="1008"/>
  <c r="Q45" i="1008"/>
  <c r="J45" i="1008"/>
  <c r="I45" i="1008"/>
  <c r="T45" i="1008" s="1"/>
  <c r="S44" i="1008"/>
  <c r="R44" i="1008"/>
  <c r="Q44" i="1008"/>
  <c r="J44" i="1008"/>
  <c r="I44" i="1008"/>
  <c r="T44" i="1008" s="1"/>
  <c r="S43" i="1008"/>
  <c r="R43" i="1008"/>
  <c r="Q43" i="1008"/>
  <c r="J43" i="1008"/>
  <c r="I43" i="1008"/>
  <c r="T43" i="1008" s="1"/>
  <c r="S42" i="1008"/>
  <c r="R42" i="1008"/>
  <c r="Q42" i="1008"/>
  <c r="J42" i="1008"/>
  <c r="I42" i="1008"/>
  <c r="T42" i="1008" s="1"/>
  <c r="S41" i="1008"/>
  <c r="R41" i="1008"/>
  <c r="Q41" i="1008"/>
  <c r="J41" i="1008"/>
  <c r="I41" i="1008"/>
  <c r="T41" i="1008" s="1"/>
  <c r="S40" i="1008"/>
  <c r="R40" i="1008"/>
  <c r="Q40" i="1008"/>
  <c r="J40" i="1008"/>
  <c r="I40" i="1008"/>
  <c r="T40" i="1008" s="1"/>
  <c r="S39" i="1008"/>
  <c r="R39" i="1008"/>
  <c r="Q39" i="1008"/>
  <c r="J39" i="1008"/>
  <c r="I39" i="1008"/>
  <c r="T39" i="1008" s="1"/>
  <c r="S38" i="1008"/>
  <c r="R38" i="1008"/>
  <c r="Q38" i="1008"/>
  <c r="J38" i="1008"/>
  <c r="I38" i="1008"/>
  <c r="T38" i="1008" s="1"/>
  <c r="S37" i="1008"/>
  <c r="R37" i="1008"/>
  <c r="Q37" i="1008"/>
  <c r="J37" i="1008"/>
  <c r="I37" i="1008"/>
  <c r="T37" i="1008" s="1"/>
  <c r="S36" i="1008"/>
  <c r="R36" i="1008"/>
  <c r="Q36" i="1008"/>
  <c r="J36" i="1008"/>
  <c r="I36" i="1008"/>
  <c r="T36" i="1008" s="1"/>
  <c r="S35" i="1008"/>
  <c r="R35" i="1008"/>
  <c r="Q35" i="1008"/>
  <c r="J35" i="1008"/>
  <c r="I35" i="1008"/>
  <c r="T35" i="1008" s="1"/>
  <c r="S34" i="1008"/>
  <c r="R34" i="1008"/>
  <c r="Q34" i="1008"/>
  <c r="J34" i="1008"/>
  <c r="I34" i="1008"/>
  <c r="T34" i="1008" s="1"/>
  <c r="S33" i="1008"/>
  <c r="R33" i="1008"/>
  <c r="Q33" i="1008"/>
  <c r="J33" i="1008"/>
  <c r="I33" i="1008"/>
  <c r="T33" i="1008" s="1"/>
  <c r="S32" i="1008"/>
  <c r="R32" i="1008"/>
  <c r="Q32" i="1008"/>
  <c r="J32" i="1008"/>
  <c r="I32" i="1008"/>
  <c r="T32" i="1008" s="1"/>
  <c r="S31" i="1008"/>
  <c r="R31" i="1008"/>
  <c r="Q31" i="1008"/>
  <c r="J31" i="1008"/>
  <c r="I31" i="1008"/>
  <c r="T31" i="1008" s="1"/>
  <c r="S30" i="1008"/>
  <c r="R30" i="1008"/>
  <c r="Q30" i="1008"/>
  <c r="J30" i="1008"/>
  <c r="I30" i="1008"/>
  <c r="T30" i="1008" s="1"/>
  <c r="S29" i="1008"/>
  <c r="R29" i="1008"/>
  <c r="Q29" i="1008"/>
  <c r="J29" i="1008"/>
  <c r="I29" i="1008"/>
  <c r="T29" i="1008" s="1"/>
  <c r="S28" i="1008"/>
  <c r="R28" i="1008"/>
  <c r="Q28" i="1008"/>
  <c r="J28" i="1008"/>
  <c r="I28" i="1008"/>
  <c r="T28" i="1008" s="1"/>
  <c r="S27" i="1008"/>
  <c r="R27" i="1008"/>
  <c r="Q27" i="1008"/>
  <c r="J27" i="1008"/>
  <c r="I27" i="1008"/>
  <c r="T27" i="1008" s="1"/>
  <c r="S26" i="1008"/>
  <c r="R26" i="1008"/>
  <c r="Q26" i="1008"/>
  <c r="J26" i="1008"/>
  <c r="I26" i="1008"/>
  <c r="T26" i="1008" s="1"/>
  <c r="S25" i="1008"/>
  <c r="R25" i="1008"/>
  <c r="Q25" i="1008"/>
  <c r="J25" i="1008"/>
  <c r="I25" i="1008"/>
  <c r="T25" i="1008" s="1"/>
  <c r="S24" i="1008"/>
  <c r="R24" i="1008"/>
  <c r="Q24" i="1008"/>
  <c r="J24" i="1008"/>
  <c r="I24" i="1008"/>
  <c r="T24" i="1008" s="1"/>
  <c r="S23" i="1008"/>
  <c r="R23" i="1008"/>
  <c r="Q23" i="1008"/>
  <c r="J23" i="1008"/>
  <c r="I23" i="1008"/>
  <c r="T23" i="1008" s="1"/>
  <c r="S22" i="1008"/>
  <c r="R22" i="1008"/>
  <c r="Q22" i="1008"/>
  <c r="J22" i="1008"/>
  <c r="I22" i="1008"/>
  <c r="T22" i="1008" s="1"/>
  <c r="S21" i="1008"/>
  <c r="R21" i="1008"/>
  <c r="Q21" i="1008"/>
  <c r="J21" i="1008"/>
  <c r="I21" i="1008"/>
  <c r="T21" i="1008" s="1"/>
  <c r="S20" i="1008"/>
  <c r="R20" i="1008"/>
  <c r="Q20" i="1008"/>
  <c r="J20" i="1008"/>
  <c r="I20" i="1008"/>
  <c r="S19" i="1008"/>
  <c r="R19" i="1008"/>
  <c r="Q19" i="1008"/>
  <c r="J19" i="1008"/>
  <c r="I19" i="1008"/>
  <c r="S18" i="1008"/>
  <c r="R18" i="1008"/>
  <c r="Q18" i="1008"/>
  <c r="J18" i="1008"/>
  <c r="I18" i="1008"/>
  <c r="T18" i="1008" s="1"/>
  <c r="S17" i="1008"/>
  <c r="R17" i="1008"/>
  <c r="Q17" i="1008"/>
  <c r="J17" i="1008"/>
  <c r="I17" i="1008"/>
  <c r="S16" i="1008"/>
  <c r="R16" i="1008"/>
  <c r="Q16" i="1008"/>
  <c r="J16" i="1008"/>
  <c r="I16" i="1008"/>
  <c r="S15" i="1008"/>
  <c r="R15" i="1008"/>
  <c r="Q15" i="1008"/>
  <c r="J15" i="1008"/>
  <c r="I15" i="1008"/>
  <c r="T15" i="1008" s="1"/>
  <c r="S14" i="1008"/>
  <c r="R14" i="1008"/>
  <c r="Q14" i="1008"/>
  <c r="J14" i="1008"/>
  <c r="I14" i="1008"/>
  <c r="S13" i="1008"/>
  <c r="R13" i="1008"/>
  <c r="Q13" i="1008"/>
  <c r="J13" i="1008"/>
  <c r="I13" i="1008"/>
  <c r="S12" i="1008"/>
  <c r="R12" i="1008"/>
  <c r="Q12" i="1008"/>
  <c r="J12" i="1008"/>
  <c r="I12" i="1008"/>
  <c r="S11" i="1008"/>
  <c r="R11" i="1008"/>
  <c r="Q11" i="1008"/>
  <c r="J11" i="1008"/>
  <c r="I11" i="1008"/>
  <c r="S10" i="1008"/>
  <c r="R10" i="1008"/>
  <c r="Q10" i="1008"/>
  <c r="J10" i="1008"/>
  <c r="I10" i="1008"/>
  <c r="S9" i="1008"/>
  <c r="R9" i="1008"/>
  <c r="Q9" i="1008"/>
  <c r="J9" i="1008"/>
  <c r="I9" i="1008"/>
  <c r="T9" i="1008" s="1"/>
  <c r="S8" i="1008"/>
  <c r="R8" i="1008"/>
  <c r="Q8" i="1008"/>
  <c r="J8" i="1008"/>
  <c r="I8" i="1008"/>
  <c r="T8" i="1008" s="1"/>
  <c r="S7" i="1008"/>
  <c r="R7" i="1008"/>
  <c r="Q7" i="1008"/>
  <c r="J7" i="1008"/>
  <c r="I7" i="1008"/>
  <c r="S32" i="1007"/>
  <c r="R32" i="1007"/>
  <c r="Q32" i="1007"/>
  <c r="J32" i="1007"/>
  <c r="I32" i="1007"/>
  <c r="T32" i="1007" s="1"/>
  <c r="S31" i="1007"/>
  <c r="R31" i="1007"/>
  <c r="Q31" i="1007"/>
  <c r="J31" i="1007"/>
  <c r="I31" i="1007"/>
  <c r="T31" i="1007" s="1"/>
  <c r="S30" i="1007"/>
  <c r="R30" i="1007"/>
  <c r="Q30" i="1007"/>
  <c r="J30" i="1007"/>
  <c r="I30" i="1007"/>
  <c r="T30" i="1007" s="1"/>
  <c r="S29" i="1007"/>
  <c r="R29" i="1007"/>
  <c r="Q29" i="1007"/>
  <c r="J29" i="1007"/>
  <c r="I29" i="1007"/>
  <c r="T29" i="1007" s="1"/>
  <c r="S28" i="1007"/>
  <c r="R28" i="1007"/>
  <c r="Q28" i="1007"/>
  <c r="J28" i="1007"/>
  <c r="I28" i="1007"/>
  <c r="T28" i="1007" s="1"/>
  <c r="S27" i="1007"/>
  <c r="R27" i="1007"/>
  <c r="Q27" i="1007"/>
  <c r="J27" i="1007"/>
  <c r="I27" i="1007"/>
  <c r="T27" i="1007" s="1"/>
  <c r="S26" i="1007"/>
  <c r="R26" i="1007"/>
  <c r="Q26" i="1007"/>
  <c r="J26" i="1007"/>
  <c r="I26" i="1007"/>
  <c r="T26" i="1007" s="1"/>
  <c r="S25" i="1007"/>
  <c r="R25" i="1007"/>
  <c r="Q25" i="1007"/>
  <c r="J25" i="1007"/>
  <c r="I25" i="1007"/>
  <c r="T25" i="1007" s="1"/>
  <c r="S24" i="1007"/>
  <c r="R24" i="1007"/>
  <c r="Q24" i="1007"/>
  <c r="J24" i="1007"/>
  <c r="I24" i="1007"/>
  <c r="T24" i="1007" s="1"/>
  <c r="S23" i="1007"/>
  <c r="R23" i="1007"/>
  <c r="Q23" i="1007"/>
  <c r="J23" i="1007"/>
  <c r="I23" i="1007"/>
  <c r="T23" i="1007" s="1"/>
  <c r="S22" i="1007"/>
  <c r="R22" i="1007"/>
  <c r="Q22" i="1007"/>
  <c r="J22" i="1007"/>
  <c r="I22" i="1007"/>
  <c r="T22" i="1007" s="1"/>
  <c r="S21" i="1007"/>
  <c r="R21" i="1007"/>
  <c r="Q21" i="1007"/>
  <c r="J21" i="1007"/>
  <c r="I21" i="1007"/>
  <c r="T21" i="1007" s="1"/>
  <c r="S20" i="1007"/>
  <c r="R20" i="1007"/>
  <c r="Q20" i="1007"/>
  <c r="J20" i="1007"/>
  <c r="I20" i="1007"/>
  <c r="T20" i="1007" s="1"/>
  <c r="S19" i="1007"/>
  <c r="R19" i="1007"/>
  <c r="Q19" i="1007"/>
  <c r="J19" i="1007"/>
  <c r="I19" i="1007"/>
  <c r="T19" i="1007" s="1"/>
  <c r="S18" i="1007"/>
  <c r="R18" i="1007"/>
  <c r="Q18" i="1007"/>
  <c r="J18" i="1007"/>
  <c r="I18" i="1007"/>
  <c r="T18" i="1007" s="1"/>
  <c r="S17" i="1007"/>
  <c r="R17" i="1007"/>
  <c r="Q17" i="1007"/>
  <c r="J17" i="1007"/>
  <c r="I17" i="1007"/>
  <c r="T17" i="1007" s="1"/>
  <c r="S16" i="1007"/>
  <c r="R16" i="1007"/>
  <c r="Q16" i="1007"/>
  <c r="J16" i="1007"/>
  <c r="I16" i="1007"/>
  <c r="T16" i="1007" s="1"/>
  <c r="S15" i="1007"/>
  <c r="R15" i="1007"/>
  <c r="Q15" i="1007"/>
  <c r="J15" i="1007"/>
  <c r="I15" i="1007"/>
  <c r="T15" i="1007" s="1"/>
  <c r="S14" i="1007"/>
  <c r="R14" i="1007"/>
  <c r="Q14" i="1007"/>
  <c r="J14" i="1007"/>
  <c r="I14" i="1007"/>
  <c r="T14" i="1007" s="1"/>
  <c r="S13" i="1007"/>
  <c r="R13" i="1007"/>
  <c r="Q13" i="1007"/>
  <c r="J13" i="1007"/>
  <c r="I13" i="1007"/>
  <c r="T13" i="1007" s="1"/>
  <c r="S12" i="1007"/>
  <c r="R12" i="1007"/>
  <c r="Q12" i="1007"/>
  <c r="J12" i="1007"/>
  <c r="I12" i="1007"/>
  <c r="T12" i="1007" s="1"/>
  <c r="S11" i="1007"/>
  <c r="R11" i="1007"/>
  <c r="Q11" i="1007"/>
  <c r="J11" i="1007"/>
  <c r="I11" i="1007"/>
  <c r="T11" i="1007" s="1"/>
  <c r="S10" i="1007"/>
  <c r="R10" i="1007"/>
  <c r="Q10" i="1007"/>
  <c r="J10" i="1007"/>
  <c r="I10" i="1007"/>
  <c r="T10" i="1007" s="1"/>
  <c r="S9" i="1007"/>
  <c r="R9" i="1007"/>
  <c r="Q9" i="1007"/>
  <c r="J9" i="1007"/>
  <c r="I9" i="1007"/>
  <c r="T9" i="1007" s="1"/>
  <c r="S8" i="1007"/>
  <c r="R8" i="1007"/>
  <c r="Q8" i="1007"/>
  <c r="J8" i="1007"/>
  <c r="I8" i="1007"/>
  <c r="T8" i="1007" s="1"/>
  <c r="S7" i="1007"/>
  <c r="R7" i="1007"/>
  <c r="Q7" i="1007"/>
  <c r="J7" i="1007"/>
  <c r="I7" i="1007"/>
  <c r="T7" i="1007" s="1"/>
  <c r="S81" i="1006"/>
  <c r="R81" i="1006"/>
  <c r="Q81" i="1006"/>
  <c r="J81" i="1006"/>
  <c r="I81" i="1006"/>
  <c r="T81" i="1006" s="1"/>
  <c r="S80" i="1006"/>
  <c r="R80" i="1006"/>
  <c r="Q80" i="1006"/>
  <c r="J80" i="1006"/>
  <c r="I80" i="1006"/>
  <c r="T80" i="1006" s="1"/>
  <c r="S79" i="1006"/>
  <c r="R79" i="1006"/>
  <c r="Q79" i="1006"/>
  <c r="J79" i="1006"/>
  <c r="I79" i="1006"/>
  <c r="T79" i="1006" s="1"/>
  <c r="S78" i="1006"/>
  <c r="R78" i="1006"/>
  <c r="Q78" i="1006"/>
  <c r="J78" i="1006"/>
  <c r="I78" i="1006"/>
  <c r="T78" i="1006" s="1"/>
  <c r="S77" i="1006"/>
  <c r="R77" i="1006"/>
  <c r="Q77" i="1006"/>
  <c r="J77" i="1006"/>
  <c r="I77" i="1006"/>
  <c r="T77" i="1006" s="1"/>
  <c r="S76" i="1006"/>
  <c r="R76" i="1006"/>
  <c r="Q76" i="1006"/>
  <c r="J76" i="1006"/>
  <c r="I76" i="1006"/>
  <c r="T76" i="1006" s="1"/>
  <c r="S75" i="1006"/>
  <c r="R75" i="1006"/>
  <c r="Q75" i="1006"/>
  <c r="J75" i="1006"/>
  <c r="I75" i="1006"/>
  <c r="T75" i="1006" s="1"/>
  <c r="S74" i="1006"/>
  <c r="R74" i="1006"/>
  <c r="Q74" i="1006"/>
  <c r="J74" i="1006"/>
  <c r="I74" i="1006"/>
  <c r="T74" i="1006" s="1"/>
  <c r="S73" i="1006"/>
  <c r="R73" i="1006"/>
  <c r="Q73" i="1006"/>
  <c r="J73" i="1006"/>
  <c r="I73" i="1006"/>
  <c r="T73" i="1006" s="1"/>
  <c r="S72" i="1006"/>
  <c r="R72" i="1006"/>
  <c r="Q72" i="1006"/>
  <c r="J72" i="1006"/>
  <c r="I72" i="1006"/>
  <c r="T72" i="1006" s="1"/>
  <c r="S71" i="1006"/>
  <c r="R71" i="1006"/>
  <c r="Q71" i="1006"/>
  <c r="J71" i="1006"/>
  <c r="I71" i="1006"/>
  <c r="T71" i="1006" s="1"/>
  <c r="S70" i="1006"/>
  <c r="R70" i="1006"/>
  <c r="Q70" i="1006"/>
  <c r="J70" i="1006"/>
  <c r="I70" i="1006"/>
  <c r="T70" i="1006" s="1"/>
  <c r="S69" i="1006"/>
  <c r="R69" i="1006"/>
  <c r="Q69" i="1006"/>
  <c r="J69" i="1006"/>
  <c r="I69" i="1006"/>
  <c r="T69" i="1006" s="1"/>
  <c r="S68" i="1006"/>
  <c r="R68" i="1006"/>
  <c r="Q68" i="1006"/>
  <c r="J68" i="1006"/>
  <c r="I68" i="1006"/>
  <c r="T68" i="1006" s="1"/>
  <c r="S67" i="1006"/>
  <c r="R67" i="1006"/>
  <c r="Q67" i="1006"/>
  <c r="J67" i="1006"/>
  <c r="I67" i="1006"/>
  <c r="T67" i="1006" s="1"/>
  <c r="S66" i="1006"/>
  <c r="R66" i="1006"/>
  <c r="Q66" i="1006"/>
  <c r="J66" i="1006"/>
  <c r="I66" i="1006"/>
  <c r="T66" i="1006" s="1"/>
  <c r="S65" i="1006"/>
  <c r="R65" i="1006"/>
  <c r="Q65" i="1006"/>
  <c r="J65" i="1006"/>
  <c r="I65" i="1006"/>
  <c r="T65" i="1006" s="1"/>
  <c r="S64" i="1006"/>
  <c r="R64" i="1006"/>
  <c r="Q64" i="1006"/>
  <c r="J64" i="1006"/>
  <c r="I64" i="1006"/>
  <c r="T64" i="1006" s="1"/>
  <c r="S63" i="1006"/>
  <c r="R63" i="1006"/>
  <c r="Q63" i="1006"/>
  <c r="J63" i="1006"/>
  <c r="I63" i="1006"/>
  <c r="T63" i="1006" s="1"/>
  <c r="S62" i="1006"/>
  <c r="R62" i="1006"/>
  <c r="Q62" i="1006"/>
  <c r="J62" i="1006"/>
  <c r="I62" i="1006"/>
  <c r="T62" i="1006" s="1"/>
  <c r="S61" i="1006"/>
  <c r="R61" i="1006"/>
  <c r="Q61" i="1006"/>
  <c r="J61" i="1006"/>
  <c r="I61" i="1006"/>
  <c r="T61" i="1006" s="1"/>
  <c r="S60" i="1006"/>
  <c r="R60" i="1006"/>
  <c r="Q60" i="1006"/>
  <c r="J60" i="1006"/>
  <c r="I60" i="1006"/>
  <c r="S59" i="1006"/>
  <c r="R59" i="1006"/>
  <c r="Q59" i="1006"/>
  <c r="J59" i="1006"/>
  <c r="I59" i="1006"/>
  <c r="T59" i="1006" s="1"/>
  <c r="S58" i="1006"/>
  <c r="R58" i="1006"/>
  <c r="Q58" i="1006"/>
  <c r="J58" i="1006"/>
  <c r="I58" i="1006"/>
  <c r="T58" i="1006" s="1"/>
  <c r="S57" i="1006"/>
  <c r="R57" i="1006"/>
  <c r="Q57" i="1006"/>
  <c r="J57" i="1006"/>
  <c r="I57" i="1006"/>
  <c r="T57" i="1006" s="1"/>
  <c r="S56" i="1006"/>
  <c r="R56" i="1006"/>
  <c r="Q56" i="1006"/>
  <c r="J56" i="1006"/>
  <c r="I56" i="1006"/>
  <c r="T56" i="1006" s="1"/>
  <c r="S55" i="1006"/>
  <c r="R55" i="1006"/>
  <c r="Q55" i="1006"/>
  <c r="J55" i="1006"/>
  <c r="I55" i="1006"/>
  <c r="T55" i="1006" s="1"/>
  <c r="S54" i="1006"/>
  <c r="R54" i="1006"/>
  <c r="Q54" i="1006"/>
  <c r="J54" i="1006"/>
  <c r="I54" i="1006"/>
  <c r="T54" i="1006" s="1"/>
  <c r="S53" i="1006"/>
  <c r="R53" i="1006"/>
  <c r="Q53" i="1006"/>
  <c r="J53" i="1006"/>
  <c r="I53" i="1006"/>
  <c r="T53" i="1006" s="1"/>
  <c r="S52" i="1006"/>
  <c r="R52" i="1006"/>
  <c r="Q52" i="1006"/>
  <c r="J52" i="1006"/>
  <c r="I52" i="1006"/>
  <c r="T52" i="1006" s="1"/>
  <c r="S51" i="1006"/>
  <c r="R51" i="1006"/>
  <c r="Q51" i="1006"/>
  <c r="J51" i="1006"/>
  <c r="I51" i="1006"/>
  <c r="T51" i="1006" s="1"/>
  <c r="S50" i="1006"/>
  <c r="R50" i="1006"/>
  <c r="Q50" i="1006"/>
  <c r="J50" i="1006"/>
  <c r="I50" i="1006"/>
  <c r="T50" i="1006" s="1"/>
  <c r="S49" i="1006"/>
  <c r="R49" i="1006"/>
  <c r="Q49" i="1006"/>
  <c r="J49" i="1006"/>
  <c r="I49" i="1006"/>
  <c r="T49" i="1006" s="1"/>
  <c r="S48" i="1006"/>
  <c r="R48" i="1006"/>
  <c r="Q48" i="1006"/>
  <c r="J48" i="1006"/>
  <c r="I48" i="1006"/>
  <c r="S47" i="1006"/>
  <c r="R47" i="1006"/>
  <c r="Q47" i="1006"/>
  <c r="J47" i="1006"/>
  <c r="I47" i="1006"/>
  <c r="T47" i="1006" s="1"/>
  <c r="S46" i="1006"/>
  <c r="R46" i="1006"/>
  <c r="Q46" i="1006"/>
  <c r="J46" i="1006"/>
  <c r="I46" i="1006"/>
  <c r="T46" i="1006" s="1"/>
  <c r="S45" i="1006"/>
  <c r="R45" i="1006"/>
  <c r="Q45" i="1006"/>
  <c r="J45" i="1006"/>
  <c r="I45" i="1006"/>
  <c r="T45" i="1006" s="1"/>
  <c r="S44" i="1006"/>
  <c r="R44" i="1006"/>
  <c r="Q44" i="1006"/>
  <c r="J44" i="1006"/>
  <c r="I44" i="1006"/>
  <c r="T44" i="1006" s="1"/>
  <c r="S43" i="1006"/>
  <c r="R43" i="1006"/>
  <c r="Q43" i="1006"/>
  <c r="J43" i="1006"/>
  <c r="I43" i="1006"/>
  <c r="T43" i="1006" s="1"/>
  <c r="S42" i="1006"/>
  <c r="R42" i="1006"/>
  <c r="Q42" i="1006"/>
  <c r="J42" i="1006"/>
  <c r="I42" i="1006"/>
  <c r="T42" i="1006" s="1"/>
  <c r="S41" i="1006"/>
  <c r="R41" i="1006"/>
  <c r="Q41" i="1006"/>
  <c r="J41" i="1006"/>
  <c r="I41" i="1006"/>
  <c r="T41" i="1006" s="1"/>
  <c r="S40" i="1006"/>
  <c r="R40" i="1006"/>
  <c r="Q40" i="1006"/>
  <c r="J40" i="1006"/>
  <c r="I40" i="1006"/>
  <c r="T40" i="1006" s="1"/>
  <c r="S39" i="1006"/>
  <c r="R39" i="1006"/>
  <c r="Q39" i="1006"/>
  <c r="J39" i="1006"/>
  <c r="I39" i="1006"/>
  <c r="T39" i="1006" s="1"/>
  <c r="S38" i="1006"/>
  <c r="R38" i="1006"/>
  <c r="Q38" i="1006"/>
  <c r="J38" i="1006"/>
  <c r="I38" i="1006"/>
  <c r="T38" i="1006" s="1"/>
  <c r="S37" i="1006"/>
  <c r="R37" i="1006"/>
  <c r="Q37" i="1006"/>
  <c r="J37" i="1006"/>
  <c r="I37" i="1006"/>
  <c r="T37" i="1006" s="1"/>
  <c r="S36" i="1006"/>
  <c r="R36" i="1006"/>
  <c r="Q36" i="1006"/>
  <c r="J36" i="1006"/>
  <c r="I36" i="1006"/>
  <c r="T36" i="1006" s="1"/>
  <c r="S35" i="1006"/>
  <c r="R35" i="1006"/>
  <c r="Q35" i="1006"/>
  <c r="J35" i="1006"/>
  <c r="I35" i="1006"/>
  <c r="T35" i="1006" s="1"/>
  <c r="S34" i="1006"/>
  <c r="R34" i="1006"/>
  <c r="Q34" i="1006"/>
  <c r="J34" i="1006"/>
  <c r="I34" i="1006"/>
  <c r="T34" i="1006" s="1"/>
  <c r="S33" i="1006"/>
  <c r="R33" i="1006"/>
  <c r="Q33" i="1006"/>
  <c r="J33" i="1006"/>
  <c r="I33" i="1006"/>
  <c r="T33" i="1006" s="1"/>
  <c r="S32" i="1006"/>
  <c r="R32" i="1006"/>
  <c r="Q32" i="1006"/>
  <c r="J32" i="1006"/>
  <c r="I32" i="1006"/>
  <c r="T32" i="1006" s="1"/>
  <c r="S31" i="1006"/>
  <c r="R31" i="1006"/>
  <c r="Q31" i="1006"/>
  <c r="J31" i="1006"/>
  <c r="I31" i="1006"/>
  <c r="T31" i="1006" s="1"/>
  <c r="S30" i="1006"/>
  <c r="R30" i="1006"/>
  <c r="Q30" i="1006"/>
  <c r="J30" i="1006"/>
  <c r="I30" i="1006"/>
  <c r="T30" i="1006" s="1"/>
  <c r="S29" i="1006"/>
  <c r="R29" i="1006"/>
  <c r="Q29" i="1006"/>
  <c r="J29" i="1006"/>
  <c r="I29" i="1006"/>
  <c r="T29" i="1006" s="1"/>
  <c r="S28" i="1006"/>
  <c r="R28" i="1006"/>
  <c r="Q28" i="1006"/>
  <c r="J28" i="1006"/>
  <c r="I28" i="1006"/>
  <c r="S27" i="1006"/>
  <c r="R27" i="1006"/>
  <c r="Q27" i="1006"/>
  <c r="J27" i="1006"/>
  <c r="I27" i="1006"/>
  <c r="T27" i="1006" s="1"/>
  <c r="S26" i="1006"/>
  <c r="R26" i="1006"/>
  <c r="Q26" i="1006"/>
  <c r="J26" i="1006"/>
  <c r="I26" i="1006"/>
  <c r="T26" i="1006" s="1"/>
  <c r="S25" i="1006"/>
  <c r="R25" i="1006"/>
  <c r="Q25" i="1006"/>
  <c r="J25" i="1006"/>
  <c r="I25" i="1006"/>
  <c r="T25" i="1006" s="1"/>
  <c r="S24" i="1006"/>
  <c r="R24" i="1006"/>
  <c r="Q24" i="1006"/>
  <c r="J24" i="1006"/>
  <c r="I24" i="1006"/>
  <c r="T24" i="1006" s="1"/>
  <c r="S23" i="1006"/>
  <c r="R23" i="1006"/>
  <c r="Q23" i="1006"/>
  <c r="J23" i="1006"/>
  <c r="I23" i="1006"/>
  <c r="T23" i="1006" s="1"/>
  <c r="S22" i="1006"/>
  <c r="R22" i="1006"/>
  <c r="Q22" i="1006"/>
  <c r="J22" i="1006"/>
  <c r="I22" i="1006"/>
  <c r="T22" i="1006" s="1"/>
  <c r="S21" i="1006"/>
  <c r="R21" i="1006"/>
  <c r="Q21" i="1006"/>
  <c r="J21" i="1006"/>
  <c r="I21" i="1006"/>
  <c r="T21" i="1006" s="1"/>
  <c r="S20" i="1006"/>
  <c r="R20" i="1006"/>
  <c r="Q20" i="1006"/>
  <c r="J20" i="1006"/>
  <c r="I20" i="1006"/>
  <c r="T20" i="1006" s="1"/>
  <c r="S19" i="1006"/>
  <c r="R19" i="1006"/>
  <c r="Q19" i="1006"/>
  <c r="J19" i="1006"/>
  <c r="I19" i="1006"/>
  <c r="T19" i="1006" s="1"/>
  <c r="S18" i="1006"/>
  <c r="R18" i="1006"/>
  <c r="Q18" i="1006"/>
  <c r="J18" i="1006"/>
  <c r="I18" i="1006"/>
  <c r="T18" i="1006" s="1"/>
  <c r="S17" i="1006"/>
  <c r="R17" i="1006"/>
  <c r="Q17" i="1006"/>
  <c r="J17" i="1006"/>
  <c r="I17" i="1006"/>
  <c r="T17" i="1006" s="1"/>
  <c r="S16" i="1006"/>
  <c r="R16" i="1006"/>
  <c r="Q16" i="1006"/>
  <c r="J16" i="1006"/>
  <c r="I16" i="1006"/>
  <c r="T16" i="1006" s="1"/>
  <c r="S15" i="1006"/>
  <c r="R15" i="1006"/>
  <c r="Q15" i="1006"/>
  <c r="J15" i="1006"/>
  <c r="I15" i="1006"/>
  <c r="T15" i="1006" s="1"/>
  <c r="S14" i="1006"/>
  <c r="R14" i="1006"/>
  <c r="Q14" i="1006"/>
  <c r="J14" i="1006"/>
  <c r="I14" i="1006"/>
  <c r="T14" i="1006" s="1"/>
  <c r="S13" i="1006"/>
  <c r="R13" i="1006"/>
  <c r="Q13" i="1006"/>
  <c r="J13" i="1006"/>
  <c r="I13" i="1006"/>
  <c r="T13" i="1006" s="1"/>
  <c r="S12" i="1006"/>
  <c r="R12" i="1006"/>
  <c r="Q12" i="1006"/>
  <c r="J12" i="1006"/>
  <c r="I12" i="1006"/>
  <c r="T12" i="1006" s="1"/>
  <c r="S11" i="1006"/>
  <c r="R11" i="1006"/>
  <c r="Q11" i="1006"/>
  <c r="J11" i="1006"/>
  <c r="I11" i="1006"/>
  <c r="T11" i="1006" s="1"/>
  <c r="S10" i="1006"/>
  <c r="R10" i="1006"/>
  <c r="Q10" i="1006"/>
  <c r="J10" i="1006"/>
  <c r="I10" i="1006"/>
  <c r="T10" i="1006" s="1"/>
  <c r="S9" i="1006"/>
  <c r="R9" i="1006"/>
  <c r="Q9" i="1006"/>
  <c r="J9" i="1006"/>
  <c r="I9" i="1006"/>
  <c r="T9" i="1006" s="1"/>
  <c r="S8" i="1006"/>
  <c r="R8" i="1006"/>
  <c r="Q8" i="1006"/>
  <c r="J8" i="1006"/>
  <c r="I8" i="1006"/>
  <c r="S7" i="1006"/>
  <c r="R7" i="1006"/>
  <c r="Q7" i="1006"/>
  <c r="J7" i="1006"/>
  <c r="I7" i="1006"/>
  <c r="T7" i="1006" s="1"/>
  <c r="S45" i="1005"/>
  <c r="R45" i="1005"/>
  <c r="Q45" i="1005"/>
  <c r="J45" i="1005"/>
  <c r="I45" i="1005"/>
  <c r="T45" i="1005" s="1"/>
  <c r="S44" i="1005"/>
  <c r="R44" i="1005"/>
  <c r="Q44" i="1005"/>
  <c r="J44" i="1005"/>
  <c r="I44" i="1005"/>
  <c r="T44" i="1005" s="1"/>
  <c r="S43" i="1005"/>
  <c r="R43" i="1005"/>
  <c r="Q43" i="1005"/>
  <c r="J43" i="1005"/>
  <c r="I43" i="1005"/>
  <c r="T43" i="1005" s="1"/>
  <c r="S42" i="1005"/>
  <c r="R42" i="1005"/>
  <c r="Q42" i="1005"/>
  <c r="J42" i="1005"/>
  <c r="I42" i="1005"/>
  <c r="T42" i="1005" s="1"/>
  <c r="S41" i="1005"/>
  <c r="R41" i="1005"/>
  <c r="Q41" i="1005"/>
  <c r="J41" i="1005"/>
  <c r="I41" i="1005"/>
  <c r="T41" i="1005" s="1"/>
  <c r="S40" i="1005"/>
  <c r="R40" i="1005"/>
  <c r="Q40" i="1005"/>
  <c r="J40" i="1005"/>
  <c r="I40" i="1005"/>
  <c r="T40" i="1005" s="1"/>
  <c r="S39" i="1005"/>
  <c r="R39" i="1005"/>
  <c r="Q39" i="1005"/>
  <c r="J39" i="1005"/>
  <c r="I39" i="1005"/>
  <c r="T39" i="1005" s="1"/>
  <c r="S38" i="1005"/>
  <c r="R38" i="1005"/>
  <c r="Q38" i="1005"/>
  <c r="J38" i="1005"/>
  <c r="I38" i="1005"/>
  <c r="T38" i="1005" s="1"/>
  <c r="S37" i="1005"/>
  <c r="R37" i="1005"/>
  <c r="Q37" i="1005"/>
  <c r="J37" i="1005"/>
  <c r="I37" i="1005"/>
  <c r="T37" i="1005" s="1"/>
  <c r="S36" i="1005"/>
  <c r="R36" i="1005"/>
  <c r="Q36" i="1005"/>
  <c r="J36" i="1005"/>
  <c r="I36" i="1005"/>
  <c r="T36" i="1005" s="1"/>
  <c r="S35" i="1005"/>
  <c r="R35" i="1005"/>
  <c r="Q35" i="1005"/>
  <c r="J35" i="1005"/>
  <c r="I35" i="1005"/>
  <c r="T35" i="1005" s="1"/>
  <c r="S34" i="1005"/>
  <c r="R34" i="1005"/>
  <c r="Q34" i="1005"/>
  <c r="J34" i="1005"/>
  <c r="I34" i="1005"/>
  <c r="T34" i="1005" s="1"/>
  <c r="S33" i="1005"/>
  <c r="R33" i="1005"/>
  <c r="Q33" i="1005"/>
  <c r="J33" i="1005"/>
  <c r="I33" i="1005"/>
  <c r="T33" i="1005" s="1"/>
  <c r="S32" i="1005"/>
  <c r="R32" i="1005"/>
  <c r="Q32" i="1005"/>
  <c r="J32" i="1005"/>
  <c r="I32" i="1005"/>
  <c r="T32" i="1005" s="1"/>
  <c r="S31" i="1005"/>
  <c r="R31" i="1005"/>
  <c r="Q31" i="1005"/>
  <c r="J31" i="1005"/>
  <c r="I31" i="1005"/>
  <c r="T31" i="1005" s="1"/>
  <c r="S30" i="1005"/>
  <c r="R30" i="1005"/>
  <c r="Q30" i="1005"/>
  <c r="J30" i="1005"/>
  <c r="I30" i="1005"/>
  <c r="T30" i="1005" s="1"/>
  <c r="S29" i="1005"/>
  <c r="R29" i="1005"/>
  <c r="Q29" i="1005"/>
  <c r="J29" i="1005"/>
  <c r="I29" i="1005"/>
  <c r="T29" i="1005" s="1"/>
  <c r="S28" i="1005"/>
  <c r="R28" i="1005"/>
  <c r="Q28" i="1005"/>
  <c r="J28" i="1005"/>
  <c r="I28" i="1005"/>
  <c r="T28" i="1005" s="1"/>
  <c r="S27" i="1005"/>
  <c r="R27" i="1005"/>
  <c r="Q27" i="1005"/>
  <c r="J27" i="1005"/>
  <c r="I27" i="1005"/>
  <c r="T27" i="1005" s="1"/>
  <c r="S26" i="1005"/>
  <c r="R26" i="1005"/>
  <c r="Q26" i="1005"/>
  <c r="J26" i="1005"/>
  <c r="I26" i="1005"/>
  <c r="T26" i="1005" s="1"/>
  <c r="S25" i="1005"/>
  <c r="R25" i="1005"/>
  <c r="Q25" i="1005"/>
  <c r="J25" i="1005"/>
  <c r="I25" i="1005"/>
  <c r="T25" i="1005" s="1"/>
  <c r="S24" i="1005"/>
  <c r="R24" i="1005"/>
  <c r="Q24" i="1005"/>
  <c r="J24" i="1005"/>
  <c r="I24" i="1005"/>
  <c r="T24" i="1005" s="1"/>
  <c r="S23" i="1005"/>
  <c r="R23" i="1005"/>
  <c r="Q23" i="1005"/>
  <c r="J23" i="1005"/>
  <c r="I23" i="1005"/>
  <c r="T23" i="1005" s="1"/>
  <c r="S22" i="1005"/>
  <c r="R22" i="1005"/>
  <c r="Q22" i="1005"/>
  <c r="J22" i="1005"/>
  <c r="I22" i="1005"/>
  <c r="T22" i="1005" s="1"/>
  <c r="S21" i="1005"/>
  <c r="R21" i="1005"/>
  <c r="Q21" i="1005"/>
  <c r="J21" i="1005"/>
  <c r="I21" i="1005"/>
  <c r="T21" i="1005" s="1"/>
  <c r="S20" i="1005"/>
  <c r="R20" i="1005"/>
  <c r="Q20" i="1005"/>
  <c r="J20" i="1005"/>
  <c r="I20" i="1005"/>
  <c r="T20" i="1005" s="1"/>
  <c r="S19" i="1005"/>
  <c r="R19" i="1005"/>
  <c r="Q19" i="1005"/>
  <c r="J19" i="1005"/>
  <c r="I19" i="1005"/>
  <c r="T19" i="1005" s="1"/>
  <c r="S18" i="1005"/>
  <c r="R18" i="1005"/>
  <c r="Q18" i="1005"/>
  <c r="J18" i="1005"/>
  <c r="I18" i="1005"/>
  <c r="T18" i="1005" s="1"/>
  <c r="S17" i="1005"/>
  <c r="R17" i="1005"/>
  <c r="Q17" i="1005"/>
  <c r="J17" i="1005"/>
  <c r="I17" i="1005"/>
  <c r="T17" i="1005" s="1"/>
  <c r="S16" i="1005"/>
  <c r="R16" i="1005"/>
  <c r="Q16" i="1005"/>
  <c r="J16" i="1005"/>
  <c r="I16" i="1005"/>
  <c r="T16" i="1005" s="1"/>
  <c r="S15" i="1005"/>
  <c r="R15" i="1005"/>
  <c r="Q15" i="1005"/>
  <c r="J15" i="1005"/>
  <c r="I15" i="1005"/>
  <c r="T15" i="1005" s="1"/>
  <c r="S14" i="1005"/>
  <c r="R14" i="1005"/>
  <c r="Q14" i="1005"/>
  <c r="J14" i="1005"/>
  <c r="I14" i="1005"/>
  <c r="T14" i="1005" s="1"/>
  <c r="S13" i="1005"/>
  <c r="R13" i="1005"/>
  <c r="Q13" i="1005"/>
  <c r="J13" i="1005"/>
  <c r="I13" i="1005"/>
  <c r="T13" i="1005" s="1"/>
  <c r="S12" i="1005"/>
  <c r="R12" i="1005"/>
  <c r="Q12" i="1005"/>
  <c r="J12" i="1005"/>
  <c r="I12" i="1005"/>
  <c r="T12" i="1005" s="1"/>
  <c r="S11" i="1005"/>
  <c r="R11" i="1005"/>
  <c r="Q11" i="1005"/>
  <c r="J11" i="1005"/>
  <c r="I11" i="1005"/>
  <c r="T11" i="1005" s="1"/>
  <c r="S10" i="1005"/>
  <c r="R10" i="1005"/>
  <c r="Q10" i="1005"/>
  <c r="J10" i="1005"/>
  <c r="I10" i="1005"/>
  <c r="T10" i="1005" s="1"/>
  <c r="S9" i="1005"/>
  <c r="R9" i="1005"/>
  <c r="Q9" i="1005"/>
  <c r="J9" i="1005"/>
  <c r="I9" i="1005"/>
  <c r="T9" i="1005" s="1"/>
  <c r="S8" i="1005"/>
  <c r="R8" i="1005"/>
  <c r="Q8" i="1005"/>
  <c r="J8" i="1005"/>
  <c r="I8" i="1005"/>
  <c r="S7" i="1005"/>
  <c r="R7" i="1005"/>
  <c r="Q7" i="1005"/>
  <c r="J7" i="1005"/>
  <c r="I7" i="1005"/>
  <c r="T7" i="1005" s="1"/>
  <c r="S91" i="1004"/>
  <c r="R91" i="1004"/>
  <c r="Q91" i="1004"/>
  <c r="J91" i="1004"/>
  <c r="I91" i="1004"/>
  <c r="T91" i="1004" s="1"/>
  <c r="S90" i="1004"/>
  <c r="R90" i="1004"/>
  <c r="Q90" i="1004"/>
  <c r="J90" i="1004"/>
  <c r="I90" i="1004"/>
  <c r="T90" i="1004" s="1"/>
  <c r="S89" i="1004"/>
  <c r="R89" i="1004"/>
  <c r="Q89" i="1004"/>
  <c r="J89" i="1004"/>
  <c r="I89" i="1004"/>
  <c r="T89" i="1004" s="1"/>
  <c r="S88" i="1004"/>
  <c r="R88" i="1004"/>
  <c r="Q88" i="1004"/>
  <c r="J88" i="1004"/>
  <c r="I88" i="1004"/>
  <c r="T88" i="1004" s="1"/>
  <c r="S87" i="1004"/>
  <c r="R87" i="1004"/>
  <c r="Q87" i="1004"/>
  <c r="J87" i="1004"/>
  <c r="I87" i="1004"/>
  <c r="T87" i="1004" s="1"/>
  <c r="S86" i="1004"/>
  <c r="R86" i="1004"/>
  <c r="Q86" i="1004"/>
  <c r="J86" i="1004"/>
  <c r="I86" i="1004"/>
  <c r="T86" i="1004" s="1"/>
  <c r="S85" i="1004"/>
  <c r="R85" i="1004"/>
  <c r="Q85" i="1004"/>
  <c r="J85" i="1004"/>
  <c r="I85" i="1004"/>
  <c r="T85" i="1004" s="1"/>
  <c r="S84" i="1004"/>
  <c r="R84" i="1004"/>
  <c r="Q84" i="1004"/>
  <c r="J84" i="1004"/>
  <c r="I84" i="1004"/>
  <c r="T84" i="1004" s="1"/>
  <c r="S83" i="1004"/>
  <c r="R83" i="1004"/>
  <c r="Q83" i="1004"/>
  <c r="J83" i="1004"/>
  <c r="I83" i="1004"/>
  <c r="T83" i="1004" s="1"/>
  <c r="S82" i="1004"/>
  <c r="R82" i="1004"/>
  <c r="Q82" i="1004"/>
  <c r="J82" i="1004"/>
  <c r="I82" i="1004"/>
  <c r="T82" i="1004" s="1"/>
  <c r="S81" i="1004"/>
  <c r="R81" i="1004"/>
  <c r="Q81" i="1004"/>
  <c r="J81" i="1004"/>
  <c r="I81" i="1004"/>
  <c r="T81" i="1004" s="1"/>
  <c r="S80" i="1004"/>
  <c r="R80" i="1004"/>
  <c r="Q80" i="1004"/>
  <c r="J80" i="1004"/>
  <c r="I80" i="1004"/>
  <c r="T80" i="1004" s="1"/>
  <c r="S79" i="1004"/>
  <c r="R79" i="1004"/>
  <c r="Q79" i="1004"/>
  <c r="J79" i="1004"/>
  <c r="I79" i="1004"/>
  <c r="T79" i="1004" s="1"/>
  <c r="S78" i="1004"/>
  <c r="R78" i="1004"/>
  <c r="Q78" i="1004"/>
  <c r="J78" i="1004"/>
  <c r="I78" i="1004"/>
  <c r="T78" i="1004" s="1"/>
  <c r="S77" i="1004"/>
  <c r="R77" i="1004"/>
  <c r="Q77" i="1004"/>
  <c r="J77" i="1004"/>
  <c r="I77" i="1004"/>
  <c r="T77" i="1004" s="1"/>
  <c r="S76" i="1004"/>
  <c r="R76" i="1004"/>
  <c r="Q76" i="1004"/>
  <c r="J76" i="1004"/>
  <c r="I76" i="1004"/>
  <c r="T76" i="1004" s="1"/>
  <c r="S75" i="1004"/>
  <c r="R75" i="1004"/>
  <c r="Q75" i="1004"/>
  <c r="J75" i="1004"/>
  <c r="I75" i="1004"/>
  <c r="T75" i="1004" s="1"/>
  <c r="S74" i="1004"/>
  <c r="R74" i="1004"/>
  <c r="Q74" i="1004"/>
  <c r="J74" i="1004"/>
  <c r="I74" i="1004"/>
  <c r="T74" i="1004" s="1"/>
  <c r="S73" i="1004"/>
  <c r="R73" i="1004"/>
  <c r="Q73" i="1004"/>
  <c r="J73" i="1004"/>
  <c r="I73" i="1004"/>
  <c r="T73" i="1004" s="1"/>
  <c r="S72" i="1004"/>
  <c r="R72" i="1004"/>
  <c r="Q72" i="1004"/>
  <c r="J72" i="1004"/>
  <c r="I72" i="1004"/>
  <c r="T72" i="1004" s="1"/>
  <c r="S71" i="1004"/>
  <c r="R71" i="1004"/>
  <c r="Q71" i="1004"/>
  <c r="J71" i="1004"/>
  <c r="I71" i="1004"/>
  <c r="T71" i="1004" s="1"/>
  <c r="S70" i="1004"/>
  <c r="R70" i="1004"/>
  <c r="Q70" i="1004"/>
  <c r="J70" i="1004"/>
  <c r="I70" i="1004"/>
  <c r="T70" i="1004" s="1"/>
  <c r="S69" i="1004"/>
  <c r="R69" i="1004"/>
  <c r="Q69" i="1004"/>
  <c r="J69" i="1004"/>
  <c r="I69" i="1004"/>
  <c r="T69" i="1004" s="1"/>
  <c r="S68" i="1004"/>
  <c r="R68" i="1004"/>
  <c r="Q68" i="1004"/>
  <c r="J68" i="1004"/>
  <c r="I68" i="1004"/>
  <c r="T68" i="1004" s="1"/>
  <c r="S67" i="1004"/>
  <c r="R67" i="1004"/>
  <c r="Q67" i="1004"/>
  <c r="J67" i="1004"/>
  <c r="I67" i="1004"/>
  <c r="T67" i="1004" s="1"/>
  <c r="S66" i="1004"/>
  <c r="R66" i="1004"/>
  <c r="Q66" i="1004"/>
  <c r="J66" i="1004"/>
  <c r="I66" i="1004"/>
  <c r="T66" i="1004" s="1"/>
  <c r="S65" i="1004"/>
  <c r="R65" i="1004"/>
  <c r="Q65" i="1004"/>
  <c r="J65" i="1004"/>
  <c r="I65" i="1004"/>
  <c r="T65" i="1004" s="1"/>
  <c r="S64" i="1004"/>
  <c r="R64" i="1004"/>
  <c r="Q64" i="1004"/>
  <c r="J64" i="1004"/>
  <c r="I64" i="1004"/>
  <c r="T64" i="1004" s="1"/>
  <c r="S63" i="1004"/>
  <c r="R63" i="1004"/>
  <c r="Q63" i="1004"/>
  <c r="J63" i="1004"/>
  <c r="I63" i="1004"/>
  <c r="T63" i="1004" s="1"/>
  <c r="S62" i="1004"/>
  <c r="R62" i="1004"/>
  <c r="Q62" i="1004"/>
  <c r="J62" i="1004"/>
  <c r="I62" i="1004"/>
  <c r="T62" i="1004" s="1"/>
  <c r="S61" i="1004"/>
  <c r="R61" i="1004"/>
  <c r="Q61" i="1004"/>
  <c r="J61" i="1004"/>
  <c r="I61" i="1004"/>
  <c r="T61" i="1004" s="1"/>
  <c r="S60" i="1004"/>
  <c r="R60" i="1004"/>
  <c r="Q60" i="1004"/>
  <c r="J60" i="1004"/>
  <c r="I60" i="1004"/>
  <c r="T60" i="1004" s="1"/>
  <c r="S59" i="1004"/>
  <c r="R59" i="1004"/>
  <c r="Q59" i="1004"/>
  <c r="J59" i="1004"/>
  <c r="I59" i="1004"/>
  <c r="T59" i="1004" s="1"/>
  <c r="S58" i="1004"/>
  <c r="R58" i="1004"/>
  <c r="Q58" i="1004"/>
  <c r="J58" i="1004"/>
  <c r="I58" i="1004"/>
  <c r="T58" i="1004" s="1"/>
  <c r="S57" i="1004"/>
  <c r="R57" i="1004"/>
  <c r="Q57" i="1004"/>
  <c r="J57" i="1004"/>
  <c r="I57" i="1004"/>
  <c r="T57" i="1004" s="1"/>
  <c r="S56" i="1004"/>
  <c r="R56" i="1004"/>
  <c r="Q56" i="1004"/>
  <c r="J56" i="1004"/>
  <c r="I56" i="1004"/>
  <c r="T56" i="1004" s="1"/>
  <c r="S55" i="1004"/>
  <c r="R55" i="1004"/>
  <c r="Q55" i="1004"/>
  <c r="J55" i="1004"/>
  <c r="I55" i="1004"/>
  <c r="T55" i="1004" s="1"/>
  <c r="S54" i="1004"/>
  <c r="R54" i="1004"/>
  <c r="Q54" i="1004"/>
  <c r="J54" i="1004"/>
  <c r="I54" i="1004"/>
  <c r="T54" i="1004" s="1"/>
  <c r="S53" i="1004"/>
  <c r="R53" i="1004"/>
  <c r="Q53" i="1004"/>
  <c r="J53" i="1004"/>
  <c r="I53" i="1004"/>
  <c r="T53" i="1004" s="1"/>
  <c r="S52" i="1004"/>
  <c r="R52" i="1004"/>
  <c r="Q52" i="1004"/>
  <c r="J52" i="1004"/>
  <c r="I52" i="1004"/>
  <c r="T52" i="1004" s="1"/>
  <c r="S51" i="1004"/>
  <c r="R51" i="1004"/>
  <c r="Q51" i="1004"/>
  <c r="J51" i="1004"/>
  <c r="I51" i="1004"/>
  <c r="T51" i="1004" s="1"/>
  <c r="S50" i="1004"/>
  <c r="R50" i="1004"/>
  <c r="Q50" i="1004"/>
  <c r="J50" i="1004"/>
  <c r="I50" i="1004"/>
  <c r="T50" i="1004" s="1"/>
  <c r="S49" i="1004"/>
  <c r="R49" i="1004"/>
  <c r="Q49" i="1004"/>
  <c r="J49" i="1004"/>
  <c r="I49" i="1004"/>
  <c r="T49" i="1004" s="1"/>
  <c r="S48" i="1004"/>
  <c r="R48" i="1004"/>
  <c r="Q48" i="1004"/>
  <c r="J48" i="1004"/>
  <c r="I48" i="1004"/>
  <c r="T48" i="1004" s="1"/>
  <c r="S47" i="1004"/>
  <c r="R47" i="1004"/>
  <c r="Q47" i="1004"/>
  <c r="J47" i="1004"/>
  <c r="I47" i="1004"/>
  <c r="T47" i="1004" s="1"/>
  <c r="S46" i="1004"/>
  <c r="R46" i="1004"/>
  <c r="Q46" i="1004"/>
  <c r="J46" i="1004"/>
  <c r="I46" i="1004"/>
  <c r="T46" i="1004" s="1"/>
  <c r="S45" i="1004"/>
  <c r="R45" i="1004"/>
  <c r="Q45" i="1004"/>
  <c r="J45" i="1004"/>
  <c r="I45" i="1004"/>
  <c r="T45" i="1004" s="1"/>
  <c r="S44" i="1004"/>
  <c r="R44" i="1004"/>
  <c r="Q44" i="1004"/>
  <c r="J44" i="1004"/>
  <c r="I44" i="1004"/>
  <c r="T44" i="1004" s="1"/>
  <c r="S43" i="1004"/>
  <c r="R43" i="1004"/>
  <c r="Q43" i="1004"/>
  <c r="J43" i="1004"/>
  <c r="I43" i="1004"/>
  <c r="T43" i="1004" s="1"/>
  <c r="S42" i="1004"/>
  <c r="R42" i="1004"/>
  <c r="Q42" i="1004"/>
  <c r="J42" i="1004"/>
  <c r="I42" i="1004"/>
  <c r="S41" i="1004"/>
  <c r="R41" i="1004"/>
  <c r="Q41" i="1004"/>
  <c r="J41" i="1004"/>
  <c r="I41" i="1004"/>
  <c r="S40" i="1004"/>
  <c r="R40" i="1004"/>
  <c r="Q40" i="1004"/>
  <c r="J40" i="1004"/>
  <c r="I40" i="1004"/>
  <c r="T40" i="1004" s="1"/>
  <c r="S39" i="1004"/>
  <c r="R39" i="1004"/>
  <c r="Q39" i="1004"/>
  <c r="J39" i="1004"/>
  <c r="I39" i="1004"/>
  <c r="T39" i="1004" s="1"/>
  <c r="S38" i="1004"/>
  <c r="R38" i="1004"/>
  <c r="Q38" i="1004"/>
  <c r="J38" i="1004"/>
  <c r="I38" i="1004"/>
  <c r="T38" i="1004" s="1"/>
  <c r="S37" i="1004"/>
  <c r="R37" i="1004"/>
  <c r="Q37" i="1004"/>
  <c r="J37" i="1004"/>
  <c r="I37" i="1004"/>
  <c r="T37" i="1004" s="1"/>
  <c r="S36" i="1004"/>
  <c r="R36" i="1004"/>
  <c r="Q36" i="1004"/>
  <c r="J36" i="1004"/>
  <c r="I36" i="1004"/>
  <c r="T36" i="1004" s="1"/>
  <c r="S35" i="1004"/>
  <c r="R35" i="1004"/>
  <c r="Q35" i="1004"/>
  <c r="J35" i="1004"/>
  <c r="I35" i="1004"/>
  <c r="S34" i="1004"/>
  <c r="R34" i="1004"/>
  <c r="Q34" i="1004"/>
  <c r="J34" i="1004"/>
  <c r="I34" i="1004"/>
  <c r="T34" i="1004" s="1"/>
  <c r="S33" i="1004"/>
  <c r="R33" i="1004"/>
  <c r="Q33" i="1004"/>
  <c r="J33" i="1004"/>
  <c r="I33" i="1004"/>
  <c r="T33" i="1004" s="1"/>
  <c r="S32" i="1004"/>
  <c r="R32" i="1004"/>
  <c r="Q32" i="1004"/>
  <c r="J32" i="1004"/>
  <c r="I32" i="1004"/>
  <c r="T32" i="1004" s="1"/>
  <c r="S31" i="1004"/>
  <c r="R31" i="1004"/>
  <c r="Q31" i="1004"/>
  <c r="J31" i="1004"/>
  <c r="I31" i="1004"/>
  <c r="T31" i="1004" s="1"/>
  <c r="S30" i="1004"/>
  <c r="R30" i="1004"/>
  <c r="Q30" i="1004"/>
  <c r="J30" i="1004"/>
  <c r="I30" i="1004"/>
  <c r="T30" i="1004" s="1"/>
  <c r="S29" i="1004"/>
  <c r="R29" i="1004"/>
  <c r="Q29" i="1004"/>
  <c r="J29" i="1004"/>
  <c r="I29" i="1004"/>
  <c r="T29" i="1004" s="1"/>
  <c r="S28" i="1004"/>
  <c r="R28" i="1004"/>
  <c r="Q28" i="1004"/>
  <c r="J28" i="1004"/>
  <c r="I28" i="1004"/>
  <c r="T28" i="1004" s="1"/>
  <c r="S27" i="1004"/>
  <c r="R27" i="1004"/>
  <c r="Q27" i="1004"/>
  <c r="J27" i="1004"/>
  <c r="I27" i="1004"/>
  <c r="S26" i="1004"/>
  <c r="R26" i="1004"/>
  <c r="Q26" i="1004"/>
  <c r="J26" i="1004"/>
  <c r="I26" i="1004"/>
  <c r="S25" i="1004"/>
  <c r="R25" i="1004"/>
  <c r="Q25" i="1004"/>
  <c r="J25" i="1004"/>
  <c r="I25" i="1004"/>
  <c r="T25" i="1004" s="1"/>
  <c r="S24" i="1004"/>
  <c r="R24" i="1004"/>
  <c r="Q24" i="1004"/>
  <c r="J24" i="1004"/>
  <c r="I24" i="1004"/>
  <c r="T24" i="1004" s="1"/>
  <c r="S23" i="1004"/>
  <c r="R23" i="1004"/>
  <c r="Q23" i="1004"/>
  <c r="J23" i="1004"/>
  <c r="I23" i="1004"/>
  <c r="S22" i="1004"/>
  <c r="R22" i="1004"/>
  <c r="Q22" i="1004"/>
  <c r="J22" i="1004"/>
  <c r="I22" i="1004"/>
  <c r="T22" i="1004" s="1"/>
  <c r="S21" i="1004"/>
  <c r="R21" i="1004"/>
  <c r="Q21" i="1004"/>
  <c r="J21" i="1004"/>
  <c r="I21" i="1004"/>
  <c r="T21" i="1004" s="1"/>
  <c r="S20" i="1004"/>
  <c r="R20" i="1004"/>
  <c r="Q20" i="1004"/>
  <c r="J20" i="1004"/>
  <c r="I20" i="1004"/>
  <c r="T20" i="1004" s="1"/>
  <c r="S19" i="1004"/>
  <c r="R19" i="1004"/>
  <c r="Q19" i="1004"/>
  <c r="J19" i="1004"/>
  <c r="I19" i="1004"/>
  <c r="S18" i="1004"/>
  <c r="R18" i="1004"/>
  <c r="Q18" i="1004"/>
  <c r="J18" i="1004"/>
  <c r="I18" i="1004"/>
  <c r="T18" i="1004" s="1"/>
  <c r="S17" i="1004"/>
  <c r="R17" i="1004"/>
  <c r="Q17" i="1004"/>
  <c r="J17" i="1004"/>
  <c r="I17" i="1004"/>
  <c r="T17" i="1004" s="1"/>
  <c r="S16" i="1004"/>
  <c r="R16" i="1004"/>
  <c r="Q16" i="1004"/>
  <c r="J16" i="1004"/>
  <c r="I16" i="1004"/>
  <c r="S15" i="1004"/>
  <c r="R15" i="1004"/>
  <c r="Q15" i="1004"/>
  <c r="J15" i="1004"/>
  <c r="I15" i="1004"/>
  <c r="S14" i="1004"/>
  <c r="R14" i="1004"/>
  <c r="Q14" i="1004"/>
  <c r="J14" i="1004"/>
  <c r="I14" i="1004"/>
  <c r="T14" i="1004" s="1"/>
  <c r="S13" i="1004"/>
  <c r="R13" i="1004"/>
  <c r="Q13" i="1004"/>
  <c r="J13" i="1004"/>
  <c r="I13" i="1004"/>
  <c r="S12" i="1004"/>
  <c r="R12" i="1004"/>
  <c r="Q12" i="1004"/>
  <c r="J12" i="1004"/>
  <c r="I12" i="1004"/>
  <c r="S11" i="1004"/>
  <c r="R11" i="1004"/>
  <c r="Q11" i="1004"/>
  <c r="J11" i="1004"/>
  <c r="I11" i="1004"/>
  <c r="S10" i="1004"/>
  <c r="R10" i="1004"/>
  <c r="Q10" i="1004"/>
  <c r="J10" i="1004"/>
  <c r="I10" i="1004"/>
  <c r="T10" i="1004" s="1"/>
  <c r="S9" i="1004"/>
  <c r="R9" i="1004"/>
  <c r="Q9" i="1004"/>
  <c r="J9" i="1004"/>
  <c r="I9" i="1004"/>
  <c r="S8" i="1004"/>
  <c r="R8" i="1004"/>
  <c r="Q8" i="1004"/>
  <c r="J8" i="1004"/>
  <c r="I8" i="1004"/>
  <c r="S7" i="1004"/>
  <c r="R7" i="1004"/>
  <c r="Q7" i="1004"/>
  <c r="J7" i="1004"/>
  <c r="I7" i="1004"/>
  <c r="T7" i="1004" s="1"/>
  <c r="S38" i="1003"/>
  <c r="R38" i="1003"/>
  <c r="Q38" i="1003"/>
  <c r="J38" i="1003"/>
  <c r="I38" i="1003"/>
  <c r="T38" i="1003" s="1"/>
  <c r="S37" i="1003"/>
  <c r="R37" i="1003"/>
  <c r="Q37" i="1003"/>
  <c r="J37" i="1003"/>
  <c r="I37" i="1003"/>
  <c r="T37" i="1003" s="1"/>
  <c r="S36" i="1003"/>
  <c r="R36" i="1003"/>
  <c r="Q36" i="1003"/>
  <c r="J36" i="1003"/>
  <c r="I36" i="1003"/>
  <c r="T36" i="1003" s="1"/>
  <c r="S35" i="1003"/>
  <c r="R35" i="1003"/>
  <c r="Q35" i="1003"/>
  <c r="J35" i="1003"/>
  <c r="I35" i="1003"/>
  <c r="T35" i="1003" s="1"/>
  <c r="S34" i="1003"/>
  <c r="R34" i="1003"/>
  <c r="Q34" i="1003"/>
  <c r="J34" i="1003"/>
  <c r="I34" i="1003"/>
  <c r="T34" i="1003" s="1"/>
  <c r="S33" i="1003"/>
  <c r="R33" i="1003"/>
  <c r="Q33" i="1003"/>
  <c r="J33" i="1003"/>
  <c r="I33" i="1003"/>
  <c r="T33" i="1003" s="1"/>
  <c r="S32" i="1003"/>
  <c r="R32" i="1003"/>
  <c r="Q32" i="1003"/>
  <c r="J32" i="1003"/>
  <c r="I32" i="1003"/>
  <c r="T32" i="1003" s="1"/>
  <c r="S31" i="1003"/>
  <c r="R31" i="1003"/>
  <c r="Q31" i="1003"/>
  <c r="J31" i="1003"/>
  <c r="I31" i="1003"/>
  <c r="T31" i="1003" s="1"/>
  <c r="S30" i="1003"/>
  <c r="R30" i="1003"/>
  <c r="Q30" i="1003"/>
  <c r="J30" i="1003"/>
  <c r="I30" i="1003"/>
  <c r="T30" i="1003" s="1"/>
  <c r="S29" i="1003"/>
  <c r="R29" i="1003"/>
  <c r="Q29" i="1003"/>
  <c r="J29" i="1003"/>
  <c r="I29" i="1003"/>
  <c r="T29" i="1003" s="1"/>
  <c r="S28" i="1003"/>
  <c r="R28" i="1003"/>
  <c r="Q28" i="1003"/>
  <c r="J28" i="1003"/>
  <c r="I28" i="1003"/>
  <c r="T28" i="1003" s="1"/>
  <c r="S27" i="1003"/>
  <c r="R27" i="1003"/>
  <c r="Q27" i="1003"/>
  <c r="J27" i="1003"/>
  <c r="I27" i="1003"/>
  <c r="T27" i="1003" s="1"/>
  <c r="S26" i="1003"/>
  <c r="R26" i="1003"/>
  <c r="Q26" i="1003"/>
  <c r="J26" i="1003"/>
  <c r="I26" i="1003"/>
  <c r="T26" i="1003" s="1"/>
  <c r="S25" i="1003"/>
  <c r="R25" i="1003"/>
  <c r="Q25" i="1003"/>
  <c r="J25" i="1003"/>
  <c r="I25" i="1003"/>
  <c r="T25" i="1003" s="1"/>
  <c r="S24" i="1003"/>
  <c r="R24" i="1003"/>
  <c r="Q24" i="1003"/>
  <c r="J24" i="1003"/>
  <c r="I24" i="1003"/>
  <c r="T24" i="1003" s="1"/>
  <c r="S23" i="1003"/>
  <c r="R23" i="1003"/>
  <c r="Q23" i="1003"/>
  <c r="J23" i="1003"/>
  <c r="I23" i="1003"/>
  <c r="T23" i="1003" s="1"/>
  <c r="S22" i="1003"/>
  <c r="R22" i="1003"/>
  <c r="Q22" i="1003"/>
  <c r="J22" i="1003"/>
  <c r="I22" i="1003"/>
  <c r="T22" i="1003" s="1"/>
  <c r="S21" i="1003"/>
  <c r="R21" i="1003"/>
  <c r="Q21" i="1003"/>
  <c r="J21" i="1003"/>
  <c r="I21" i="1003"/>
  <c r="T21" i="1003" s="1"/>
  <c r="S20" i="1003"/>
  <c r="R20" i="1003"/>
  <c r="Q20" i="1003"/>
  <c r="J20" i="1003"/>
  <c r="I20" i="1003"/>
  <c r="T20" i="1003" s="1"/>
  <c r="S19" i="1003"/>
  <c r="R19" i="1003"/>
  <c r="Q19" i="1003"/>
  <c r="J19" i="1003"/>
  <c r="I19" i="1003"/>
  <c r="T19" i="1003" s="1"/>
  <c r="S18" i="1003"/>
  <c r="R18" i="1003"/>
  <c r="Q18" i="1003"/>
  <c r="J18" i="1003"/>
  <c r="I18" i="1003"/>
  <c r="T18" i="1003" s="1"/>
  <c r="S17" i="1003"/>
  <c r="R17" i="1003"/>
  <c r="Q17" i="1003"/>
  <c r="J17" i="1003"/>
  <c r="I17" i="1003"/>
  <c r="T17" i="1003" s="1"/>
  <c r="S16" i="1003"/>
  <c r="R16" i="1003"/>
  <c r="Q16" i="1003"/>
  <c r="J16" i="1003"/>
  <c r="I16" i="1003"/>
  <c r="T16" i="1003" s="1"/>
  <c r="S15" i="1003"/>
  <c r="R15" i="1003"/>
  <c r="Q15" i="1003"/>
  <c r="J15" i="1003"/>
  <c r="I15" i="1003"/>
  <c r="T15" i="1003" s="1"/>
  <c r="S14" i="1003"/>
  <c r="R14" i="1003"/>
  <c r="Q14" i="1003"/>
  <c r="J14" i="1003"/>
  <c r="I14" i="1003"/>
  <c r="T14" i="1003" s="1"/>
  <c r="S13" i="1003"/>
  <c r="R13" i="1003"/>
  <c r="Q13" i="1003"/>
  <c r="J13" i="1003"/>
  <c r="I13" i="1003"/>
  <c r="T13" i="1003" s="1"/>
  <c r="S12" i="1003"/>
  <c r="R12" i="1003"/>
  <c r="Q12" i="1003"/>
  <c r="J12" i="1003"/>
  <c r="I12" i="1003"/>
  <c r="T12" i="1003" s="1"/>
  <c r="S11" i="1003"/>
  <c r="R11" i="1003"/>
  <c r="Q11" i="1003"/>
  <c r="J11" i="1003"/>
  <c r="I11" i="1003"/>
  <c r="T11" i="1003" s="1"/>
  <c r="S10" i="1003"/>
  <c r="R10" i="1003"/>
  <c r="Q10" i="1003"/>
  <c r="J10" i="1003"/>
  <c r="I10" i="1003"/>
  <c r="T10" i="1003" s="1"/>
  <c r="S9" i="1003"/>
  <c r="R9" i="1003"/>
  <c r="Q9" i="1003"/>
  <c r="J9" i="1003"/>
  <c r="I9" i="1003"/>
  <c r="T9" i="1003" s="1"/>
  <c r="S8" i="1003"/>
  <c r="R8" i="1003"/>
  <c r="Q8" i="1003"/>
  <c r="J8" i="1003"/>
  <c r="I8" i="1003"/>
  <c r="T8" i="1003" s="1"/>
  <c r="S7" i="1003"/>
  <c r="R7" i="1003"/>
  <c r="Q7" i="1003"/>
  <c r="J7" i="1003"/>
  <c r="I7" i="1003"/>
  <c r="T7" i="1003" s="1"/>
  <c r="S91" i="1002"/>
  <c r="R91" i="1002"/>
  <c r="Q91" i="1002"/>
  <c r="J91" i="1002"/>
  <c r="I91" i="1002"/>
  <c r="T91" i="1002" s="1"/>
  <c r="S90" i="1002"/>
  <c r="R90" i="1002"/>
  <c r="Q90" i="1002"/>
  <c r="J90" i="1002"/>
  <c r="I90" i="1002"/>
  <c r="T90" i="1002" s="1"/>
  <c r="S89" i="1002"/>
  <c r="R89" i="1002"/>
  <c r="Q89" i="1002"/>
  <c r="J89" i="1002"/>
  <c r="I89" i="1002"/>
  <c r="T89" i="1002" s="1"/>
  <c r="S88" i="1002"/>
  <c r="R88" i="1002"/>
  <c r="Q88" i="1002"/>
  <c r="J88" i="1002"/>
  <c r="I88" i="1002"/>
  <c r="T88" i="1002" s="1"/>
  <c r="S87" i="1002"/>
  <c r="R87" i="1002"/>
  <c r="Q87" i="1002"/>
  <c r="J87" i="1002"/>
  <c r="I87" i="1002"/>
  <c r="T87" i="1002" s="1"/>
  <c r="S86" i="1002"/>
  <c r="R86" i="1002"/>
  <c r="Q86" i="1002"/>
  <c r="J86" i="1002"/>
  <c r="I86" i="1002"/>
  <c r="T86" i="1002" s="1"/>
  <c r="S85" i="1002"/>
  <c r="R85" i="1002"/>
  <c r="Q85" i="1002"/>
  <c r="J85" i="1002"/>
  <c r="I85" i="1002"/>
  <c r="T85" i="1002" s="1"/>
  <c r="S84" i="1002"/>
  <c r="R84" i="1002"/>
  <c r="Q84" i="1002"/>
  <c r="J84" i="1002"/>
  <c r="I84" i="1002"/>
  <c r="T84" i="1002" s="1"/>
  <c r="S83" i="1002"/>
  <c r="R83" i="1002"/>
  <c r="Q83" i="1002"/>
  <c r="J83" i="1002"/>
  <c r="I83" i="1002"/>
  <c r="T83" i="1002" s="1"/>
  <c r="S82" i="1002"/>
  <c r="R82" i="1002"/>
  <c r="Q82" i="1002"/>
  <c r="J82" i="1002"/>
  <c r="I82" i="1002"/>
  <c r="T82" i="1002" s="1"/>
  <c r="S81" i="1002"/>
  <c r="R81" i="1002"/>
  <c r="Q81" i="1002"/>
  <c r="J81" i="1002"/>
  <c r="I81" i="1002"/>
  <c r="T81" i="1002" s="1"/>
  <c r="S80" i="1002"/>
  <c r="R80" i="1002"/>
  <c r="Q80" i="1002"/>
  <c r="J80" i="1002"/>
  <c r="I80" i="1002"/>
  <c r="T80" i="1002" s="1"/>
  <c r="S79" i="1002"/>
  <c r="R79" i="1002"/>
  <c r="Q79" i="1002"/>
  <c r="J79" i="1002"/>
  <c r="I79" i="1002"/>
  <c r="T79" i="1002" s="1"/>
  <c r="S78" i="1002"/>
  <c r="R78" i="1002"/>
  <c r="Q78" i="1002"/>
  <c r="J78" i="1002"/>
  <c r="I78" i="1002"/>
  <c r="T78" i="1002" s="1"/>
  <c r="S77" i="1002"/>
  <c r="R77" i="1002"/>
  <c r="Q77" i="1002"/>
  <c r="J77" i="1002"/>
  <c r="I77" i="1002"/>
  <c r="T77" i="1002" s="1"/>
  <c r="S76" i="1002"/>
  <c r="R76" i="1002"/>
  <c r="Q76" i="1002"/>
  <c r="J76" i="1002"/>
  <c r="I76" i="1002"/>
  <c r="T76" i="1002" s="1"/>
  <c r="S75" i="1002"/>
  <c r="R75" i="1002"/>
  <c r="Q75" i="1002"/>
  <c r="J75" i="1002"/>
  <c r="I75" i="1002"/>
  <c r="T75" i="1002" s="1"/>
  <c r="S74" i="1002"/>
  <c r="R74" i="1002"/>
  <c r="Q74" i="1002"/>
  <c r="J74" i="1002"/>
  <c r="I74" i="1002"/>
  <c r="T74" i="1002" s="1"/>
  <c r="S73" i="1002"/>
  <c r="R73" i="1002"/>
  <c r="Q73" i="1002"/>
  <c r="J73" i="1002"/>
  <c r="I73" i="1002"/>
  <c r="T73" i="1002" s="1"/>
  <c r="S72" i="1002"/>
  <c r="R72" i="1002"/>
  <c r="Q72" i="1002"/>
  <c r="J72" i="1002"/>
  <c r="I72" i="1002"/>
  <c r="T72" i="1002" s="1"/>
  <c r="S71" i="1002"/>
  <c r="R71" i="1002"/>
  <c r="Q71" i="1002"/>
  <c r="J71" i="1002"/>
  <c r="I71" i="1002"/>
  <c r="T71" i="1002" s="1"/>
  <c r="S70" i="1002"/>
  <c r="R70" i="1002"/>
  <c r="Q70" i="1002"/>
  <c r="J70" i="1002"/>
  <c r="I70" i="1002"/>
  <c r="T70" i="1002" s="1"/>
  <c r="S69" i="1002"/>
  <c r="R69" i="1002"/>
  <c r="Q69" i="1002"/>
  <c r="J69" i="1002"/>
  <c r="I69" i="1002"/>
  <c r="T69" i="1002" s="1"/>
  <c r="S68" i="1002"/>
  <c r="R68" i="1002"/>
  <c r="Q68" i="1002"/>
  <c r="J68" i="1002"/>
  <c r="I68" i="1002"/>
  <c r="T68" i="1002" s="1"/>
  <c r="S67" i="1002"/>
  <c r="R67" i="1002"/>
  <c r="Q67" i="1002"/>
  <c r="J67" i="1002"/>
  <c r="I67" i="1002"/>
  <c r="T67" i="1002" s="1"/>
  <c r="S66" i="1002"/>
  <c r="R66" i="1002"/>
  <c r="Q66" i="1002"/>
  <c r="J66" i="1002"/>
  <c r="I66" i="1002"/>
  <c r="T66" i="1002" s="1"/>
  <c r="S65" i="1002"/>
  <c r="R65" i="1002"/>
  <c r="Q65" i="1002"/>
  <c r="J65" i="1002"/>
  <c r="I65" i="1002"/>
  <c r="T65" i="1002" s="1"/>
  <c r="S64" i="1002"/>
  <c r="R64" i="1002"/>
  <c r="Q64" i="1002"/>
  <c r="J64" i="1002"/>
  <c r="I64" i="1002"/>
  <c r="T64" i="1002" s="1"/>
  <c r="S63" i="1002"/>
  <c r="R63" i="1002"/>
  <c r="Q63" i="1002"/>
  <c r="J63" i="1002"/>
  <c r="I63" i="1002"/>
  <c r="T63" i="1002" s="1"/>
  <c r="S62" i="1002"/>
  <c r="R62" i="1002"/>
  <c r="Q62" i="1002"/>
  <c r="J62" i="1002"/>
  <c r="I62" i="1002"/>
  <c r="T62" i="1002" s="1"/>
  <c r="S61" i="1002"/>
  <c r="R61" i="1002"/>
  <c r="Q61" i="1002"/>
  <c r="J61" i="1002"/>
  <c r="I61" i="1002"/>
  <c r="T61" i="1002" s="1"/>
  <c r="S60" i="1002"/>
  <c r="R60" i="1002"/>
  <c r="Q60" i="1002"/>
  <c r="J60" i="1002"/>
  <c r="I60" i="1002"/>
  <c r="T60" i="1002" s="1"/>
  <c r="S59" i="1002"/>
  <c r="R59" i="1002"/>
  <c r="Q59" i="1002"/>
  <c r="J59" i="1002"/>
  <c r="I59" i="1002"/>
  <c r="T59" i="1002" s="1"/>
  <c r="S58" i="1002"/>
  <c r="R58" i="1002"/>
  <c r="Q58" i="1002"/>
  <c r="J58" i="1002"/>
  <c r="I58" i="1002"/>
  <c r="T58" i="1002" s="1"/>
  <c r="S57" i="1002"/>
  <c r="R57" i="1002"/>
  <c r="Q57" i="1002"/>
  <c r="J57" i="1002"/>
  <c r="I57" i="1002"/>
  <c r="T57" i="1002" s="1"/>
  <c r="S56" i="1002"/>
  <c r="R56" i="1002"/>
  <c r="Q56" i="1002"/>
  <c r="J56" i="1002"/>
  <c r="I56" i="1002"/>
  <c r="T56" i="1002" s="1"/>
  <c r="S55" i="1002"/>
  <c r="R55" i="1002"/>
  <c r="Q55" i="1002"/>
  <c r="J55" i="1002"/>
  <c r="I55" i="1002"/>
  <c r="T55" i="1002" s="1"/>
  <c r="S54" i="1002"/>
  <c r="R54" i="1002"/>
  <c r="Q54" i="1002"/>
  <c r="J54" i="1002"/>
  <c r="I54" i="1002"/>
  <c r="T54" i="1002" s="1"/>
  <c r="S53" i="1002"/>
  <c r="R53" i="1002"/>
  <c r="Q53" i="1002"/>
  <c r="J53" i="1002"/>
  <c r="I53" i="1002"/>
  <c r="T53" i="1002" s="1"/>
  <c r="S52" i="1002"/>
  <c r="R52" i="1002"/>
  <c r="Q52" i="1002"/>
  <c r="J52" i="1002"/>
  <c r="I52" i="1002"/>
  <c r="T52" i="1002" s="1"/>
  <c r="S51" i="1002"/>
  <c r="R51" i="1002"/>
  <c r="Q51" i="1002"/>
  <c r="J51" i="1002"/>
  <c r="I51" i="1002"/>
  <c r="T51" i="1002" s="1"/>
  <c r="S50" i="1002"/>
  <c r="R50" i="1002"/>
  <c r="Q50" i="1002"/>
  <c r="J50" i="1002"/>
  <c r="I50" i="1002"/>
  <c r="T50" i="1002" s="1"/>
  <c r="S49" i="1002"/>
  <c r="R49" i="1002"/>
  <c r="Q49" i="1002"/>
  <c r="J49" i="1002"/>
  <c r="I49" i="1002"/>
  <c r="T49" i="1002" s="1"/>
  <c r="S48" i="1002"/>
  <c r="R48" i="1002"/>
  <c r="Q48" i="1002"/>
  <c r="J48" i="1002"/>
  <c r="I48" i="1002"/>
  <c r="T48" i="1002" s="1"/>
  <c r="S47" i="1002"/>
  <c r="R47" i="1002"/>
  <c r="Q47" i="1002"/>
  <c r="J47" i="1002"/>
  <c r="I47" i="1002"/>
  <c r="T47" i="1002" s="1"/>
  <c r="S46" i="1002"/>
  <c r="R46" i="1002"/>
  <c r="Q46" i="1002"/>
  <c r="J46" i="1002"/>
  <c r="I46" i="1002"/>
  <c r="T46" i="1002" s="1"/>
  <c r="S45" i="1002"/>
  <c r="R45" i="1002"/>
  <c r="Q45" i="1002"/>
  <c r="J45" i="1002"/>
  <c r="I45" i="1002"/>
  <c r="T45" i="1002" s="1"/>
  <c r="S44" i="1002"/>
  <c r="R44" i="1002"/>
  <c r="Q44" i="1002"/>
  <c r="J44" i="1002"/>
  <c r="I44" i="1002"/>
  <c r="T44" i="1002" s="1"/>
  <c r="S43" i="1002"/>
  <c r="R43" i="1002"/>
  <c r="Q43" i="1002"/>
  <c r="J43" i="1002"/>
  <c r="I43" i="1002"/>
  <c r="T43" i="1002" s="1"/>
  <c r="S42" i="1002"/>
  <c r="R42" i="1002"/>
  <c r="Q42" i="1002"/>
  <c r="J42" i="1002"/>
  <c r="I42" i="1002"/>
  <c r="T42" i="1002" s="1"/>
  <c r="S41" i="1002"/>
  <c r="R41" i="1002"/>
  <c r="Q41" i="1002"/>
  <c r="J41" i="1002"/>
  <c r="I41" i="1002"/>
  <c r="T41" i="1002" s="1"/>
  <c r="S40" i="1002"/>
  <c r="R40" i="1002"/>
  <c r="Q40" i="1002"/>
  <c r="J40" i="1002"/>
  <c r="I40" i="1002"/>
  <c r="T40" i="1002" s="1"/>
  <c r="S39" i="1002"/>
  <c r="R39" i="1002"/>
  <c r="Q39" i="1002"/>
  <c r="J39" i="1002"/>
  <c r="I39" i="1002"/>
  <c r="T39" i="1002" s="1"/>
  <c r="S38" i="1002"/>
  <c r="R38" i="1002"/>
  <c r="Q38" i="1002"/>
  <c r="J38" i="1002"/>
  <c r="I38" i="1002"/>
  <c r="T38" i="1002" s="1"/>
  <c r="S37" i="1002"/>
  <c r="R37" i="1002"/>
  <c r="Q37" i="1002"/>
  <c r="J37" i="1002"/>
  <c r="I37" i="1002"/>
  <c r="T37" i="1002" s="1"/>
  <c r="S36" i="1002"/>
  <c r="R36" i="1002"/>
  <c r="Q36" i="1002"/>
  <c r="J36" i="1002"/>
  <c r="I36" i="1002"/>
  <c r="T36" i="1002" s="1"/>
  <c r="S35" i="1002"/>
  <c r="R35" i="1002"/>
  <c r="Q35" i="1002"/>
  <c r="J35" i="1002"/>
  <c r="I35" i="1002"/>
  <c r="T35" i="1002" s="1"/>
  <c r="S34" i="1002"/>
  <c r="R34" i="1002"/>
  <c r="Q34" i="1002"/>
  <c r="J34" i="1002"/>
  <c r="I34" i="1002"/>
  <c r="T34" i="1002" s="1"/>
  <c r="S33" i="1002"/>
  <c r="R33" i="1002"/>
  <c r="Q33" i="1002"/>
  <c r="J33" i="1002"/>
  <c r="I33" i="1002"/>
  <c r="T33" i="1002" s="1"/>
  <c r="S32" i="1002"/>
  <c r="R32" i="1002"/>
  <c r="Q32" i="1002"/>
  <c r="J32" i="1002"/>
  <c r="I32" i="1002"/>
  <c r="T32" i="1002" s="1"/>
  <c r="S31" i="1002"/>
  <c r="R31" i="1002"/>
  <c r="Q31" i="1002"/>
  <c r="J31" i="1002"/>
  <c r="I31" i="1002"/>
  <c r="T31" i="1002" s="1"/>
  <c r="S30" i="1002"/>
  <c r="R30" i="1002"/>
  <c r="Q30" i="1002"/>
  <c r="J30" i="1002"/>
  <c r="I30" i="1002"/>
  <c r="T30" i="1002" s="1"/>
  <c r="S29" i="1002"/>
  <c r="R29" i="1002"/>
  <c r="Q29" i="1002"/>
  <c r="J29" i="1002"/>
  <c r="I29" i="1002"/>
  <c r="T29" i="1002" s="1"/>
  <c r="S28" i="1002"/>
  <c r="R28" i="1002"/>
  <c r="Q28" i="1002"/>
  <c r="J28" i="1002"/>
  <c r="I28" i="1002"/>
  <c r="T28" i="1002" s="1"/>
  <c r="S27" i="1002"/>
  <c r="R27" i="1002"/>
  <c r="Q27" i="1002"/>
  <c r="J27" i="1002"/>
  <c r="I27" i="1002"/>
  <c r="T27" i="1002" s="1"/>
  <c r="S26" i="1002"/>
  <c r="R26" i="1002"/>
  <c r="Q26" i="1002"/>
  <c r="J26" i="1002"/>
  <c r="I26" i="1002"/>
  <c r="T26" i="1002" s="1"/>
  <c r="S25" i="1002"/>
  <c r="R25" i="1002"/>
  <c r="Q25" i="1002"/>
  <c r="J25" i="1002"/>
  <c r="I25" i="1002"/>
  <c r="T25" i="1002" s="1"/>
  <c r="S24" i="1002"/>
  <c r="R24" i="1002"/>
  <c r="Q24" i="1002"/>
  <c r="J24" i="1002"/>
  <c r="I24" i="1002"/>
  <c r="T24" i="1002" s="1"/>
  <c r="S23" i="1002"/>
  <c r="R23" i="1002"/>
  <c r="Q23" i="1002"/>
  <c r="J23" i="1002"/>
  <c r="I23" i="1002"/>
  <c r="T23" i="1002" s="1"/>
  <c r="S22" i="1002"/>
  <c r="R22" i="1002"/>
  <c r="Q22" i="1002"/>
  <c r="J22" i="1002"/>
  <c r="I22" i="1002"/>
  <c r="T22" i="1002" s="1"/>
  <c r="S21" i="1002"/>
  <c r="R21" i="1002"/>
  <c r="Q21" i="1002"/>
  <c r="J21" i="1002"/>
  <c r="I21" i="1002"/>
  <c r="S20" i="1002"/>
  <c r="R20" i="1002"/>
  <c r="Q20" i="1002"/>
  <c r="J20" i="1002"/>
  <c r="I20" i="1002"/>
  <c r="S19" i="1002"/>
  <c r="R19" i="1002"/>
  <c r="Q19" i="1002"/>
  <c r="J19" i="1002"/>
  <c r="I19" i="1002"/>
  <c r="T19" i="1002" s="1"/>
  <c r="S18" i="1002"/>
  <c r="R18" i="1002"/>
  <c r="Q18" i="1002"/>
  <c r="J18" i="1002"/>
  <c r="I18" i="1002"/>
  <c r="S17" i="1002"/>
  <c r="R17" i="1002"/>
  <c r="Q17" i="1002"/>
  <c r="J17" i="1002"/>
  <c r="I17" i="1002"/>
  <c r="T17" i="1002" s="1"/>
  <c r="S16" i="1002"/>
  <c r="R16" i="1002"/>
  <c r="Q16" i="1002"/>
  <c r="J16" i="1002"/>
  <c r="I16" i="1002"/>
  <c r="S15" i="1002"/>
  <c r="R15" i="1002"/>
  <c r="Q15" i="1002"/>
  <c r="J15" i="1002"/>
  <c r="I15" i="1002"/>
  <c r="T15" i="1002" s="1"/>
  <c r="S14" i="1002"/>
  <c r="R14" i="1002"/>
  <c r="Q14" i="1002"/>
  <c r="J14" i="1002"/>
  <c r="I14" i="1002"/>
  <c r="S13" i="1002"/>
  <c r="R13" i="1002"/>
  <c r="Q13" i="1002"/>
  <c r="J13" i="1002"/>
  <c r="I13" i="1002"/>
  <c r="S12" i="1002"/>
  <c r="R12" i="1002"/>
  <c r="Q12" i="1002"/>
  <c r="J12" i="1002"/>
  <c r="I12" i="1002"/>
  <c r="S11" i="1002"/>
  <c r="R11" i="1002"/>
  <c r="Q11" i="1002"/>
  <c r="J11" i="1002"/>
  <c r="I11" i="1002"/>
  <c r="T11" i="1002" s="1"/>
  <c r="S10" i="1002"/>
  <c r="R10" i="1002"/>
  <c r="Q10" i="1002"/>
  <c r="J10" i="1002"/>
  <c r="I10" i="1002"/>
  <c r="S9" i="1002"/>
  <c r="R9" i="1002"/>
  <c r="Q9" i="1002"/>
  <c r="J9" i="1002"/>
  <c r="I9" i="1002"/>
  <c r="S8" i="1002"/>
  <c r="R8" i="1002"/>
  <c r="Q8" i="1002"/>
  <c r="J8" i="1002"/>
  <c r="I8" i="1002"/>
  <c r="T8" i="1002" s="1"/>
  <c r="S7" i="1002"/>
  <c r="R7" i="1002"/>
  <c r="Q7" i="1002"/>
  <c r="J7" i="1002"/>
  <c r="I7" i="1002"/>
  <c r="S97" i="1001"/>
  <c r="R97" i="1001"/>
  <c r="Q97" i="1001"/>
  <c r="J97" i="1001"/>
  <c r="I97" i="1001"/>
  <c r="T97" i="1001" s="1"/>
  <c r="S96" i="1001"/>
  <c r="R96" i="1001"/>
  <c r="Q96" i="1001"/>
  <c r="J96" i="1001"/>
  <c r="I96" i="1001"/>
  <c r="T96" i="1001" s="1"/>
  <c r="S95" i="1001"/>
  <c r="R95" i="1001"/>
  <c r="Q95" i="1001"/>
  <c r="J95" i="1001"/>
  <c r="I95" i="1001"/>
  <c r="T95" i="1001" s="1"/>
  <c r="S94" i="1001"/>
  <c r="R94" i="1001"/>
  <c r="Q94" i="1001"/>
  <c r="J94" i="1001"/>
  <c r="I94" i="1001"/>
  <c r="T94" i="1001" s="1"/>
  <c r="S93" i="1001"/>
  <c r="R93" i="1001"/>
  <c r="Q93" i="1001"/>
  <c r="J93" i="1001"/>
  <c r="I93" i="1001"/>
  <c r="T93" i="1001" s="1"/>
  <c r="S92" i="1001"/>
  <c r="R92" i="1001"/>
  <c r="Q92" i="1001"/>
  <c r="J92" i="1001"/>
  <c r="I92" i="1001"/>
  <c r="S91" i="1001"/>
  <c r="R91" i="1001"/>
  <c r="Q91" i="1001"/>
  <c r="J91" i="1001"/>
  <c r="I91" i="1001"/>
  <c r="T91" i="1001" s="1"/>
  <c r="S90" i="1001"/>
  <c r="R90" i="1001"/>
  <c r="Q90" i="1001"/>
  <c r="J90" i="1001"/>
  <c r="I90" i="1001"/>
  <c r="S89" i="1001"/>
  <c r="R89" i="1001"/>
  <c r="Q89" i="1001"/>
  <c r="J89" i="1001"/>
  <c r="I89" i="1001"/>
  <c r="T89" i="1001" s="1"/>
  <c r="S88" i="1001"/>
  <c r="R88" i="1001"/>
  <c r="Q88" i="1001"/>
  <c r="J88" i="1001"/>
  <c r="I88" i="1001"/>
  <c r="T88" i="1001" s="1"/>
  <c r="S87" i="1001"/>
  <c r="R87" i="1001"/>
  <c r="Q87" i="1001"/>
  <c r="J87" i="1001"/>
  <c r="I87" i="1001"/>
  <c r="T87" i="1001" s="1"/>
  <c r="S86" i="1001"/>
  <c r="R86" i="1001"/>
  <c r="Q86" i="1001"/>
  <c r="J86" i="1001"/>
  <c r="I86" i="1001"/>
  <c r="T86" i="1001" s="1"/>
  <c r="S85" i="1001"/>
  <c r="R85" i="1001"/>
  <c r="Q85" i="1001"/>
  <c r="J85" i="1001"/>
  <c r="I85" i="1001"/>
  <c r="T85" i="1001" s="1"/>
  <c r="S84" i="1001"/>
  <c r="R84" i="1001"/>
  <c r="Q84" i="1001"/>
  <c r="J84" i="1001"/>
  <c r="I84" i="1001"/>
  <c r="S83" i="1001"/>
  <c r="R83" i="1001"/>
  <c r="Q83" i="1001"/>
  <c r="J83" i="1001"/>
  <c r="I83" i="1001"/>
  <c r="T83" i="1001" s="1"/>
  <c r="S82" i="1001"/>
  <c r="R82" i="1001"/>
  <c r="Q82" i="1001"/>
  <c r="J82" i="1001"/>
  <c r="I82" i="1001"/>
  <c r="S81" i="1001"/>
  <c r="R81" i="1001"/>
  <c r="Q81" i="1001"/>
  <c r="J81" i="1001"/>
  <c r="I81" i="1001"/>
  <c r="T81" i="1001" s="1"/>
  <c r="S80" i="1001"/>
  <c r="R80" i="1001"/>
  <c r="Q80" i="1001"/>
  <c r="J80" i="1001"/>
  <c r="I80" i="1001"/>
  <c r="T80" i="1001" s="1"/>
  <c r="S79" i="1001"/>
  <c r="R79" i="1001"/>
  <c r="Q79" i="1001"/>
  <c r="J79" i="1001"/>
  <c r="I79" i="1001"/>
  <c r="T79" i="1001" s="1"/>
  <c r="S78" i="1001"/>
  <c r="R78" i="1001"/>
  <c r="Q78" i="1001"/>
  <c r="J78" i="1001"/>
  <c r="I78" i="1001"/>
  <c r="T78" i="1001" s="1"/>
  <c r="S77" i="1001"/>
  <c r="R77" i="1001"/>
  <c r="Q77" i="1001"/>
  <c r="J77" i="1001"/>
  <c r="I77" i="1001"/>
  <c r="T77" i="1001" s="1"/>
  <c r="S76" i="1001"/>
  <c r="R76" i="1001"/>
  <c r="Q76" i="1001"/>
  <c r="J76" i="1001"/>
  <c r="I76" i="1001"/>
  <c r="T76" i="1001" s="1"/>
  <c r="S75" i="1001"/>
  <c r="R75" i="1001"/>
  <c r="Q75" i="1001"/>
  <c r="J75" i="1001"/>
  <c r="I75" i="1001"/>
  <c r="T75" i="1001" s="1"/>
  <c r="S74" i="1001"/>
  <c r="R74" i="1001"/>
  <c r="Q74" i="1001"/>
  <c r="J74" i="1001"/>
  <c r="I74" i="1001"/>
  <c r="T74" i="1001" s="1"/>
  <c r="S73" i="1001"/>
  <c r="R73" i="1001"/>
  <c r="Q73" i="1001"/>
  <c r="J73" i="1001"/>
  <c r="I73" i="1001"/>
  <c r="S72" i="1001"/>
  <c r="R72" i="1001"/>
  <c r="Q72" i="1001"/>
  <c r="J72" i="1001"/>
  <c r="I72" i="1001"/>
  <c r="T72" i="1001" s="1"/>
  <c r="S71" i="1001"/>
  <c r="R71" i="1001"/>
  <c r="Q71" i="1001"/>
  <c r="J71" i="1001"/>
  <c r="I71" i="1001"/>
  <c r="T71" i="1001" s="1"/>
  <c r="S70" i="1001"/>
  <c r="R70" i="1001"/>
  <c r="Q70" i="1001"/>
  <c r="J70" i="1001"/>
  <c r="I70" i="1001"/>
  <c r="T70" i="1001" s="1"/>
  <c r="S69" i="1001"/>
  <c r="R69" i="1001"/>
  <c r="Q69" i="1001"/>
  <c r="J69" i="1001"/>
  <c r="I69" i="1001"/>
  <c r="S68" i="1001"/>
  <c r="R68" i="1001"/>
  <c r="Q68" i="1001"/>
  <c r="J68" i="1001"/>
  <c r="I68" i="1001"/>
  <c r="T68" i="1001" s="1"/>
  <c r="S67" i="1001"/>
  <c r="R67" i="1001"/>
  <c r="Q67" i="1001"/>
  <c r="J67" i="1001"/>
  <c r="I67" i="1001"/>
  <c r="S66" i="1001"/>
  <c r="R66" i="1001"/>
  <c r="Q66" i="1001"/>
  <c r="J66" i="1001"/>
  <c r="I66" i="1001"/>
  <c r="T66" i="1001" s="1"/>
  <c r="S65" i="1001"/>
  <c r="R65" i="1001"/>
  <c r="Q65" i="1001"/>
  <c r="J65" i="1001"/>
  <c r="I65" i="1001"/>
  <c r="T65" i="1001" s="1"/>
  <c r="S64" i="1001"/>
  <c r="R64" i="1001"/>
  <c r="Q64" i="1001"/>
  <c r="J64" i="1001"/>
  <c r="I64" i="1001"/>
  <c r="T64" i="1001" s="1"/>
  <c r="S63" i="1001"/>
  <c r="R63" i="1001"/>
  <c r="Q63" i="1001"/>
  <c r="J63" i="1001"/>
  <c r="I63" i="1001"/>
  <c r="S62" i="1001"/>
  <c r="R62" i="1001"/>
  <c r="Q62" i="1001"/>
  <c r="J62" i="1001"/>
  <c r="I62" i="1001"/>
  <c r="T62" i="1001" s="1"/>
  <c r="S61" i="1001"/>
  <c r="R61" i="1001"/>
  <c r="Q61" i="1001"/>
  <c r="J61" i="1001"/>
  <c r="I61" i="1001"/>
  <c r="S60" i="1001"/>
  <c r="R60" i="1001"/>
  <c r="Q60" i="1001"/>
  <c r="J60" i="1001"/>
  <c r="I60" i="1001"/>
  <c r="T60" i="1001" s="1"/>
  <c r="S59" i="1001"/>
  <c r="R59" i="1001"/>
  <c r="Q59" i="1001"/>
  <c r="J59" i="1001"/>
  <c r="I59" i="1001"/>
  <c r="S58" i="1001"/>
  <c r="R58" i="1001"/>
  <c r="Q58" i="1001"/>
  <c r="J58" i="1001"/>
  <c r="I58" i="1001"/>
  <c r="T58" i="1001" s="1"/>
  <c r="S57" i="1001"/>
  <c r="R57" i="1001"/>
  <c r="Q57" i="1001"/>
  <c r="J57" i="1001"/>
  <c r="I57" i="1001"/>
  <c r="S56" i="1001"/>
  <c r="R56" i="1001"/>
  <c r="Q56" i="1001"/>
  <c r="J56" i="1001"/>
  <c r="I56" i="1001"/>
  <c r="T56" i="1001" s="1"/>
  <c r="S55" i="1001"/>
  <c r="R55" i="1001"/>
  <c r="Q55" i="1001"/>
  <c r="J55" i="1001"/>
  <c r="I55" i="1001"/>
  <c r="T55" i="1001" s="1"/>
  <c r="S54" i="1001"/>
  <c r="R54" i="1001"/>
  <c r="Q54" i="1001"/>
  <c r="J54" i="1001"/>
  <c r="I54" i="1001"/>
  <c r="T54" i="1001" s="1"/>
  <c r="S53" i="1001"/>
  <c r="R53" i="1001"/>
  <c r="Q53" i="1001"/>
  <c r="J53" i="1001"/>
  <c r="I53" i="1001"/>
  <c r="T53" i="1001" s="1"/>
  <c r="S52" i="1001"/>
  <c r="R52" i="1001"/>
  <c r="Q52" i="1001"/>
  <c r="J52" i="1001"/>
  <c r="I52" i="1001"/>
  <c r="S51" i="1001"/>
  <c r="R51" i="1001"/>
  <c r="Q51" i="1001"/>
  <c r="J51" i="1001"/>
  <c r="I51" i="1001"/>
  <c r="T51" i="1001" s="1"/>
  <c r="S50" i="1001"/>
  <c r="R50" i="1001"/>
  <c r="Q50" i="1001"/>
  <c r="J50" i="1001"/>
  <c r="I50" i="1001"/>
  <c r="T50" i="1001" s="1"/>
  <c r="S49" i="1001"/>
  <c r="R49" i="1001"/>
  <c r="Q49" i="1001"/>
  <c r="J49" i="1001"/>
  <c r="I49" i="1001"/>
  <c r="S48" i="1001"/>
  <c r="R48" i="1001"/>
  <c r="Q48" i="1001"/>
  <c r="J48" i="1001"/>
  <c r="I48" i="1001"/>
  <c r="S47" i="1001"/>
  <c r="R47" i="1001"/>
  <c r="Q47" i="1001"/>
  <c r="J47" i="1001"/>
  <c r="I47" i="1001"/>
  <c r="S46" i="1001"/>
  <c r="R46" i="1001"/>
  <c r="Q46" i="1001"/>
  <c r="J46" i="1001"/>
  <c r="I46" i="1001"/>
  <c r="S45" i="1001"/>
  <c r="R45" i="1001"/>
  <c r="Q45" i="1001"/>
  <c r="J45" i="1001"/>
  <c r="I45" i="1001"/>
  <c r="T45" i="1001" s="1"/>
  <c r="S44" i="1001"/>
  <c r="R44" i="1001"/>
  <c r="Q44" i="1001"/>
  <c r="J44" i="1001"/>
  <c r="I44" i="1001"/>
  <c r="S43" i="1001"/>
  <c r="R43" i="1001"/>
  <c r="Q43" i="1001"/>
  <c r="J43" i="1001"/>
  <c r="I43" i="1001"/>
  <c r="S42" i="1001"/>
  <c r="R42" i="1001"/>
  <c r="Q42" i="1001"/>
  <c r="J42" i="1001"/>
  <c r="I42" i="1001"/>
  <c r="S41" i="1001"/>
  <c r="R41" i="1001"/>
  <c r="Q41" i="1001"/>
  <c r="J41" i="1001"/>
  <c r="I41" i="1001"/>
  <c r="T41" i="1001" s="1"/>
  <c r="S40" i="1001"/>
  <c r="R40" i="1001"/>
  <c r="Q40" i="1001"/>
  <c r="J40" i="1001"/>
  <c r="I40" i="1001"/>
  <c r="T40" i="1001" s="1"/>
  <c r="S39" i="1001"/>
  <c r="R39" i="1001"/>
  <c r="Q39" i="1001"/>
  <c r="J39" i="1001"/>
  <c r="I39" i="1001"/>
  <c r="S38" i="1001"/>
  <c r="R38" i="1001"/>
  <c r="Q38" i="1001"/>
  <c r="J38" i="1001"/>
  <c r="I38" i="1001"/>
  <c r="T38" i="1001" s="1"/>
  <c r="S37" i="1001"/>
  <c r="R37" i="1001"/>
  <c r="Q37" i="1001"/>
  <c r="J37" i="1001"/>
  <c r="I37" i="1001"/>
  <c r="T37" i="1001" s="1"/>
  <c r="S36" i="1001"/>
  <c r="R36" i="1001"/>
  <c r="Q36" i="1001"/>
  <c r="J36" i="1001"/>
  <c r="I36" i="1001"/>
  <c r="T36" i="1001" s="1"/>
  <c r="S35" i="1001"/>
  <c r="R35" i="1001"/>
  <c r="Q35" i="1001"/>
  <c r="J35" i="1001"/>
  <c r="I35" i="1001"/>
  <c r="S34" i="1001"/>
  <c r="R34" i="1001"/>
  <c r="Q34" i="1001"/>
  <c r="J34" i="1001"/>
  <c r="I34" i="1001"/>
  <c r="T34" i="1001" s="1"/>
  <c r="S33" i="1001"/>
  <c r="R33" i="1001"/>
  <c r="Q33" i="1001"/>
  <c r="J33" i="1001"/>
  <c r="I33" i="1001"/>
  <c r="T33" i="1001" s="1"/>
  <c r="S32" i="1001"/>
  <c r="R32" i="1001"/>
  <c r="Q32" i="1001"/>
  <c r="J32" i="1001"/>
  <c r="I32" i="1001"/>
  <c r="S31" i="1001"/>
  <c r="R31" i="1001"/>
  <c r="Q31" i="1001"/>
  <c r="J31" i="1001"/>
  <c r="I31" i="1001"/>
  <c r="T31" i="1001" s="1"/>
  <c r="S30" i="1001"/>
  <c r="R30" i="1001"/>
  <c r="Q30" i="1001"/>
  <c r="J30" i="1001"/>
  <c r="I30" i="1001"/>
  <c r="T30" i="1001" s="1"/>
  <c r="S29" i="1001"/>
  <c r="R29" i="1001"/>
  <c r="Q29" i="1001"/>
  <c r="J29" i="1001"/>
  <c r="I29" i="1001"/>
  <c r="T29" i="1001" s="1"/>
  <c r="S28" i="1001"/>
  <c r="R28" i="1001"/>
  <c r="Q28" i="1001"/>
  <c r="J28" i="1001"/>
  <c r="I28" i="1001"/>
  <c r="T28" i="1001" s="1"/>
  <c r="S27" i="1001"/>
  <c r="R27" i="1001"/>
  <c r="Q27" i="1001"/>
  <c r="J27" i="1001"/>
  <c r="I27" i="1001"/>
  <c r="T27" i="1001" s="1"/>
  <c r="S26" i="1001"/>
  <c r="R26" i="1001"/>
  <c r="Q26" i="1001"/>
  <c r="J26" i="1001"/>
  <c r="I26" i="1001"/>
  <c r="T26" i="1001" s="1"/>
  <c r="S25" i="1001"/>
  <c r="R25" i="1001"/>
  <c r="Q25" i="1001"/>
  <c r="J25" i="1001"/>
  <c r="I25" i="1001"/>
  <c r="T25" i="1001" s="1"/>
  <c r="S24" i="1001"/>
  <c r="R24" i="1001"/>
  <c r="Q24" i="1001"/>
  <c r="J24" i="1001"/>
  <c r="I24" i="1001"/>
  <c r="T24" i="1001" s="1"/>
  <c r="S23" i="1001"/>
  <c r="R23" i="1001"/>
  <c r="Q23" i="1001"/>
  <c r="J23" i="1001"/>
  <c r="I23" i="1001"/>
  <c r="S22" i="1001"/>
  <c r="R22" i="1001"/>
  <c r="Q22" i="1001"/>
  <c r="J22" i="1001"/>
  <c r="I22" i="1001"/>
  <c r="T22" i="1001" s="1"/>
  <c r="S21" i="1001"/>
  <c r="R21" i="1001"/>
  <c r="Q21" i="1001"/>
  <c r="J21" i="1001"/>
  <c r="I21" i="1001"/>
  <c r="S20" i="1001"/>
  <c r="R20" i="1001"/>
  <c r="Q20" i="1001"/>
  <c r="J20" i="1001"/>
  <c r="I20" i="1001"/>
  <c r="T20" i="1001" s="1"/>
  <c r="S19" i="1001"/>
  <c r="R19" i="1001"/>
  <c r="Q19" i="1001"/>
  <c r="J19" i="1001"/>
  <c r="I19" i="1001"/>
  <c r="T19" i="1001" s="1"/>
  <c r="S18" i="1001"/>
  <c r="R18" i="1001"/>
  <c r="Q18" i="1001"/>
  <c r="J18" i="1001"/>
  <c r="I18" i="1001"/>
  <c r="S17" i="1001"/>
  <c r="R17" i="1001"/>
  <c r="Q17" i="1001"/>
  <c r="J17" i="1001"/>
  <c r="I17" i="1001"/>
  <c r="T17" i="1001" s="1"/>
  <c r="S16" i="1001"/>
  <c r="R16" i="1001"/>
  <c r="Q16" i="1001"/>
  <c r="J16" i="1001"/>
  <c r="I16" i="1001"/>
  <c r="S15" i="1001"/>
  <c r="R15" i="1001"/>
  <c r="Q15" i="1001"/>
  <c r="J15" i="1001"/>
  <c r="I15" i="1001"/>
  <c r="T15" i="1001" s="1"/>
  <c r="S14" i="1001"/>
  <c r="R14" i="1001"/>
  <c r="Q14" i="1001"/>
  <c r="J14" i="1001"/>
  <c r="I14" i="1001"/>
  <c r="S13" i="1001"/>
  <c r="R13" i="1001"/>
  <c r="Q13" i="1001"/>
  <c r="J13" i="1001"/>
  <c r="I13" i="1001"/>
  <c r="S12" i="1001"/>
  <c r="R12" i="1001"/>
  <c r="Q12" i="1001"/>
  <c r="J12" i="1001"/>
  <c r="I12" i="1001"/>
  <c r="T12" i="1001" s="1"/>
  <c r="S11" i="1001"/>
  <c r="R11" i="1001"/>
  <c r="Q11" i="1001"/>
  <c r="J11" i="1001"/>
  <c r="I11" i="1001"/>
  <c r="T11" i="1001" s="1"/>
  <c r="S10" i="1001"/>
  <c r="R10" i="1001"/>
  <c r="Q10" i="1001"/>
  <c r="J10" i="1001"/>
  <c r="I10" i="1001"/>
  <c r="T10" i="1001" s="1"/>
  <c r="S9" i="1001"/>
  <c r="R9" i="1001"/>
  <c r="Q9" i="1001"/>
  <c r="J9" i="1001"/>
  <c r="I9" i="1001"/>
  <c r="S8" i="1001"/>
  <c r="R8" i="1001"/>
  <c r="Q8" i="1001"/>
  <c r="J8" i="1001"/>
  <c r="I8" i="1001"/>
  <c r="T8" i="1001" s="1"/>
  <c r="S7" i="1001"/>
  <c r="R7" i="1001"/>
  <c r="Q7" i="1001"/>
  <c r="J7" i="1001"/>
  <c r="I7" i="1001"/>
  <c r="T7" i="1001" s="1"/>
  <c r="S55" i="1000"/>
  <c r="R55" i="1000"/>
  <c r="Q55" i="1000"/>
  <c r="J55" i="1000"/>
  <c r="I55" i="1000"/>
  <c r="S54" i="1000"/>
  <c r="R54" i="1000"/>
  <c r="Q54" i="1000"/>
  <c r="J54" i="1000"/>
  <c r="I54" i="1000"/>
  <c r="S53" i="1000"/>
  <c r="R53" i="1000"/>
  <c r="Q53" i="1000"/>
  <c r="J53" i="1000"/>
  <c r="I53" i="1000"/>
  <c r="T53" i="1000" s="1"/>
  <c r="S52" i="1000"/>
  <c r="R52" i="1000"/>
  <c r="Q52" i="1000"/>
  <c r="J52" i="1000"/>
  <c r="I52" i="1000"/>
  <c r="S51" i="1000"/>
  <c r="R51" i="1000"/>
  <c r="Q51" i="1000"/>
  <c r="J51" i="1000"/>
  <c r="I51" i="1000"/>
  <c r="T51" i="1000" s="1"/>
  <c r="S50" i="1000"/>
  <c r="R50" i="1000"/>
  <c r="Q50" i="1000"/>
  <c r="J50" i="1000"/>
  <c r="I50" i="1000"/>
  <c r="T50" i="1000" s="1"/>
  <c r="S49" i="1000"/>
  <c r="R49" i="1000"/>
  <c r="Q49" i="1000"/>
  <c r="J49" i="1000"/>
  <c r="I49" i="1000"/>
  <c r="T49" i="1000" s="1"/>
  <c r="S48" i="1000"/>
  <c r="R48" i="1000"/>
  <c r="Q48" i="1000"/>
  <c r="J48" i="1000"/>
  <c r="I48" i="1000"/>
  <c r="T48" i="1000" s="1"/>
  <c r="S47" i="1000"/>
  <c r="R47" i="1000"/>
  <c r="Q47" i="1000"/>
  <c r="J47" i="1000"/>
  <c r="I47" i="1000"/>
  <c r="T47" i="1000" s="1"/>
  <c r="S46" i="1000"/>
  <c r="R46" i="1000"/>
  <c r="Q46" i="1000"/>
  <c r="J46" i="1000"/>
  <c r="I46" i="1000"/>
  <c r="T46" i="1000" s="1"/>
  <c r="S45" i="1000"/>
  <c r="R45" i="1000"/>
  <c r="Q45" i="1000"/>
  <c r="J45" i="1000"/>
  <c r="I45" i="1000"/>
  <c r="T45" i="1000" s="1"/>
  <c r="S44" i="1000"/>
  <c r="R44" i="1000"/>
  <c r="Q44" i="1000"/>
  <c r="J44" i="1000"/>
  <c r="I44" i="1000"/>
  <c r="T44" i="1000" s="1"/>
  <c r="S43" i="1000"/>
  <c r="R43" i="1000"/>
  <c r="Q43" i="1000"/>
  <c r="J43" i="1000"/>
  <c r="I43" i="1000"/>
  <c r="S42" i="1000"/>
  <c r="R42" i="1000"/>
  <c r="Q42" i="1000"/>
  <c r="J42" i="1000"/>
  <c r="I42" i="1000"/>
  <c r="T42" i="1000" s="1"/>
  <c r="S41" i="1000"/>
  <c r="R41" i="1000"/>
  <c r="Q41" i="1000"/>
  <c r="J41" i="1000"/>
  <c r="I41" i="1000"/>
  <c r="S40" i="1000"/>
  <c r="R40" i="1000"/>
  <c r="Q40" i="1000"/>
  <c r="J40" i="1000"/>
  <c r="I40" i="1000"/>
  <c r="T40" i="1000" s="1"/>
  <c r="S39" i="1000"/>
  <c r="R39" i="1000"/>
  <c r="Q39" i="1000"/>
  <c r="J39" i="1000"/>
  <c r="I39" i="1000"/>
  <c r="S38" i="1000"/>
  <c r="R38" i="1000"/>
  <c r="Q38" i="1000"/>
  <c r="J38" i="1000"/>
  <c r="I38" i="1000"/>
  <c r="S37" i="1000"/>
  <c r="R37" i="1000"/>
  <c r="Q37" i="1000"/>
  <c r="J37" i="1000"/>
  <c r="I37" i="1000"/>
  <c r="S36" i="1000"/>
  <c r="R36" i="1000"/>
  <c r="Q36" i="1000"/>
  <c r="J36" i="1000"/>
  <c r="I36" i="1000"/>
  <c r="T36" i="1000" s="1"/>
  <c r="S35" i="1000"/>
  <c r="R35" i="1000"/>
  <c r="Q35" i="1000"/>
  <c r="J35" i="1000"/>
  <c r="I35" i="1000"/>
  <c r="S34" i="1000"/>
  <c r="R34" i="1000"/>
  <c r="Q34" i="1000"/>
  <c r="J34" i="1000"/>
  <c r="I34" i="1000"/>
  <c r="T34" i="1000" s="1"/>
  <c r="S33" i="1000"/>
  <c r="R33" i="1000"/>
  <c r="Q33" i="1000"/>
  <c r="J33" i="1000"/>
  <c r="I33" i="1000"/>
  <c r="T33" i="1000" s="1"/>
  <c r="S32" i="1000"/>
  <c r="R32" i="1000"/>
  <c r="Q32" i="1000"/>
  <c r="J32" i="1000"/>
  <c r="I32" i="1000"/>
  <c r="S31" i="1000"/>
  <c r="R31" i="1000"/>
  <c r="Q31" i="1000"/>
  <c r="J31" i="1000"/>
  <c r="I31" i="1000"/>
  <c r="T31" i="1000" s="1"/>
  <c r="S30" i="1000"/>
  <c r="R30" i="1000"/>
  <c r="Q30" i="1000"/>
  <c r="J30" i="1000"/>
  <c r="I30" i="1000"/>
  <c r="T30" i="1000" s="1"/>
  <c r="S29" i="1000"/>
  <c r="R29" i="1000"/>
  <c r="Q29" i="1000"/>
  <c r="J29" i="1000"/>
  <c r="I29" i="1000"/>
  <c r="S28" i="1000"/>
  <c r="R28" i="1000"/>
  <c r="Q28" i="1000"/>
  <c r="J28" i="1000"/>
  <c r="I28" i="1000"/>
  <c r="T28" i="1000" s="1"/>
  <c r="S27" i="1000"/>
  <c r="R27" i="1000"/>
  <c r="Q27" i="1000"/>
  <c r="J27" i="1000"/>
  <c r="I27" i="1000"/>
  <c r="T27" i="1000" s="1"/>
  <c r="S26" i="1000"/>
  <c r="R26" i="1000"/>
  <c r="Q26" i="1000"/>
  <c r="J26" i="1000"/>
  <c r="I26" i="1000"/>
  <c r="S25" i="1000"/>
  <c r="R25" i="1000"/>
  <c r="Q25" i="1000"/>
  <c r="J25" i="1000"/>
  <c r="I25" i="1000"/>
  <c r="T25" i="1000" s="1"/>
  <c r="S24" i="1000"/>
  <c r="R24" i="1000"/>
  <c r="Q24" i="1000"/>
  <c r="J24" i="1000"/>
  <c r="I24" i="1000"/>
  <c r="S23" i="1000"/>
  <c r="R23" i="1000"/>
  <c r="Q23" i="1000"/>
  <c r="J23" i="1000"/>
  <c r="I23" i="1000"/>
  <c r="S22" i="1000"/>
  <c r="R22" i="1000"/>
  <c r="Q22" i="1000"/>
  <c r="J22" i="1000"/>
  <c r="I22" i="1000"/>
  <c r="T22" i="1000" s="1"/>
  <c r="S21" i="1000"/>
  <c r="R21" i="1000"/>
  <c r="Q21" i="1000"/>
  <c r="J21" i="1000"/>
  <c r="I21" i="1000"/>
  <c r="S20" i="1000"/>
  <c r="R20" i="1000"/>
  <c r="Q20" i="1000"/>
  <c r="J20" i="1000"/>
  <c r="I20" i="1000"/>
  <c r="S19" i="1000"/>
  <c r="R19" i="1000"/>
  <c r="Q19" i="1000"/>
  <c r="J19" i="1000"/>
  <c r="I19" i="1000"/>
  <c r="S18" i="1000"/>
  <c r="R18" i="1000"/>
  <c r="Q18" i="1000"/>
  <c r="J18" i="1000"/>
  <c r="I18" i="1000"/>
  <c r="S17" i="1000"/>
  <c r="R17" i="1000"/>
  <c r="Q17" i="1000"/>
  <c r="J17" i="1000"/>
  <c r="I17" i="1000"/>
  <c r="S16" i="1000"/>
  <c r="R16" i="1000"/>
  <c r="Q16" i="1000"/>
  <c r="J16" i="1000"/>
  <c r="I16" i="1000"/>
  <c r="S15" i="1000"/>
  <c r="R15" i="1000"/>
  <c r="Q15" i="1000"/>
  <c r="J15" i="1000"/>
  <c r="I15" i="1000"/>
  <c r="S14" i="1000"/>
  <c r="R14" i="1000"/>
  <c r="Q14" i="1000"/>
  <c r="J14" i="1000"/>
  <c r="I14" i="1000"/>
  <c r="S13" i="1000"/>
  <c r="R13" i="1000"/>
  <c r="Q13" i="1000"/>
  <c r="J13" i="1000"/>
  <c r="I13" i="1000"/>
  <c r="S12" i="1000"/>
  <c r="R12" i="1000"/>
  <c r="Q12" i="1000"/>
  <c r="J12" i="1000"/>
  <c r="I12" i="1000"/>
  <c r="S11" i="1000"/>
  <c r="R11" i="1000"/>
  <c r="Q11" i="1000"/>
  <c r="J11" i="1000"/>
  <c r="I11" i="1000"/>
  <c r="S10" i="1000"/>
  <c r="R10" i="1000"/>
  <c r="Q10" i="1000"/>
  <c r="J10" i="1000"/>
  <c r="I10" i="1000"/>
  <c r="S9" i="1000"/>
  <c r="R9" i="1000"/>
  <c r="Q9" i="1000"/>
  <c r="J9" i="1000"/>
  <c r="I9" i="1000"/>
  <c r="S8" i="1000"/>
  <c r="R8" i="1000"/>
  <c r="Q8" i="1000"/>
  <c r="J8" i="1000"/>
  <c r="I8" i="1000"/>
  <c r="S7" i="1000"/>
  <c r="R7" i="1000"/>
  <c r="Q7" i="1000"/>
  <c r="J7" i="1000"/>
  <c r="I7" i="1000"/>
  <c r="S90" i="999"/>
  <c r="R90" i="999"/>
  <c r="Q90" i="999"/>
  <c r="J90" i="999"/>
  <c r="I90" i="999"/>
  <c r="T90" i="999" s="1"/>
  <c r="S89" i="999"/>
  <c r="R89" i="999"/>
  <c r="Q89" i="999"/>
  <c r="J89" i="999"/>
  <c r="I89" i="999"/>
  <c r="T89" i="999" s="1"/>
  <c r="S88" i="999"/>
  <c r="R88" i="999"/>
  <c r="Q88" i="999"/>
  <c r="J88" i="999"/>
  <c r="I88" i="999"/>
  <c r="T88" i="999" s="1"/>
  <c r="S87" i="999"/>
  <c r="R87" i="999"/>
  <c r="Q87" i="999"/>
  <c r="J87" i="999"/>
  <c r="I87" i="999"/>
  <c r="T87" i="999" s="1"/>
  <c r="S86" i="999"/>
  <c r="R86" i="999"/>
  <c r="Q86" i="999"/>
  <c r="J86" i="999"/>
  <c r="I86" i="999"/>
  <c r="T86" i="999" s="1"/>
  <c r="S85" i="999"/>
  <c r="R85" i="999"/>
  <c r="Q85" i="999"/>
  <c r="J85" i="999"/>
  <c r="I85" i="999"/>
  <c r="T85" i="999" s="1"/>
  <c r="S84" i="999"/>
  <c r="R84" i="999"/>
  <c r="Q84" i="999"/>
  <c r="J84" i="999"/>
  <c r="I84" i="999"/>
  <c r="T84" i="999" s="1"/>
  <c r="S83" i="999"/>
  <c r="R83" i="999"/>
  <c r="Q83" i="999"/>
  <c r="J83" i="999"/>
  <c r="I83" i="999"/>
  <c r="T83" i="999" s="1"/>
  <c r="S82" i="999"/>
  <c r="R82" i="999"/>
  <c r="Q82" i="999"/>
  <c r="J82" i="999"/>
  <c r="I82" i="999"/>
  <c r="T82" i="999" s="1"/>
  <c r="S81" i="999"/>
  <c r="R81" i="999"/>
  <c r="Q81" i="999"/>
  <c r="J81" i="999"/>
  <c r="I81" i="999"/>
  <c r="T81" i="999" s="1"/>
  <c r="S80" i="999"/>
  <c r="R80" i="999"/>
  <c r="Q80" i="999"/>
  <c r="J80" i="999"/>
  <c r="I80" i="999"/>
  <c r="T80" i="999" s="1"/>
  <c r="S79" i="999"/>
  <c r="R79" i="999"/>
  <c r="Q79" i="999"/>
  <c r="J79" i="999"/>
  <c r="I79" i="999"/>
  <c r="T79" i="999" s="1"/>
  <c r="S78" i="999"/>
  <c r="R78" i="999"/>
  <c r="Q78" i="999"/>
  <c r="J78" i="999"/>
  <c r="I78" i="999"/>
  <c r="T78" i="999" s="1"/>
  <c r="S77" i="999"/>
  <c r="R77" i="999"/>
  <c r="Q77" i="999"/>
  <c r="J77" i="999"/>
  <c r="I77" i="999"/>
  <c r="T77" i="999" s="1"/>
  <c r="S76" i="999"/>
  <c r="R76" i="999"/>
  <c r="Q76" i="999"/>
  <c r="J76" i="999"/>
  <c r="I76" i="999"/>
  <c r="T76" i="999" s="1"/>
  <c r="S75" i="999"/>
  <c r="R75" i="999"/>
  <c r="Q75" i="999"/>
  <c r="J75" i="999"/>
  <c r="I75" i="999"/>
  <c r="T75" i="999" s="1"/>
  <c r="S74" i="999"/>
  <c r="R74" i="999"/>
  <c r="Q74" i="999"/>
  <c r="J74" i="999"/>
  <c r="I74" i="999"/>
  <c r="T74" i="999" s="1"/>
  <c r="S73" i="999"/>
  <c r="R73" i="999"/>
  <c r="Q73" i="999"/>
  <c r="J73" i="999"/>
  <c r="I73" i="999"/>
  <c r="T73" i="999" s="1"/>
  <c r="S72" i="999"/>
  <c r="R72" i="999"/>
  <c r="Q72" i="999"/>
  <c r="J72" i="999"/>
  <c r="I72" i="999"/>
  <c r="S71" i="999"/>
  <c r="R71" i="999"/>
  <c r="Q71" i="999"/>
  <c r="J71" i="999"/>
  <c r="I71" i="999"/>
  <c r="T71" i="999" s="1"/>
  <c r="S70" i="999"/>
  <c r="R70" i="999"/>
  <c r="Q70" i="999"/>
  <c r="J70" i="999"/>
  <c r="I70" i="999"/>
  <c r="T70" i="999" s="1"/>
  <c r="S69" i="999"/>
  <c r="R69" i="999"/>
  <c r="Q69" i="999"/>
  <c r="J69" i="999"/>
  <c r="I69" i="999"/>
  <c r="T69" i="999" s="1"/>
  <c r="S68" i="999"/>
  <c r="R68" i="999"/>
  <c r="Q68" i="999"/>
  <c r="J68" i="999"/>
  <c r="I68" i="999"/>
  <c r="T68" i="999" s="1"/>
  <c r="S67" i="999"/>
  <c r="R67" i="999"/>
  <c r="Q67" i="999"/>
  <c r="J67" i="999"/>
  <c r="I67" i="999"/>
  <c r="T67" i="999" s="1"/>
  <c r="S66" i="999"/>
  <c r="R66" i="999"/>
  <c r="Q66" i="999"/>
  <c r="J66" i="999"/>
  <c r="I66" i="999"/>
  <c r="T66" i="999" s="1"/>
  <c r="S65" i="999"/>
  <c r="R65" i="999"/>
  <c r="Q65" i="999"/>
  <c r="J65" i="999"/>
  <c r="I65" i="999"/>
  <c r="T65" i="999" s="1"/>
  <c r="S64" i="999"/>
  <c r="R64" i="999"/>
  <c r="Q64" i="999"/>
  <c r="J64" i="999"/>
  <c r="I64" i="999"/>
  <c r="T64" i="999" s="1"/>
  <c r="S63" i="999"/>
  <c r="R63" i="999"/>
  <c r="Q63" i="999"/>
  <c r="J63" i="999"/>
  <c r="I63" i="999"/>
  <c r="T63" i="999" s="1"/>
  <c r="S62" i="999"/>
  <c r="R62" i="999"/>
  <c r="Q62" i="999"/>
  <c r="J62" i="999"/>
  <c r="I62" i="999"/>
  <c r="T62" i="999" s="1"/>
  <c r="S61" i="999"/>
  <c r="R61" i="999"/>
  <c r="Q61" i="999"/>
  <c r="J61" i="999"/>
  <c r="I61" i="999"/>
  <c r="T61" i="999" s="1"/>
  <c r="S60" i="999"/>
  <c r="R60" i="999"/>
  <c r="Q60" i="999"/>
  <c r="J60" i="999"/>
  <c r="I60" i="999"/>
  <c r="T60" i="999" s="1"/>
  <c r="S59" i="999"/>
  <c r="R59" i="999"/>
  <c r="Q59" i="999"/>
  <c r="J59" i="999"/>
  <c r="I59" i="999"/>
  <c r="T59" i="999" s="1"/>
  <c r="S58" i="999"/>
  <c r="R58" i="999"/>
  <c r="Q58" i="999"/>
  <c r="J58" i="999"/>
  <c r="I58" i="999"/>
  <c r="T58" i="999" s="1"/>
  <c r="S57" i="999"/>
  <c r="R57" i="999"/>
  <c r="Q57" i="999"/>
  <c r="J57" i="999"/>
  <c r="I57" i="999"/>
  <c r="T57" i="999" s="1"/>
  <c r="S56" i="999"/>
  <c r="R56" i="999"/>
  <c r="Q56" i="999"/>
  <c r="J56" i="999"/>
  <c r="I56" i="999"/>
  <c r="T56" i="999" s="1"/>
  <c r="S55" i="999"/>
  <c r="R55" i="999"/>
  <c r="Q55" i="999"/>
  <c r="J55" i="999"/>
  <c r="I55" i="999"/>
  <c r="T55" i="999" s="1"/>
  <c r="S54" i="999"/>
  <c r="R54" i="999"/>
  <c r="Q54" i="999"/>
  <c r="J54" i="999"/>
  <c r="I54" i="999"/>
  <c r="T54" i="999" s="1"/>
  <c r="S53" i="999"/>
  <c r="R53" i="999"/>
  <c r="Q53" i="999"/>
  <c r="J53" i="999"/>
  <c r="I53" i="999"/>
  <c r="T53" i="999" s="1"/>
  <c r="S52" i="999"/>
  <c r="R52" i="999"/>
  <c r="Q52" i="999"/>
  <c r="J52" i="999"/>
  <c r="I52" i="999"/>
  <c r="T52" i="999" s="1"/>
  <c r="S51" i="999"/>
  <c r="R51" i="999"/>
  <c r="Q51" i="999"/>
  <c r="J51" i="999"/>
  <c r="I51" i="999"/>
  <c r="T51" i="999" s="1"/>
  <c r="S50" i="999"/>
  <c r="R50" i="999"/>
  <c r="Q50" i="999"/>
  <c r="J50" i="999"/>
  <c r="I50" i="999"/>
  <c r="T50" i="999" s="1"/>
  <c r="S49" i="999"/>
  <c r="R49" i="999"/>
  <c r="Q49" i="999"/>
  <c r="J49" i="999"/>
  <c r="I49" i="999"/>
  <c r="T49" i="999" s="1"/>
  <c r="S48" i="999"/>
  <c r="R48" i="999"/>
  <c r="Q48" i="999"/>
  <c r="J48" i="999"/>
  <c r="I48" i="999"/>
  <c r="T48" i="999" s="1"/>
  <c r="S47" i="999"/>
  <c r="R47" i="999"/>
  <c r="Q47" i="999"/>
  <c r="J47" i="999"/>
  <c r="I47" i="999"/>
  <c r="T47" i="999" s="1"/>
  <c r="S46" i="999"/>
  <c r="R46" i="999"/>
  <c r="Q46" i="999"/>
  <c r="J46" i="999"/>
  <c r="I46" i="999"/>
  <c r="T46" i="999" s="1"/>
  <c r="S45" i="999"/>
  <c r="R45" i="999"/>
  <c r="Q45" i="999"/>
  <c r="J45" i="999"/>
  <c r="I45" i="999"/>
  <c r="S44" i="999"/>
  <c r="R44" i="999"/>
  <c r="Q44" i="999"/>
  <c r="J44" i="999"/>
  <c r="I44" i="999"/>
  <c r="T44" i="999" s="1"/>
  <c r="S43" i="999"/>
  <c r="R43" i="999"/>
  <c r="Q43" i="999"/>
  <c r="J43" i="999"/>
  <c r="I43" i="999"/>
  <c r="T43" i="999" s="1"/>
  <c r="S42" i="999"/>
  <c r="R42" i="999"/>
  <c r="Q42" i="999"/>
  <c r="J42" i="999"/>
  <c r="I42" i="999"/>
  <c r="T42" i="999" s="1"/>
  <c r="S41" i="999"/>
  <c r="R41" i="999"/>
  <c r="Q41" i="999"/>
  <c r="J41" i="999"/>
  <c r="I41" i="999"/>
  <c r="T41" i="999" s="1"/>
  <c r="S40" i="999"/>
  <c r="R40" i="999"/>
  <c r="Q40" i="999"/>
  <c r="J40" i="999"/>
  <c r="I40" i="999"/>
  <c r="T40" i="999" s="1"/>
  <c r="S39" i="999"/>
  <c r="R39" i="999"/>
  <c r="Q39" i="999"/>
  <c r="J39" i="999"/>
  <c r="I39" i="999"/>
  <c r="S38" i="999"/>
  <c r="R38" i="999"/>
  <c r="Q38" i="999"/>
  <c r="J38" i="999"/>
  <c r="I38" i="999"/>
  <c r="T38" i="999" s="1"/>
  <c r="S37" i="999"/>
  <c r="R37" i="999"/>
  <c r="Q37" i="999"/>
  <c r="J37" i="999"/>
  <c r="I37" i="999"/>
  <c r="S36" i="999"/>
  <c r="R36" i="999"/>
  <c r="Q36" i="999"/>
  <c r="J36" i="999"/>
  <c r="I36" i="999"/>
  <c r="S35" i="999"/>
  <c r="R35" i="999"/>
  <c r="Q35" i="999"/>
  <c r="J35" i="999"/>
  <c r="I35" i="999"/>
  <c r="T35" i="999" s="1"/>
  <c r="S34" i="999"/>
  <c r="R34" i="999"/>
  <c r="Q34" i="999"/>
  <c r="J34" i="999"/>
  <c r="I34" i="999"/>
  <c r="T34" i="999" s="1"/>
  <c r="S33" i="999"/>
  <c r="R33" i="999"/>
  <c r="Q33" i="999"/>
  <c r="J33" i="999"/>
  <c r="I33" i="999"/>
  <c r="S32" i="999"/>
  <c r="R32" i="999"/>
  <c r="Q32" i="999"/>
  <c r="J32" i="999"/>
  <c r="I32" i="999"/>
  <c r="S31" i="999"/>
  <c r="R31" i="999"/>
  <c r="Q31" i="999"/>
  <c r="J31" i="999"/>
  <c r="I31" i="999"/>
  <c r="S30" i="999"/>
  <c r="R30" i="999"/>
  <c r="Q30" i="999"/>
  <c r="J30" i="999"/>
  <c r="I30" i="999"/>
  <c r="S29" i="999"/>
  <c r="R29" i="999"/>
  <c r="Q29" i="999"/>
  <c r="J29" i="999"/>
  <c r="I29" i="999"/>
  <c r="S28" i="999"/>
  <c r="R28" i="999"/>
  <c r="Q28" i="999"/>
  <c r="J28" i="999"/>
  <c r="I28" i="999"/>
  <c r="T28" i="999" s="1"/>
  <c r="S27" i="999"/>
  <c r="R27" i="999"/>
  <c r="Q27" i="999"/>
  <c r="J27" i="999"/>
  <c r="I27" i="999"/>
  <c r="S26" i="999"/>
  <c r="R26" i="999"/>
  <c r="Q26" i="999"/>
  <c r="J26" i="999"/>
  <c r="I26" i="999"/>
  <c r="S25" i="999"/>
  <c r="R25" i="999"/>
  <c r="Q25" i="999"/>
  <c r="J25" i="999"/>
  <c r="I25" i="999"/>
  <c r="S24" i="999"/>
  <c r="R24" i="999"/>
  <c r="Q24" i="999"/>
  <c r="J24" i="999"/>
  <c r="I24" i="999"/>
  <c r="S23" i="999"/>
  <c r="R23" i="999"/>
  <c r="Q23" i="999"/>
  <c r="J23" i="999"/>
  <c r="I23" i="999"/>
  <c r="S22" i="999"/>
  <c r="R22" i="999"/>
  <c r="Q22" i="999"/>
  <c r="J22" i="999"/>
  <c r="I22" i="999"/>
  <c r="S21" i="999"/>
  <c r="R21" i="999"/>
  <c r="Q21" i="999"/>
  <c r="J21" i="999"/>
  <c r="I21" i="999"/>
  <c r="S20" i="999"/>
  <c r="R20" i="999"/>
  <c r="Q20" i="999"/>
  <c r="J20" i="999"/>
  <c r="I20" i="999"/>
  <c r="S19" i="999"/>
  <c r="R19" i="999"/>
  <c r="Q19" i="999"/>
  <c r="J19" i="999"/>
  <c r="I19" i="999"/>
  <c r="S18" i="999"/>
  <c r="R18" i="999"/>
  <c r="Q18" i="999"/>
  <c r="J18" i="999"/>
  <c r="I18" i="999"/>
  <c r="S17" i="999"/>
  <c r="R17" i="999"/>
  <c r="Q17" i="999"/>
  <c r="J17" i="999"/>
  <c r="I17" i="999"/>
  <c r="S16" i="999"/>
  <c r="R16" i="999"/>
  <c r="Q16" i="999"/>
  <c r="J16" i="999"/>
  <c r="I16" i="999"/>
  <c r="S15" i="999"/>
  <c r="R15" i="999"/>
  <c r="Q15" i="999"/>
  <c r="J15" i="999"/>
  <c r="I15" i="999"/>
  <c r="S14" i="999"/>
  <c r="R14" i="999"/>
  <c r="Q14" i="999"/>
  <c r="J14" i="999"/>
  <c r="I14" i="999"/>
  <c r="S13" i="999"/>
  <c r="R13" i="999"/>
  <c r="Q13" i="999"/>
  <c r="J13" i="999"/>
  <c r="I13" i="999"/>
  <c r="S12" i="999"/>
  <c r="R12" i="999"/>
  <c r="Q12" i="999"/>
  <c r="J12" i="999"/>
  <c r="I12" i="999"/>
  <c r="S11" i="999"/>
  <c r="R11" i="999"/>
  <c r="Q11" i="999"/>
  <c r="J11" i="999"/>
  <c r="I11" i="999"/>
  <c r="S10" i="999"/>
  <c r="R10" i="999"/>
  <c r="Q10" i="999"/>
  <c r="J10" i="999"/>
  <c r="I10" i="999"/>
  <c r="S9" i="999"/>
  <c r="R9" i="999"/>
  <c r="Q9" i="999"/>
  <c r="J9" i="999"/>
  <c r="I9" i="999"/>
  <c r="S8" i="999"/>
  <c r="R8" i="999"/>
  <c r="Q8" i="999"/>
  <c r="J8" i="999"/>
  <c r="I8" i="999"/>
  <c r="S7" i="999"/>
  <c r="R7" i="999"/>
  <c r="Q7" i="999"/>
  <c r="J7" i="999"/>
  <c r="I7" i="999"/>
  <c r="S101" i="998"/>
  <c r="R101" i="998"/>
  <c r="Q101" i="998"/>
  <c r="J101" i="998"/>
  <c r="I101" i="998"/>
  <c r="T101" i="998" s="1"/>
  <c r="S100" i="998"/>
  <c r="R100" i="998"/>
  <c r="Q100" i="998"/>
  <c r="J100" i="998"/>
  <c r="I100" i="998"/>
  <c r="T100" i="998" s="1"/>
  <c r="S99" i="998"/>
  <c r="R99" i="998"/>
  <c r="Q99" i="998"/>
  <c r="J99" i="998"/>
  <c r="I99" i="998"/>
  <c r="T99" i="998" s="1"/>
  <c r="S98" i="998"/>
  <c r="R98" i="998"/>
  <c r="Q98" i="998"/>
  <c r="J98" i="998"/>
  <c r="I98" i="998"/>
  <c r="T98" i="998" s="1"/>
  <c r="S97" i="998"/>
  <c r="R97" i="998"/>
  <c r="Q97" i="998"/>
  <c r="J97" i="998"/>
  <c r="I97" i="998"/>
  <c r="T97" i="998" s="1"/>
  <c r="S96" i="998"/>
  <c r="R96" i="998"/>
  <c r="Q96" i="998"/>
  <c r="J96" i="998"/>
  <c r="I96" i="998"/>
  <c r="T96" i="998" s="1"/>
  <c r="S95" i="998"/>
  <c r="R95" i="998"/>
  <c r="Q95" i="998"/>
  <c r="J95" i="998"/>
  <c r="I95" i="998"/>
  <c r="T95" i="998" s="1"/>
  <c r="S94" i="998"/>
  <c r="R94" i="998"/>
  <c r="Q94" i="998"/>
  <c r="J94" i="998"/>
  <c r="I94" i="998"/>
  <c r="T94" i="998" s="1"/>
  <c r="S93" i="998"/>
  <c r="R93" i="998"/>
  <c r="Q93" i="998"/>
  <c r="J93" i="998"/>
  <c r="I93" i="998"/>
  <c r="T93" i="998" s="1"/>
  <c r="S92" i="998"/>
  <c r="R92" i="998"/>
  <c r="Q92" i="998"/>
  <c r="J92" i="998"/>
  <c r="I92" i="998"/>
  <c r="T92" i="998" s="1"/>
  <c r="S91" i="998"/>
  <c r="R91" i="998"/>
  <c r="Q91" i="998"/>
  <c r="J91" i="998"/>
  <c r="I91" i="998"/>
  <c r="T91" i="998" s="1"/>
  <c r="S90" i="998"/>
  <c r="R90" i="998"/>
  <c r="Q90" i="998"/>
  <c r="J90" i="998"/>
  <c r="I90" i="998"/>
  <c r="T90" i="998" s="1"/>
  <c r="S89" i="998"/>
  <c r="R89" i="998"/>
  <c r="Q89" i="998"/>
  <c r="J89" i="998"/>
  <c r="I89" i="998"/>
  <c r="T89" i="998" s="1"/>
  <c r="S88" i="998"/>
  <c r="R88" i="998"/>
  <c r="Q88" i="998"/>
  <c r="J88" i="998"/>
  <c r="I88" i="998"/>
  <c r="T88" i="998" s="1"/>
  <c r="S87" i="998"/>
  <c r="R87" i="998"/>
  <c r="Q87" i="998"/>
  <c r="J87" i="998"/>
  <c r="I87" i="998"/>
  <c r="T87" i="998" s="1"/>
  <c r="S86" i="998"/>
  <c r="R86" i="998"/>
  <c r="Q86" i="998"/>
  <c r="J86" i="998"/>
  <c r="I86" i="998"/>
  <c r="T86" i="998" s="1"/>
  <c r="S85" i="998"/>
  <c r="R85" i="998"/>
  <c r="Q85" i="998"/>
  <c r="J85" i="998"/>
  <c r="I85" i="998"/>
  <c r="T85" i="998" s="1"/>
  <c r="S84" i="998"/>
  <c r="R84" i="998"/>
  <c r="Q84" i="998"/>
  <c r="J84" i="998"/>
  <c r="I84" i="998"/>
  <c r="T84" i="998" s="1"/>
  <c r="S83" i="998"/>
  <c r="R83" i="998"/>
  <c r="Q83" i="998"/>
  <c r="J83" i="998"/>
  <c r="I83" i="998"/>
  <c r="T83" i="998" s="1"/>
  <c r="S82" i="998"/>
  <c r="R82" i="998"/>
  <c r="Q82" i="998"/>
  <c r="J82" i="998"/>
  <c r="I82" i="998"/>
  <c r="T82" i="998" s="1"/>
  <c r="S81" i="998"/>
  <c r="R81" i="998"/>
  <c r="Q81" i="998"/>
  <c r="J81" i="998"/>
  <c r="I81" i="998"/>
  <c r="T81" i="998" s="1"/>
  <c r="S80" i="998"/>
  <c r="R80" i="998"/>
  <c r="Q80" i="998"/>
  <c r="J80" i="998"/>
  <c r="I80" i="998"/>
  <c r="T80" i="998" s="1"/>
  <c r="S79" i="998"/>
  <c r="R79" i="998"/>
  <c r="Q79" i="998"/>
  <c r="J79" i="998"/>
  <c r="I79" i="998"/>
  <c r="T79" i="998" s="1"/>
  <c r="S78" i="998"/>
  <c r="R78" i="998"/>
  <c r="Q78" i="998"/>
  <c r="J78" i="998"/>
  <c r="I78" i="998"/>
  <c r="T78" i="998" s="1"/>
  <c r="S77" i="998"/>
  <c r="R77" i="998"/>
  <c r="Q77" i="998"/>
  <c r="J77" i="998"/>
  <c r="I77" i="998"/>
  <c r="T77" i="998" s="1"/>
  <c r="S76" i="998"/>
  <c r="R76" i="998"/>
  <c r="Q76" i="998"/>
  <c r="J76" i="998"/>
  <c r="I76" i="998"/>
  <c r="T76" i="998" s="1"/>
  <c r="S75" i="998"/>
  <c r="R75" i="998"/>
  <c r="Q75" i="998"/>
  <c r="J75" i="998"/>
  <c r="I75" i="998"/>
  <c r="T75" i="998" s="1"/>
  <c r="S74" i="998"/>
  <c r="R74" i="998"/>
  <c r="Q74" i="998"/>
  <c r="J74" i="998"/>
  <c r="I74" i="998"/>
  <c r="T74" i="998" s="1"/>
  <c r="S73" i="998"/>
  <c r="R73" i="998"/>
  <c r="Q73" i="998"/>
  <c r="J73" i="998"/>
  <c r="I73" i="998"/>
  <c r="T73" i="998" s="1"/>
  <c r="S72" i="998"/>
  <c r="R72" i="998"/>
  <c r="Q72" i="998"/>
  <c r="J72" i="998"/>
  <c r="I72" i="998"/>
  <c r="T72" i="998" s="1"/>
  <c r="S71" i="998"/>
  <c r="R71" i="998"/>
  <c r="Q71" i="998"/>
  <c r="J71" i="998"/>
  <c r="I71" i="998"/>
  <c r="T71" i="998" s="1"/>
  <c r="S70" i="998"/>
  <c r="R70" i="998"/>
  <c r="Q70" i="998"/>
  <c r="J70" i="998"/>
  <c r="I70" i="998"/>
  <c r="S69" i="998"/>
  <c r="R69" i="998"/>
  <c r="Q69" i="998"/>
  <c r="J69" i="998"/>
  <c r="I69" i="998"/>
  <c r="T69" i="998" s="1"/>
  <c r="S68" i="998"/>
  <c r="R68" i="998"/>
  <c r="Q68" i="998"/>
  <c r="J68" i="998"/>
  <c r="I68" i="998"/>
  <c r="T68" i="998" s="1"/>
  <c r="S67" i="998"/>
  <c r="R67" i="998"/>
  <c r="Q67" i="998"/>
  <c r="J67" i="998"/>
  <c r="I67" i="998"/>
  <c r="T67" i="998" s="1"/>
  <c r="S66" i="998"/>
  <c r="R66" i="998"/>
  <c r="Q66" i="998"/>
  <c r="J66" i="998"/>
  <c r="I66" i="998"/>
  <c r="S65" i="998"/>
  <c r="R65" i="998"/>
  <c r="Q65" i="998"/>
  <c r="J65" i="998"/>
  <c r="I65" i="998"/>
  <c r="T65" i="998" s="1"/>
  <c r="S64" i="998"/>
  <c r="R64" i="998"/>
  <c r="Q64" i="998"/>
  <c r="J64" i="998"/>
  <c r="I64" i="998"/>
  <c r="T64" i="998" s="1"/>
  <c r="S63" i="998"/>
  <c r="R63" i="998"/>
  <c r="Q63" i="998"/>
  <c r="J63" i="998"/>
  <c r="I63" i="998"/>
  <c r="T63" i="998" s="1"/>
  <c r="S62" i="998"/>
  <c r="R62" i="998"/>
  <c r="Q62" i="998"/>
  <c r="J62" i="998"/>
  <c r="I62" i="998"/>
  <c r="S61" i="998"/>
  <c r="R61" i="998"/>
  <c r="Q61" i="998"/>
  <c r="J61" i="998"/>
  <c r="I61" i="998"/>
  <c r="T61" i="998" s="1"/>
  <c r="S60" i="998"/>
  <c r="R60" i="998"/>
  <c r="Q60" i="998"/>
  <c r="J60" i="998"/>
  <c r="I60" i="998"/>
  <c r="T60" i="998" s="1"/>
  <c r="S59" i="998"/>
  <c r="R59" i="998"/>
  <c r="Q59" i="998"/>
  <c r="J59" i="998"/>
  <c r="I59" i="998"/>
  <c r="T59" i="998" s="1"/>
  <c r="S58" i="998"/>
  <c r="R58" i="998"/>
  <c r="Q58" i="998"/>
  <c r="J58" i="998"/>
  <c r="I58" i="998"/>
  <c r="T58" i="998" s="1"/>
  <c r="S57" i="998"/>
  <c r="R57" i="998"/>
  <c r="Q57" i="998"/>
  <c r="J57" i="998"/>
  <c r="I57" i="998"/>
  <c r="S56" i="998"/>
  <c r="R56" i="998"/>
  <c r="Q56" i="998"/>
  <c r="J56" i="998"/>
  <c r="I56" i="998"/>
  <c r="T56" i="998" s="1"/>
  <c r="S55" i="998"/>
  <c r="R55" i="998"/>
  <c r="Q55" i="998"/>
  <c r="J55" i="998"/>
  <c r="I55" i="998"/>
  <c r="T55" i="998" s="1"/>
  <c r="S54" i="998"/>
  <c r="R54" i="998"/>
  <c r="Q54" i="998"/>
  <c r="J54" i="998"/>
  <c r="I54" i="998"/>
  <c r="T54" i="998" s="1"/>
  <c r="S53" i="998"/>
  <c r="R53" i="998"/>
  <c r="Q53" i="998"/>
  <c r="J53" i="998"/>
  <c r="I53" i="998"/>
  <c r="T53" i="998" s="1"/>
  <c r="S52" i="998"/>
  <c r="R52" i="998"/>
  <c r="Q52" i="998"/>
  <c r="J52" i="998"/>
  <c r="I52" i="998"/>
  <c r="T52" i="998" s="1"/>
  <c r="S51" i="998"/>
  <c r="R51" i="998"/>
  <c r="Q51" i="998"/>
  <c r="J51" i="998"/>
  <c r="I51" i="998"/>
  <c r="S50" i="998"/>
  <c r="R50" i="998"/>
  <c r="Q50" i="998"/>
  <c r="J50" i="998"/>
  <c r="I50" i="998"/>
  <c r="T50" i="998" s="1"/>
  <c r="S49" i="998"/>
  <c r="R49" i="998"/>
  <c r="Q49" i="998"/>
  <c r="J49" i="998"/>
  <c r="I49" i="998"/>
  <c r="T49" i="998" s="1"/>
  <c r="S48" i="998"/>
  <c r="R48" i="998"/>
  <c r="Q48" i="998"/>
  <c r="J48" i="998"/>
  <c r="I48" i="998"/>
  <c r="S47" i="998"/>
  <c r="R47" i="998"/>
  <c r="Q47" i="998"/>
  <c r="J47" i="998"/>
  <c r="I47" i="998"/>
  <c r="T47" i="998" s="1"/>
  <c r="S46" i="998"/>
  <c r="R46" i="998"/>
  <c r="Q46" i="998"/>
  <c r="J46" i="998"/>
  <c r="I46" i="998"/>
  <c r="T46" i="998" s="1"/>
  <c r="S45" i="998"/>
  <c r="R45" i="998"/>
  <c r="Q45" i="998"/>
  <c r="J45" i="998"/>
  <c r="I45" i="998"/>
  <c r="S44" i="998"/>
  <c r="R44" i="998"/>
  <c r="Q44" i="998"/>
  <c r="J44" i="998"/>
  <c r="I44" i="998"/>
  <c r="S43" i="998"/>
  <c r="R43" i="998"/>
  <c r="Q43" i="998"/>
  <c r="J43" i="998"/>
  <c r="I43" i="998"/>
  <c r="T43" i="998" s="1"/>
  <c r="S42" i="998"/>
  <c r="R42" i="998"/>
  <c r="Q42" i="998"/>
  <c r="J42" i="998"/>
  <c r="I42" i="998"/>
  <c r="S41" i="998"/>
  <c r="R41" i="998"/>
  <c r="Q41" i="998"/>
  <c r="J41" i="998"/>
  <c r="I41" i="998"/>
  <c r="S40" i="998"/>
  <c r="R40" i="998"/>
  <c r="Q40" i="998"/>
  <c r="J40" i="998"/>
  <c r="I40" i="998"/>
  <c r="S39" i="998"/>
  <c r="R39" i="998"/>
  <c r="Q39" i="998"/>
  <c r="J39" i="998"/>
  <c r="I39" i="998"/>
  <c r="T39" i="998" s="1"/>
  <c r="S38" i="998"/>
  <c r="R38" i="998"/>
  <c r="Q38" i="998"/>
  <c r="J38" i="998"/>
  <c r="I38" i="998"/>
  <c r="S37" i="998"/>
  <c r="R37" i="998"/>
  <c r="Q37" i="998"/>
  <c r="J37" i="998"/>
  <c r="I37" i="998"/>
  <c r="T37" i="998" s="1"/>
  <c r="S36" i="998"/>
  <c r="R36" i="998"/>
  <c r="Q36" i="998"/>
  <c r="J36" i="998"/>
  <c r="I36" i="998"/>
  <c r="T36" i="998" s="1"/>
  <c r="S35" i="998"/>
  <c r="R35" i="998"/>
  <c r="Q35" i="998"/>
  <c r="J35" i="998"/>
  <c r="I35" i="998"/>
  <c r="S34" i="998"/>
  <c r="R34" i="998"/>
  <c r="Q34" i="998"/>
  <c r="J34" i="998"/>
  <c r="I34" i="998"/>
  <c r="S33" i="998"/>
  <c r="R33" i="998"/>
  <c r="Q33" i="998"/>
  <c r="J33" i="998"/>
  <c r="I33" i="998"/>
  <c r="T33" i="998" s="1"/>
  <c r="S32" i="998"/>
  <c r="R32" i="998"/>
  <c r="Q32" i="998"/>
  <c r="J32" i="998"/>
  <c r="I32" i="998"/>
  <c r="S31" i="998"/>
  <c r="R31" i="998"/>
  <c r="Q31" i="998"/>
  <c r="J31" i="998"/>
  <c r="I31" i="998"/>
  <c r="S30" i="998"/>
  <c r="R30" i="998"/>
  <c r="Q30" i="998"/>
  <c r="J30" i="998"/>
  <c r="I30" i="998"/>
  <c r="T30" i="998" s="1"/>
  <c r="S29" i="998"/>
  <c r="R29" i="998"/>
  <c r="Q29" i="998"/>
  <c r="J29" i="998"/>
  <c r="I29" i="998"/>
  <c r="T29" i="998" s="1"/>
  <c r="S28" i="998"/>
  <c r="R28" i="998"/>
  <c r="Q28" i="998"/>
  <c r="J28" i="998"/>
  <c r="I28" i="998"/>
  <c r="S27" i="998"/>
  <c r="R27" i="998"/>
  <c r="Q27" i="998"/>
  <c r="J27" i="998"/>
  <c r="I27" i="998"/>
  <c r="S26" i="998"/>
  <c r="R26" i="998"/>
  <c r="Q26" i="998"/>
  <c r="J26" i="998"/>
  <c r="I26" i="998"/>
  <c r="T26" i="998" s="1"/>
  <c r="S25" i="998"/>
  <c r="R25" i="998"/>
  <c r="Q25" i="998"/>
  <c r="J25" i="998"/>
  <c r="I25" i="998"/>
  <c r="S24" i="998"/>
  <c r="R24" i="998"/>
  <c r="Q24" i="998"/>
  <c r="J24" i="998"/>
  <c r="I24" i="998"/>
  <c r="S23" i="998"/>
  <c r="R23" i="998"/>
  <c r="Q23" i="998"/>
  <c r="J23" i="998"/>
  <c r="I23" i="998"/>
  <c r="T23" i="998" s="1"/>
  <c r="S22" i="998"/>
  <c r="R22" i="998"/>
  <c r="Q22" i="998"/>
  <c r="J22" i="998"/>
  <c r="I22" i="998"/>
  <c r="S21" i="998"/>
  <c r="R21" i="998"/>
  <c r="Q21" i="998"/>
  <c r="J21" i="998"/>
  <c r="I21" i="998"/>
  <c r="S20" i="998"/>
  <c r="R20" i="998"/>
  <c r="Q20" i="998"/>
  <c r="J20" i="998"/>
  <c r="I20" i="998"/>
  <c r="S19" i="998"/>
  <c r="R19" i="998"/>
  <c r="Q19" i="998"/>
  <c r="J19" i="998"/>
  <c r="I19" i="998"/>
  <c r="T19" i="998" s="1"/>
  <c r="S18" i="998"/>
  <c r="R18" i="998"/>
  <c r="Q18" i="998"/>
  <c r="J18" i="998"/>
  <c r="I18" i="998"/>
  <c r="S17" i="998"/>
  <c r="R17" i="998"/>
  <c r="Q17" i="998"/>
  <c r="J17" i="998"/>
  <c r="I17" i="998"/>
  <c r="S16" i="998"/>
  <c r="R16" i="998"/>
  <c r="Q16" i="998"/>
  <c r="J16" i="998"/>
  <c r="I16" i="998"/>
  <c r="S15" i="998"/>
  <c r="R15" i="998"/>
  <c r="Q15" i="998"/>
  <c r="J15" i="998"/>
  <c r="I15" i="998"/>
  <c r="S14" i="998"/>
  <c r="R14" i="998"/>
  <c r="Q14" i="998"/>
  <c r="J14" i="998"/>
  <c r="I14" i="998"/>
  <c r="T14" i="998" s="1"/>
  <c r="S13" i="998"/>
  <c r="R13" i="998"/>
  <c r="Q13" i="998"/>
  <c r="J13" i="998"/>
  <c r="I13" i="998"/>
  <c r="S12" i="998"/>
  <c r="R12" i="998"/>
  <c r="Q12" i="998"/>
  <c r="J12" i="998"/>
  <c r="I12" i="998"/>
  <c r="S11" i="998"/>
  <c r="R11" i="998"/>
  <c r="Q11" i="998"/>
  <c r="J11" i="998"/>
  <c r="I11" i="998"/>
  <c r="S10" i="998"/>
  <c r="R10" i="998"/>
  <c r="Q10" i="998"/>
  <c r="J10" i="998"/>
  <c r="I10" i="998"/>
  <c r="S9" i="998"/>
  <c r="R9" i="998"/>
  <c r="Q9" i="998"/>
  <c r="J9" i="998"/>
  <c r="I9" i="998"/>
  <c r="S8" i="998"/>
  <c r="R8" i="998"/>
  <c r="Q8" i="998"/>
  <c r="J8" i="998"/>
  <c r="I8" i="998"/>
  <c r="S7" i="998"/>
  <c r="R7" i="998"/>
  <c r="Q7" i="998"/>
  <c r="J7" i="998"/>
  <c r="I7" i="998"/>
  <c r="S87" i="997"/>
  <c r="R87" i="997"/>
  <c r="Q87" i="997"/>
  <c r="J87" i="997"/>
  <c r="I87" i="997"/>
  <c r="S86" i="997"/>
  <c r="R86" i="997"/>
  <c r="Q86" i="997"/>
  <c r="J86" i="997"/>
  <c r="I86" i="997"/>
  <c r="T86" i="997" s="1"/>
  <c r="S85" i="997"/>
  <c r="R85" i="997"/>
  <c r="Q85" i="997"/>
  <c r="J85" i="997"/>
  <c r="I85" i="997"/>
  <c r="S84" i="997"/>
  <c r="R84" i="997"/>
  <c r="Q84" i="997"/>
  <c r="J84" i="997"/>
  <c r="I84" i="997"/>
  <c r="T84" i="997" s="1"/>
  <c r="S83" i="997"/>
  <c r="R83" i="997"/>
  <c r="Q83" i="997"/>
  <c r="J83" i="997"/>
  <c r="I83" i="997"/>
  <c r="S82" i="997"/>
  <c r="R82" i="997"/>
  <c r="Q82" i="997"/>
  <c r="J82" i="997"/>
  <c r="I82" i="997"/>
  <c r="T82" i="997" s="1"/>
  <c r="S81" i="997"/>
  <c r="R81" i="997"/>
  <c r="Q81" i="997"/>
  <c r="J81" i="997"/>
  <c r="I81" i="997"/>
  <c r="S80" i="997"/>
  <c r="R80" i="997"/>
  <c r="Q80" i="997"/>
  <c r="J80" i="997"/>
  <c r="I80" i="997"/>
  <c r="S79" i="997"/>
  <c r="R79" i="997"/>
  <c r="Q79" i="997"/>
  <c r="J79" i="997"/>
  <c r="I79" i="997"/>
  <c r="S78" i="997"/>
  <c r="R78" i="997"/>
  <c r="Q78" i="997"/>
  <c r="J78" i="997"/>
  <c r="I78" i="997"/>
  <c r="S77" i="997"/>
  <c r="R77" i="997"/>
  <c r="Q77" i="997"/>
  <c r="J77" i="997"/>
  <c r="I77" i="997"/>
  <c r="T77" i="997" s="1"/>
  <c r="S76" i="997"/>
  <c r="R76" i="997"/>
  <c r="Q76" i="997"/>
  <c r="J76" i="997"/>
  <c r="I76" i="997"/>
  <c r="T76" i="997" s="1"/>
  <c r="S75" i="997"/>
  <c r="R75" i="997"/>
  <c r="Q75" i="997"/>
  <c r="J75" i="997"/>
  <c r="I75" i="997"/>
  <c r="S74" i="997"/>
  <c r="R74" i="997"/>
  <c r="Q74" i="997"/>
  <c r="J74" i="997"/>
  <c r="I74" i="997"/>
  <c r="S73" i="997"/>
  <c r="R73" i="997"/>
  <c r="Q73" i="997"/>
  <c r="J73" i="997"/>
  <c r="I73" i="997"/>
  <c r="T73" i="997" s="1"/>
  <c r="S72" i="997"/>
  <c r="R72" i="997"/>
  <c r="Q72" i="997"/>
  <c r="J72" i="997"/>
  <c r="I72" i="997"/>
  <c r="T72" i="997" s="1"/>
  <c r="S71" i="997"/>
  <c r="R71" i="997"/>
  <c r="Q71" i="997"/>
  <c r="J71" i="997"/>
  <c r="I71" i="997"/>
  <c r="S70" i="997"/>
  <c r="R70" i="997"/>
  <c r="Q70" i="997"/>
  <c r="J70" i="997"/>
  <c r="I70" i="997"/>
  <c r="S69" i="997"/>
  <c r="R69" i="997"/>
  <c r="Q69" i="997"/>
  <c r="J69" i="997"/>
  <c r="I69" i="997"/>
  <c r="T69" i="997" s="1"/>
  <c r="S68" i="997"/>
  <c r="R68" i="997"/>
  <c r="Q68" i="997"/>
  <c r="J68" i="997"/>
  <c r="I68" i="997"/>
  <c r="S67" i="997"/>
  <c r="R67" i="997"/>
  <c r="Q67" i="997"/>
  <c r="J67" i="997"/>
  <c r="I67" i="997"/>
  <c r="S66" i="997"/>
  <c r="R66" i="997"/>
  <c r="Q66" i="997"/>
  <c r="J66" i="997"/>
  <c r="I66" i="997"/>
  <c r="T66" i="997" s="1"/>
  <c r="S65" i="997"/>
  <c r="R65" i="997"/>
  <c r="Q65" i="997"/>
  <c r="J65" i="997"/>
  <c r="I65" i="997"/>
  <c r="T65" i="997" s="1"/>
  <c r="S64" i="997"/>
  <c r="R64" i="997"/>
  <c r="Q64" i="997"/>
  <c r="J64" i="997"/>
  <c r="I64" i="997"/>
  <c r="T64" i="997" s="1"/>
  <c r="S63" i="997"/>
  <c r="R63" i="997"/>
  <c r="Q63" i="997"/>
  <c r="J63" i="997"/>
  <c r="I63" i="997"/>
  <c r="T63" i="997" s="1"/>
  <c r="S62" i="997"/>
  <c r="R62" i="997"/>
  <c r="Q62" i="997"/>
  <c r="J62" i="997"/>
  <c r="I62" i="997"/>
  <c r="T62" i="997" s="1"/>
  <c r="S61" i="997"/>
  <c r="R61" i="997"/>
  <c r="Q61" i="997"/>
  <c r="J61" i="997"/>
  <c r="I61" i="997"/>
  <c r="T61" i="997" s="1"/>
  <c r="S60" i="997"/>
  <c r="R60" i="997"/>
  <c r="Q60" i="997"/>
  <c r="J60" i="997"/>
  <c r="I60" i="997"/>
  <c r="T60" i="997" s="1"/>
  <c r="S59" i="997"/>
  <c r="R59" i="997"/>
  <c r="Q59" i="997"/>
  <c r="J59" i="997"/>
  <c r="I59" i="997"/>
  <c r="T59" i="997" s="1"/>
  <c r="S58" i="997"/>
  <c r="R58" i="997"/>
  <c r="Q58" i="997"/>
  <c r="J58" i="997"/>
  <c r="I58" i="997"/>
  <c r="T58" i="997" s="1"/>
  <c r="S57" i="997"/>
  <c r="R57" i="997"/>
  <c r="Q57" i="997"/>
  <c r="J57" i="997"/>
  <c r="I57" i="997"/>
  <c r="S56" i="997"/>
  <c r="R56" i="997"/>
  <c r="Q56" i="997"/>
  <c r="J56" i="997"/>
  <c r="I56" i="997"/>
  <c r="T56" i="997" s="1"/>
  <c r="S55" i="997"/>
  <c r="R55" i="997"/>
  <c r="Q55" i="997"/>
  <c r="J55" i="997"/>
  <c r="I55" i="997"/>
  <c r="T55" i="997" s="1"/>
  <c r="S54" i="997"/>
  <c r="R54" i="997"/>
  <c r="Q54" i="997"/>
  <c r="J54" i="997"/>
  <c r="I54" i="997"/>
  <c r="T54" i="997" s="1"/>
  <c r="S53" i="997"/>
  <c r="R53" i="997"/>
  <c r="Q53" i="997"/>
  <c r="J53" i="997"/>
  <c r="I53" i="997"/>
  <c r="T53" i="997" s="1"/>
  <c r="S52" i="997"/>
  <c r="R52" i="997"/>
  <c r="Q52" i="997"/>
  <c r="J52" i="997"/>
  <c r="I52" i="997"/>
  <c r="T52" i="997" s="1"/>
  <c r="S51" i="997"/>
  <c r="R51" i="997"/>
  <c r="Q51" i="997"/>
  <c r="J51" i="997"/>
  <c r="I51" i="997"/>
  <c r="S50" i="997"/>
  <c r="R50" i="997"/>
  <c r="Q50" i="997"/>
  <c r="J50" i="997"/>
  <c r="I50" i="997"/>
  <c r="T50" i="997" s="1"/>
  <c r="S49" i="997"/>
  <c r="R49" i="997"/>
  <c r="Q49" i="997"/>
  <c r="J49" i="997"/>
  <c r="I49" i="997"/>
  <c r="T49" i="997" s="1"/>
  <c r="S48" i="997"/>
  <c r="R48" i="997"/>
  <c r="Q48" i="997"/>
  <c r="J48" i="997"/>
  <c r="I48" i="997"/>
  <c r="S47" i="997"/>
  <c r="R47" i="997"/>
  <c r="Q47" i="997"/>
  <c r="J47" i="997"/>
  <c r="I47" i="997"/>
  <c r="T47" i="997" s="1"/>
  <c r="S46" i="997"/>
  <c r="R46" i="997"/>
  <c r="Q46" i="997"/>
  <c r="J46" i="997"/>
  <c r="I46" i="997"/>
  <c r="S45" i="997"/>
  <c r="R45" i="997"/>
  <c r="Q45" i="997"/>
  <c r="J45" i="997"/>
  <c r="I45" i="997"/>
  <c r="S44" i="997"/>
  <c r="R44" i="997"/>
  <c r="Q44" i="997"/>
  <c r="J44" i="997"/>
  <c r="I44" i="997"/>
  <c r="S43" i="997"/>
  <c r="R43" i="997"/>
  <c r="Q43" i="997"/>
  <c r="J43" i="997"/>
  <c r="I43" i="997"/>
  <c r="T43" i="997" s="1"/>
  <c r="S42" i="997"/>
  <c r="R42" i="997"/>
  <c r="Q42" i="997"/>
  <c r="J42" i="997"/>
  <c r="I42" i="997"/>
  <c r="T42" i="997" s="1"/>
  <c r="S41" i="997"/>
  <c r="R41" i="997"/>
  <c r="Q41" i="997"/>
  <c r="J41" i="997"/>
  <c r="I41" i="997"/>
  <c r="T41" i="997" s="1"/>
  <c r="S40" i="997"/>
  <c r="R40" i="997"/>
  <c r="Q40" i="997"/>
  <c r="J40" i="997"/>
  <c r="I40" i="997"/>
  <c r="T40" i="997" s="1"/>
  <c r="S39" i="997"/>
  <c r="R39" i="997"/>
  <c r="Q39" i="997"/>
  <c r="J39" i="997"/>
  <c r="I39" i="997"/>
  <c r="T39" i="997" s="1"/>
  <c r="S38" i="997"/>
  <c r="R38" i="997"/>
  <c r="Q38" i="997"/>
  <c r="J38" i="997"/>
  <c r="I38" i="997"/>
  <c r="T38" i="997" s="1"/>
  <c r="S37" i="997"/>
  <c r="R37" i="997"/>
  <c r="Q37" i="997"/>
  <c r="J37" i="997"/>
  <c r="I37" i="997"/>
  <c r="T37" i="997" s="1"/>
  <c r="S36" i="997"/>
  <c r="R36" i="997"/>
  <c r="Q36" i="997"/>
  <c r="J36" i="997"/>
  <c r="I36" i="997"/>
  <c r="S35" i="997"/>
  <c r="R35" i="997"/>
  <c r="Q35" i="997"/>
  <c r="J35" i="997"/>
  <c r="I35" i="997"/>
  <c r="S34" i="997"/>
  <c r="R34" i="997"/>
  <c r="Q34" i="997"/>
  <c r="J34" i="997"/>
  <c r="I34" i="997"/>
  <c r="S33" i="997"/>
  <c r="R33" i="997"/>
  <c r="Q33" i="997"/>
  <c r="J33" i="997"/>
  <c r="I33" i="997"/>
  <c r="T33" i="997" s="1"/>
  <c r="S32" i="997"/>
  <c r="R32" i="997"/>
  <c r="Q32" i="997"/>
  <c r="J32" i="997"/>
  <c r="I32" i="997"/>
  <c r="S31" i="997"/>
  <c r="R31" i="997"/>
  <c r="Q31" i="997"/>
  <c r="J31" i="997"/>
  <c r="I31" i="997"/>
  <c r="S30" i="997"/>
  <c r="R30" i="997"/>
  <c r="Q30" i="997"/>
  <c r="J30" i="997"/>
  <c r="I30" i="997"/>
  <c r="S29" i="997"/>
  <c r="R29" i="997"/>
  <c r="Q29" i="997"/>
  <c r="J29" i="997"/>
  <c r="I29" i="997"/>
  <c r="S28" i="997"/>
  <c r="R28" i="997"/>
  <c r="Q28" i="997"/>
  <c r="J28" i="997"/>
  <c r="I28" i="997"/>
  <c r="S27" i="997"/>
  <c r="R27" i="997"/>
  <c r="Q27" i="997"/>
  <c r="J27" i="997"/>
  <c r="I27" i="997"/>
  <c r="S26" i="997"/>
  <c r="R26" i="997"/>
  <c r="Q26" i="997"/>
  <c r="J26" i="997"/>
  <c r="I26" i="997"/>
  <c r="S25" i="997"/>
  <c r="R25" i="997"/>
  <c r="Q25" i="997"/>
  <c r="J25" i="997"/>
  <c r="I25" i="997"/>
  <c r="S24" i="997"/>
  <c r="R24" i="997"/>
  <c r="Q24" i="997"/>
  <c r="J24" i="997"/>
  <c r="I24" i="997"/>
  <c r="S23" i="997"/>
  <c r="R23" i="997"/>
  <c r="Q23" i="997"/>
  <c r="J23" i="997"/>
  <c r="I23" i="997"/>
  <c r="S22" i="997"/>
  <c r="R22" i="997"/>
  <c r="Q22" i="997"/>
  <c r="J22" i="997"/>
  <c r="I22" i="997"/>
  <c r="T22" i="997" s="1"/>
  <c r="S21" i="997"/>
  <c r="R21" i="997"/>
  <c r="Q21" i="997"/>
  <c r="J21" i="997"/>
  <c r="I21" i="997"/>
  <c r="S20" i="997"/>
  <c r="R20" i="997"/>
  <c r="Q20" i="997"/>
  <c r="J20" i="997"/>
  <c r="I20" i="997"/>
  <c r="S19" i="997"/>
  <c r="R19" i="997"/>
  <c r="Q19" i="997"/>
  <c r="J19" i="997"/>
  <c r="I19" i="997"/>
  <c r="S18" i="997"/>
  <c r="R18" i="997"/>
  <c r="Q18" i="997"/>
  <c r="J18" i="997"/>
  <c r="I18" i="997"/>
  <c r="S17" i="997"/>
  <c r="R17" i="997"/>
  <c r="Q17" i="997"/>
  <c r="J17" i="997"/>
  <c r="I17" i="997"/>
  <c r="S16" i="997"/>
  <c r="R16" i="997"/>
  <c r="Q16" i="997"/>
  <c r="J16" i="997"/>
  <c r="I16" i="997"/>
  <c r="S15" i="997"/>
  <c r="R15" i="997"/>
  <c r="Q15" i="997"/>
  <c r="J15" i="997"/>
  <c r="I15" i="997"/>
  <c r="S14" i="997"/>
  <c r="R14" i="997"/>
  <c r="Q14" i="997"/>
  <c r="J14" i="997"/>
  <c r="I14" i="997"/>
  <c r="S13" i="997"/>
  <c r="R13" i="997"/>
  <c r="Q13" i="997"/>
  <c r="J13" i="997"/>
  <c r="I13" i="997"/>
  <c r="S12" i="997"/>
  <c r="R12" i="997"/>
  <c r="Q12" i="997"/>
  <c r="J12" i="997"/>
  <c r="I12" i="997"/>
  <c r="S11" i="997"/>
  <c r="R11" i="997"/>
  <c r="Q11" i="997"/>
  <c r="J11" i="997"/>
  <c r="I11" i="997"/>
  <c r="S10" i="997"/>
  <c r="R10" i="997"/>
  <c r="Q10" i="997"/>
  <c r="J10" i="997"/>
  <c r="I10" i="997"/>
  <c r="S9" i="997"/>
  <c r="R9" i="997"/>
  <c r="Q9" i="997"/>
  <c r="J9" i="997"/>
  <c r="I9" i="997"/>
  <c r="S8" i="997"/>
  <c r="R8" i="997"/>
  <c r="Q8" i="997"/>
  <c r="J8" i="997"/>
  <c r="I8" i="997"/>
  <c r="S7" i="997"/>
  <c r="R7" i="997"/>
  <c r="Q7" i="997"/>
  <c r="J7" i="997"/>
  <c r="I7" i="997"/>
  <c r="T10" i="1" l="1"/>
  <c r="T55" i="1000"/>
  <c r="T20" i="1008"/>
  <c r="T10" i="1008"/>
  <c r="T14" i="1008"/>
  <c r="T19" i="1008"/>
  <c r="T11" i="1008"/>
  <c r="T17" i="1008"/>
  <c r="T7" i="1008"/>
  <c r="T13" i="1008"/>
  <c r="T16" i="1008"/>
  <c r="T12" i="1008"/>
  <c r="T60" i="1006"/>
  <c r="T48" i="1006"/>
  <c r="T8" i="1006"/>
  <c r="T28" i="1006"/>
  <c r="T8" i="1005"/>
  <c r="T27" i="1004"/>
  <c r="T35" i="1004"/>
  <c r="T42" i="1004"/>
  <c r="T26" i="1004"/>
  <c r="T23" i="1004"/>
  <c r="T15" i="1004"/>
  <c r="T19" i="1004"/>
  <c r="T41" i="1004"/>
  <c r="T16" i="1004"/>
  <c r="T12" i="1004"/>
  <c r="T11" i="1004"/>
  <c r="T9" i="1004"/>
  <c r="T13" i="1004"/>
  <c r="T8" i="1004"/>
  <c r="T9" i="1002"/>
  <c r="T12" i="1002"/>
  <c r="T14" i="1002"/>
  <c r="T16" i="1002"/>
  <c r="T18" i="1002"/>
  <c r="T20" i="1002"/>
  <c r="T10" i="1002"/>
  <c r="T7" i="1002"/>
  <c r="T13" i="1002"/>
  <c r="T21" i="1002"/>
  <c r="T9" i="1001"/>
  <c r="T13" i="1001"/>
  <c r="T39" i="1001"/>
  <c r="T43" i="1001"/>
  <c r="T49" i="1001"/>
  <c r="T57" i="1001"/>
  <c r="T59" i="1001"/>
  <c r="T61" i="1001"/>
  <c r="T92" i="1001"/>
  <c r="T42" i="1001"/>
  <c r="T44" i="1001"/>
  <c r="T46" i="1001"/>
  <c r="T48" i="1001"/>
  <c r="T63" i="1001"/>
  <c r="T73" i="1001"/>
  <c r="T82" i="1001"/>
  <c r="T90" i="1001"/>
  <c r="T16" i="1001"/>
  <c r="T18" i="1001"/>
  <c r="T47" i="1001"/>
  <c r="T52" i="1001"/>
  <c r="T14" i="1001"/>
  <c r="T69" i="1001"/>
  <c r="T84" i="1001"/>
  <c r="T23" i="1001"/>
  <c r="T35" i="1001"/>
  <c r="T67" i="1001"/>
  <c r="T21" i="1001"/>
  <c r="T32" i="1001"/>
  <c r="T32" i="1000"/>
  <c r="T35" i="1000"/>
  <c r="T52" i="1000"/>
  <c r="T23" i="1000"/>
  <c r="T19" i="1000"/>
  <c r="T54" i="1000"/>
  <c r="T16" i="1000"/>
  <c r="T15" i="1000"/>
  <c r="T9" i="1000"/>
  <c r="T29" i="1000"/>
  <c r="T39" i="1000"/>
  <c r="T41" i="1000"/>
  <c r="T18" i="1000"/>
  <c r="T43" i="1000"/>
  <c r="T26" i="1000"/>
  <c r="T20" i="1000"/>
  <c r="T21" i="1000"/>
  <c r="T17" i="1000"/>
  <c r="T24" i="1000"/>
  <c r="T37" i="1000"/>
  <c r="T14" i="1000"/>
  <c r="T38" i="1000"/>
  <c r="T12" i="1000"/>
  <c r="T13" i="1000"/>
  <c r="T11" i="1000"/>
  <c r="T8" i="1000"/>
  <c r="T7" i="1000"/>
  <c r="T10" i="1000"/>
  <c r="T30" i="999"/>
  <c r="T24" i="999"/>
  <c r="T32" i="999"/>
  <c r="T36" i="999"/>
  <c r="T25" i="999"/>
  <c r="T33" i="999"/>
  <c r="T21" i="999"/>
  <c r="T37" i="999"/>
  <c r="T23" i="999"/>
  <c r="T29" i="999"/>
  <c r="T10" i="999"/>
  <c r="T72" i="999"/>
  <c r="T31" i="999"/>
  <c r="T39" i="999"/>
  <c r="T45" i="999"/>
  <c r="T27" i="999"/>
  <c r="T22" i="999"/>
  <c r="T11" i="999"/>
  <c r="T15" i="999"/>
  <c r="T18" i="999"/>
  <c r="T19" i="999"/>
  <c r="T12" i="999"/>
  <c r="T20" i="999"/>
  <c r="T26" i="999"/>
  <c r="T13" i="999"/>
  <c r="T7" i="999"/>
  <c r="T17" i="999"/>
  <c r="T14" i="999"/>
  <c r="T16" i="999"/>
  <c r="T9" i="999"/>
  <c r="T8" i="999"/>
  <c r="T38" i="998"/>
  <c r="T40" i="998"/>
  <c r="T42" i="998"/>
  <c r="T22" i="998"/>
  <c r="T25" i="998"/>
  <c r="T18" i="998"/>
  <c r="T35" i="998"/>
  <c r="T45" i="998"/>
  <c r="T7" i="998"/>
  <c r="T27" i="998"/>
  <c r="T31" i="998"/>
  <c r="T24" i="998"/>
  <c r="T10" i="998"/>
  <c r="T16" i="998"/>
  <c r="T28" i="998"/>
  <c r="T32" i="998"/>
  <c r="T41" i="998"/>
  <c r="T48" i="998"/>
  <c r="T57" i="998"/>
  <c r="T70" i="998"/>
  <c r="T9" i="998"/>
  <c r="T15" i="998"/>
  <c r="T17" i="998"/>
  <c r="T21" i="998"/>
  <c r="T44" i="998"/>
  <c r="T51" i="998"/>
  <c r="T62" i="998"/>
  <c r="T66" i="998"/>
  <c r="T34" i="998"/>
  <c r="T13" i="998"/>
  <c r="T20" i="998"/>
  <c r="T12" i="998"/>
  <c r="T11" i="998"/>
  <c r="T8" i="998"/>
  <c r="T25" i="997"/>
  <c r="T31" i="997"/>
  <c r="T51" i="997"/>
  <c r="T32" i="997"/>
  <c r="T34" i="997"/>
  <c r="T46" i="997"/>
  <c r="T79" i="997"/>
  <c r="T28" i="997"/>
  <c r="T30" i="997"/>
  <c r="T67" i="997"/>
  <c r="T71" i="997"/>
  <c r="T45" i="997"/>
  <c r="T36" i="997"/>
  <c r="T29" i="997"/>
  <c r="T44" i="997"/>
  <c r="T17" i="997"/>
  <c r="T20" i="997"/>
  <c r="T68" i="997"/>
  <c r="T70" i="997"/>
  <c r="T80" i="997"/>
  <c r="T21" i="997"/>
  <c r="T23" i="997"/>
  <c r="T27" i="997"/>
  <c r="T14" i="997"/>
  <c r="T35" i="997"/>
  <c r="T48" i="997"/>
  <c r="T57" i="997"/>
  <c r="T83" i="997"/>
  <c r="T24" i="997"/>
  <c r="T75" i="997"/>
  <c r="T81" i="997"/>
  <c r="T85" i="997"/>
  <c r="T87" i="997"/>
  <c r="T19" i="997"/>
  <c r="T16" i="997"/>
  <c r="T18" i="997"/>
  <c r="T9" i="997"/>
  <c r="T15" i="997"/>
  <c r="T7" i="997"/>
  <c r="T12" i="997"/>
  <c r="T10" i="997"/>
  <c r="T8" i="997"/>
  <c r="T11" i="997"/>
  <c r="T26" i="997"/>
  <c r="T74" i="997"/>
  <c r="T78" i="997"/>
  <c r="T13" i="997"/>
  <c r="A22" i="1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SDASQL.1;Persist Security Info=True;Extended Properties=&quot;DSN=DHDATASOURCE;&quot;;Initial Catalog=S105TXAM" commandType="0"/>
  </connection>
  <connection id="2" xr16:uid="{00000000-0015-0000-FFFF-FFFF01000000}" odcFile="\\192.168.1.1\dhfolders\ODBC Connections\S105TXAM COUNT09.ODC" keepAlive="1" name="Connection101" type="5" refreshedVersion="4" background="1">
    <dbPr connection="Provider=MSDASQL.1;Persist Security Info=True;Extended Properties=&quot;DSN=DHDATASOURCE;&quot;;Initial Catalog=S105TXAM" command="SELECT CSB1CD, CSBCC6, CSCBTX, CSBIDT FROM DHDATA.JMCSREP WHERE CSCACD='REN' AND CSA0ST&lt;&gt;'5' ORDER BY CSCACD"/>
  </connection>
  <connection id="3" xr16:uid="{00000000-0015-0000-FFFF-FFFF02000000}" odcFile="\\192.168.1.1\dhfolders\ODBC Connections\S105TXAM COUNT09.ODC" keepAlive="1" name="Connection102" type="5" refreshedVersion="4" background="1">
    <dbPr connection="Provider=MSDASQL.1;Persist Security Info=True;Extended Properties=&quot;DSN=DHDATASOURCE;&quot;;Initial Catalog=S105TXAM" command="SELECT CSB1CD, CSBCC6, CSCBTX, CSBIDT FROM DHDATA.JMCSREP WHERE CSCACD='REN' AND CSA0ST&lt;&gt;'5' ORDER BY CSCACD"/>
  </connection>
  <connection id="4" xr16:uid="{00000000-0015-0000-FFFF-FFFF03000000}" odcFile="\\10.10.1.10\dhfolders\ODBC Connections\S105TXAM COUNT09.ODC" keepAlive="1" name="Connection103" type="5" refreshedVersion="4" background="1">
    <dbPr connection="Provider=MSDASQL.1;Persist Security Info=True;Extended Properties=&quot;DSN=DHDATASOURCE;&quot;;Initial Catalog=S105TXAM" command="SELECT CSB1CD, CSBCC6, CSCBTX, CSBIDT FROM DHDATA.JMCSREP WHERE CSCACD='PHX' AND CSA0ST&lt;&gt;'5' ORDER BY CSCACD"/>
  </connection>
  <connection id="5" xr16:uid="{00000000-0015-0000-FFFF-FFFF04000000}" odcFile="\\10.10.1.10\dhfolders\ODBC Connections\S105TXAM COUNT09.ODC" keepAlive="1" name="Connection104" type="5" refreshedVersion="4" background="1">
    <dbPr connection="Provider=MSDASQL.1;Persist Security Info=True;Extended Properties=&quot;DSN=DHDATASOURCE;&quot;;Initial Catalog=S105TXAM" command="SELECT CSB1CD, CSBCC6, CSCBTX, CSBIDT FROM DHDATA.JMCSREP WHERE CSCACD='PHX' AND CSA0ST&lt;&gt;'5' ORDER BY CSCACD"/>
  </connection>
  <connection id="6" xr16:uid="{00000000-0015-0000-FFFF-FFFF05000000}" odcFile="\\10.10.1.10\dhfolders\ODBC Connections\S105TXAM COUNT09.ODC" keepAlive="1" name="Connection105" type="5" refreshedVersion="4" background="1">
    <dbPr connection="Provider=MSDASQL.1;Persist Security Info=True;Extended Properties=&quot;DSN=DHDATASOURCE;&quot;;Initial Catalog=S105TXAM" command="SELECT CSB1CD, CSBCC6, CSCBTX, CSBIDT FROM DHDATA.JMCSREP WHERE CSCACD='PHX' AND CSA0ST&lt;&gt;'5' ORDER BY CSCACD"/>
  </connection>
  <connection id="7" xr16:uid="{00000000-0015-0000-FFFF-FFFF06000000}" odcFile="\\192.168.1.1\dhfolders\ODBC Connections\S105TXAM COUNT09.ODC" keepAlive="1" name="Connection110" type="5" refreshedVersion="4" background="1">
    <dbPr connection="Provider=MSDASQL.1;Persist Security Info=True;Extended Properties=&quot;DSN=DHDATASOURCE;&quot;;Initial Catalog=S105TXAM" command="SELECT CSB1CD, CSBCC6, CSCBTX, CSBIDT FROM DHDATA.JMCSREP WHERE CSCACD='BRA' AND CSA0ST&lt;&gt;'5' ORDER BY CSCACD"/>
  </connection>
  <connection id="8" xr16:uid="{00000000-0015-0000-FFFF-FFFF07000000}" odcFile="\\192.168.1.1\dhfolders\ODBC Connections\S105TXAM COUNT09.ODC" keepAlive="1" name="Connection111" type="5" refreshedVersion="4" background="1">
    <dbPr connection="Provider=MSDASQL.1;Persist Security Info=True;Extended Properties=&quot;DSN=DHDATASOURCE;&quot;;Initial Catalog=S105TXAM" command="SELECT CSB1CD, CSBCC6, CSCBTX, CSBIDT FROM DHDATA.JMCSREP WHERE CSCACD='BRA' AND CSA0ST&lt;&gt;'5' ORDER BY CSCACD"/>
  </connection>
  <connection id="9" xr16:uid="{00000000-0015-0000-FFFF-FFFF08000000}" odcFile="\\10.10.1.10\dhfolders\ODBC Connections\S105TXAM COUNT09.ODC" keepAlive="1" name="Connection112" type="5" refreshedVersion="4" background="1">
    <dbPr connection="Provider=MSDASQL.1;Persist Security Info=True;Extended Properties=&quot;DSN=DHDATASOURCE;&quot;;Initial Catalog=S105TXAM" command="SELECT CSB1CD, CSBCC6, CSCBTX, CSBIDT FROM DHDATA.JMCSREP WHERE CSCACD='BRA' AND CSA0ST&lt;&gt;'5' ORDER BY CSCACD"/>
  </connection>
  <connection id="10" xr16:uid="{00000000-0015-0000-FFFF-FFFF09000000}" odcFile="\\10.10.1.10\dhfolders\ODBC Connections\S105TXAM COUNT09.ODC" keepAlive="1" name="Connection113" type="5" refreshedVersion="4" background="1">
    <dbPr connection="Provider=MSDASQL.1;Persist Security Info=True;Extended Properties=&quot;DSN=DHDATASOURCE;&quot;;Initial Catalog=S105TXAM" command="SELECT CSB1CD, CSBCC6, CSCBTX, CSBIDT FROM DHDATA.JMCSREP WHERE CSCACD='RCH' AND CSA0ST&lt;&gt;'5' ORDER BY CSCACD"/>
  </connection>
  <connection id="11" xr16:uid="{00000000-0015-0000-FFFF-FFFF0A000000}" odcFile="\\10.10.1.10\dhfolders\ODBC Connections\S105TXAM COUNT09.ODC" keepAlive="1" name="Connection114" type="5" refreshedVersion="4" background="1">
    <dbPr connection="Provider=MSDASQL.1;Persist Security Info=True;Extended Properties=&quot;DSN=DHDATASOURCE;&quot;;Initial Catalog=S105TXAM" command="SELECT CSB1CD, CSBCC6, CSCBTX, CSBIDT FROM DHDATA.JMCSREP WHERE CSCACD='BRA' AND CSA0ST&lt;&gt;'5' ORDER BY CSCACD"/>
  </connection>
  <connection id="12" xr16:uid="{00000000-0015-0000-FFFF-FFFF0B000000}" odcFile="\\10.10.1.10\dhfolders\ODBC Connections\S105TXAM COUNT09.ODC" keepAlive="1" name="Connection115" type="5" refreshedVersion="4" background="1">
    <dbPr connection="Provider=MSDASQL.1;Persist Security Info=True;Extended Properties=&quot;DSN=DHDATASOURCE;&quot;;Initial Catalog=S105TXAM" command="SELECT CSB1CD, CSBCC6, CSCBTX, CSBIDT FROM DHDATA.JMCSREP WHERE CSCACD='RCH' AND CSA0ST&lt;&gt;'5' ORDER BY CSCACD"/>
  </connection>
  <connection id="13" xr16:uid="{00000000-0015-0000-FFFF-FFFF0C000000}" odcFile="\\10.10.1.10\dhfolders\ODBC Connections\S105TXAM COUNT09.ODC" keepAlive="1" name="Connection116" type="5" refreshedVersion="4" background="1">
    <dbPr connection="Provider=MSDASQL.1;Persist Security Info=True;Extended Properties=&quot;DSN=DHDATASOURCE;&quot;;Initial Catalog=S105TXAM" command="SELECT CSB1CD, CSBCC6, CSCBTX, CSBIDT FROM DHDATA.JMCSREP WHERE CSCACD='BRA' AND CSA0ST&lt;&gt;'5' ORDER BY CSCACD"/>
  </connection>
  <connection id="14" xr16:uid="{00000000-0015-0000-FFFF-FFFF0D000000}" odcFile="\\10.10.1.10\dhfolders\ODBC Connections\S105TXAM COUNT09.ODC" keepAlive="1" name="Connection117" type="5" refreshedVersion="4" background="1">
    <dbPr connection="Provider=MSDASQL.1;Persist Security Info=True;Extended Properties=&quot;DSN=DHDATASOURCE;&quot;;Initial Catalog=S105TXAM" command="SELECT CSB1CD, CSBCC6, CSCBTX, CSBIDT FROM DHDATA.JMCSREP WHERE CSCACD='RCH' AND CSA0ST&lt;&gt;'5' ORDER BY CSCACD"/>
  </connection>
  <connection id="15" xr16:uid="{00000000-0015-0000-FFFF-FFFF0E000000}" odcFile="\\192.168.1.1\dhfolders\ODBC Connections\S105TXAM COUNT09.ODC" keepAlive="1" name="Connection121" type="5" refreshedVersion="4" background="1">
    <dbPr connection="Provider=MSDASQL.1;Persist Security Info=True;Extended Properties=&quot;DSN=DHDATASOURCE;&quot;;Initial Catalog=S105TXAM" command="SELECT CSB1CD, CSBCC6, CSCBTX, CSBIDT FROM DHDATA.JMCSREP WHERE CSCACD='SDO' AND CSA0ST&lt;&gt;'5' ORDER BY CSCACD"/>
  </connection>
  <connection id="16" xr16:uid="{00000000-0015-0000-FFFF-FFFF0F000000}" odcFile="\\192.168.1.1\dhfolders\ODBC Connections\S105TXAM COUNT09.ODC" keepAlive="1" name="Connection122" type="5" refreshedVersion="4" background="1">
    <dbPr connection="Provider=MSDASQL.1;Persist Security Info=True;Extended Properties=&quot;DSN=DHDATASOURCE;&quot;;Initial Catalog=S105TXAM" command="SELECT CSB1CD, CSBCC6, CSCBTX, CSBIDT FROM DHDATA.JMCSREP WHERE CSCACD='SDO' AND CSA0ST&lt;&gt;'5' ORDER BY CSCACD"/>
  </connection>
  <connection id="17" xr16:uid="{00000000-0015-0000-FFFF-FFFF10000000}" odcFile="\\10.10.1.10\dhfolders\ODBC Connections\S105TXAM COUNT09.ODC" keepAlive="1" name="Connection123" type="5" refreshedVersion="4" background="1">
    <dbPr connection="Provider=MSDASQL.1;Persist Security Info=True;Extended Properties=&quot;DSN=DHDATASOURCE;&quot;;Initial Catalog=S105TXAM" command="SELECT CSB1CD, CSBCC6, CSCBTX, CSBIDT FROM DHDATA.JMCSREP WHERE CSCACD='REN' AND CSA0ST&lt;&gt;'5' ORDER BY CSCACD"/>
  </connection>
  <connection id="18" xr16:uid="{00000000-0015-0000-FFFF-FFFF11000000}" odcFile="\\10.10.1.10\dhfolders\ODBC Connections\S105TXAM COUNT09.ODC" keepAlive="1" name="Connection124" type="5" refreshedVersion="4" background="1">
    <dbPr connection="Provider=MSDASQL.1;Persist Security Info=True;Extended Properties=&quot;DSN=DHDATASOURCE;&quot;;Initial Catalog=S105TXAM" command="SELECT CSB1CD, CSBCC6, CSCBTX, CSBIDT FROM DHDATA.JMCSREP WHERE CSCACD='REN' AND CSA0ST&lt;&gt;'5' ORDER BY CSCACD"/>
  </connection>
  <connection id="19" xr16:uid="{00000000-0015-0000-FFFF-FFFF12000000}" odcFile="\\10.10.1.10\dhfolders\ODBC Connections\S105TXAM COUNT09.ODC" keepAlive="1" name="Connection125" type="5" refreshedVersion="4" background="1">
    <dbPr connection="Provider=MSDASQL.1;Persist Security Info=True;Extended Properties=&quot;DSN=DHDATASOURCE;&quot;;Initial Catalog=S105TXAM" command="SELECT CSB1CD, CSBCC6, CSCBTX, CSBIDT FROM DHDATA.JMCSREP WHERE CSCACD='REN' AND CSA0ST&lt;&gt;'5' ORDER BY CSCACD"/>
  </connection>
  <connection id="20" xr16:uid="{00000000-0015-0000-FFFF-FFFF13000000}" keepAlive="1" name="Connection13" type="5" refreshedVersion="0" background="1">
    <dbPr connection="Provider=MSDASQL.1;Persist Security Info=True;Extended Properties=&quot;DSN=DHDATASOURCE;&quot;;Initial Catalog=S105TXAM" commandType="0"/>
  </connection>
  <connection id="21" xr16:uid="{00000000-0015-0000-FFFF-FFFF14000000}" keepAlive="1" name="Connection14" type="5" refreshedVersion="0" background="1">
    <dbPr connection="Provider=MSDASQL.1;Persist Security Info=True;Extended Properties=&quot;DSN=DHDATASOURCE;&quot;;Initial Catalog=S105TXAM" commandType="0"/>
  </connection>
  <connection id="22" xr16:uid="{00000000-0015-0000-FFFF-FFFF15000000}" odcFile="\\192.168.1.1\dhfolders\ODBC Connections\S105TXAM COUNT09.ODC" keepAlive="1" name="Connection151" type="5" refreshedVersion="4" background="1">
    <dbPr connection="Provider=MSDASQL.1;Persist Security Info=True;Extended Properties=&quot;DSN=DHDATASOURCE;&quot;;Initial Catalog=S105TXAM" command="SELECT CSB1CD, CSBCC6, CSCBTX, CSBIDT FROM DHDATA.JMCSREP WHERE CSCACD='SEA' AND CSA0ST&lt;&gt;'5' ORDER BY CSCACD"/>
  </connection>
  <connection id="23" xr16:uid="{00000000-0015-0000-FFFF-FFFF16000000}" odcFile="\\192.168.1.1\dhfolders\ODBC Connections\S105TXAM COUNT09.ODC" keepAlive="1" name="Connection152" type="5" refreshedVersion="4" background="1">
    <dbPr connection="Provider=MSDASQL.1;Persist Security Info=True;Extended Properties=&quot;DSN=DHDATASOURCE;&quot;;Initial Catalog=S105TXAM" command="SELECT CSB1CD, CSBCC6, CSCBTX, CSBIDT FROM DHDATA.JMCSREP WHERE CSCACD='SEA' AND CSA0ST&lt;&gt;'5' ORDER BY CSCACD"/>
  </connection>
  <connection id="24" xr16:uid="{00000000-0015-0000-FFFF-FFFF17000000}" odcFile="\\10.10.1.10\dhfolders\ODBC Connections\S105TXAM COUNT09.ODC" keepAlive="1" name="Connection153" type="5" refreshedVersion="4" background="1">
    <dbPr connection="Provider=MSDASQL.1;Persist Security Info=True;Extended Properties=&quot;DSN=DHDATASOURCE;&quot;;Initial Catalog=S105TXAM" command="SELECT CSB1CD, CSBCC6, CSCBTX, CSBIDT FROM DHDATA.JMCSREP WHERE CSCACD='SDO' AND CSA0ST&lt;&gt;'5' ORDER BY CSCACD"/>
  </connection>
  <connection id="25" xr16:uid="{00000000-0015-0000-FFFF-FFFF18000000}" odcFile="\\10.10.1.10\dhfolders\ODBC Connections\S105TXAM COUNT09.ODC" keepAlive="1" name="Connection154" type="5" refreshedVersion="4" background="1">
    <dbPr connection="Provider=MSDASQL.1;Persist Security Info=True;Extended Properties=&quot;DSN=DHDATASOURCE;&quot;;Initial Catalog=S105TXAM" command="SELECT CSB1CD, CSBCC6, CSCBTX, CSBIDT FROM DHDATA.JMCSREP WHERE CSCACD='SDO' AND CSA0ST&lt;&gt;'5' ORDER BY CSCACD"/>
  </connection>
  <connection id="26" xr16:uid="{00000000-0015-0000-FFFF-FFFF19000000}" odcFile="\\10.10.1.10\dhfolders\ODBC Connections\S105TXAM COUNT09.ODC" keepAlive="1" name="Connection155" type="5" refreshedVersion="4" background="1">
    <dbPr connection="Provider=MSDASQL.1;Persist Security Info=True;Extended Properties=&quot;DSN=DHDATASOURCE;&quot;;Initial Catalog=S105TXAM" command="SELECT CSB1CD, CSBCC6, CSCBTX, CSBIDT FROM DHDATA.JMCSREP WHERE CSCACD='SDO' AND CSA0ST&lt;&gt;'5' ORDER BY CSCACD"/>
  </connection>
  <connection id="27" xr16:uid="{00000000-0015-0000-FFFF-FFFF1A000000}" odcFile="\\192.168.1.1\dhfolders\ODBC Connections\S105TXAM COUNT09.ODC" keepAlive="1" name="Connection161" type="5" refreshedVersion="4" background="1">
    <dbPr connection="Provider=MSDASQL.1;Persist Security Info=True;Extended Properties=&quot;DSN=DHDATASOURCE;&quot;;Initial Catalog=S105TXAM" command="SELECT CSB1CD, CSBCC6, CSCBTX, CSBIDT FROM DHDATA.JMCSREP WHERE CSCACD='UTH' AND CSA0ST&lt;&gt;'5' ORDER BY CSCACD"/>
  </connection>
  <connection id="28" xr16:uid="{00000000-0015-0000-FFFF-FFFF1B000000}" odcFile="\\192.168.1.1\dhfolders\ODBC Connections\S105TXAM COUNT09.ODC" keepAlive="1" name="Connection162" type="5" refreshedVersion="4" background="1">
    <dbPr connection="Provider=MSDASQL.1;Persist Security Info=True;Extended Properties=&quot;DSN=DHDATASOURCE;&quot;;Initial Catalog=S105TXAM" command="SELECT CSB1CD, CSBCC6, CSCBTX, CSBIDT FROM DHDATA.JMCSREP WHERE CSCACD='UTH' AND CSA0ST&lt;&gt;'5' ORDER BY CSCACD"/>
  </connection>
  <connection id="29" xr16:uid="{00000000-0015-0000-FFFF-FFFF1C000000}" odcFile="\\10.10.1.10\dhfolders\ODBC Connections\S105TXAM COUNT09.ODC" keepAlive="1" name="Connection163" type="5" refreshedVersion="4" background="1">
    <dbPr connection="Provider=MSDASQL.1;Persist Security Info=True;Extended Properties=&quot;DSN=DHDATASOURCE;&quot;;Initial Catalog=S105TXAM" command="SELECT CSB1CD, CSBCC6, CSCBTX, CSBIDT FROM DHDATA.JMCSREP WHERE CSCACD='SEA' AND CSA0ST&lt;&gt;'5' ORDER BY CSCACD"/>
  </connection>
  <connection id="30" xr16:uid="{00000000-0015-0000-FFFF-FFFF1D000000}" odcFile="\\10.10.1.10\dhfolders\ODBC Connections\S105TXAM COUNT09.ODC" keepAlive="1" name="Connection164" type="5" refreshedVersion="4" background="1">
    <dbPr connection="Provider=MSDASQL.1;Persist Security Info=True;Extended Properties=&quot;DSN=DHDATASOURCE;&quot;;Initial Catalog=S105TXAM" command="SELECT CSB1CD, CSBCC6, CSCBTX, CSBIDT FROM DHDATA.JMCSREP WHERE CSCACD='SEA' AND CSA0ST&lt;&gt;'5' ORDER BY CSCACD"/>
  </connection>
  <connection id="31" xr16:uid="{00000000-0015-0000-FFFF-FFFF1E000000}" odcFile="\\10.10.1.10\dhfolders\ODBC Connections\S105TXAM COUNT09.ODC" keepAlive="1" name="Connection165" type="5" refreshedVersion="4" background="1">
    <dbPr connection="Provider=MSDASQL.1;Persist Security Info=True;Extended Properties=&quot;DSN=DHDATASOURCE;&quot;;Initial Catalog=S105TXAM" command="SELECT CSB1CD, CSBCC6, CSCBTX, CSBIDT FROM DHDATA.JMCSREP WHERE CSCACD='SEA' AND CSA0ST&lt;&gt;'5' ORDER BY CSCACD"/>
  </connection>
  <connection id="32" xr16:uid="{00000000-0015-0000-FFFF-FFFF1F000000}" keepAlive="1" name="Connection17" type="5" refreshedVersion="0" background="1">
    <dbPr connection="Provider=MSDASQL.1;Persist Security Info=True;Extended Properties=&quot;DSN=DHDATASOURCE;&quot;;Initial Catalog=S105TXAM" commandType="0"/>
  </connection>
  <connection id="33" xr16:uid="{00000000-0015-0000-FFFF-FFFF20000000}" odcFile="\\10.10.1.10\dhfolders\ODBC Connections\S105TXAM COUNT09.ODC" keepAlive="1" name="Connection181" type="5" refreshedVersion="4" background="1">
    <dbPr connection="Provider=MSDASQL.1;Persist Security Info=True;Extended Properties=&quot;DSN=DHDATASOURCE;&quot;;Initial Catalog=S105TXAM" command="SELECT CSB1CD, CSBCC6, CSCBTX, CSBIDT FROM DHDATA.JMCSREP WHERE CSCACD='UTH' AND CSA0ST&lt;&gt;'5' ORDER BY CSCACD"/>
  </connection>
  <connection id="34" xr16:uid="{00000000-0015-0000-FFFF-FFFF21000000}" odcFile="\\10.10.1.10\dhfolders\ODBC Connections\S105TXAM COUNT09.ODC" keepAlive="1" name="Connection182" type="5" refreshedVersion="4" background="1">
    <dbPr connection="Provider=MSDASQL.1;Persist Security Info=True;Extended Properties=&quot;DSN=DHDATASOURCE;&quot;;Initial Catalog=S105TXAM" command="SELECT CSB1CD, CSBCC6, CSCBTX, CSBIDT FROM DHDATA.JMCSREP WHERE CSCACD='UTH' AND CSA0ST&lt;&gt;'5' ORDER BY CSCACD"/>
  </connection>
  <connection id="35" xr16:uid="{00000000-0015-0000-FFFF-FFFF22000000}" odcFile="\\10.10.1.10\dhfolders\ODBC Connections\S105TXAM COUNT09.ODC" keepAlive="1" name="Connection183" type="5" refreshedVersion="4" background="1">
    <dbPr connection="Provider=MSDASQL.1;Persist Security Info=True;Extended Properties=&quot;DSN=DHDATASOURCE;&quot;;Initial Catalog=S105TXAM" command="SELECT CSB1CD, CSBCC6, CSCBTX, CSBIDT FROM DHDATA.JMCSREP WHERE CSCACD='UTH' AND CSA0ST&lt;&gt;'5' ORDER BY CSCACD"/>
  </connection>
  <connection id="36" xr16:uid="{1D2BC591-7185-4B60-A6BB-2D825A39D71F}" odcFile="\\10.10.2.9\dhfolders\ODBC Connections\S105TXAM COUNT09.ODC" keepAlive="1" name="Connection19" type="5" refreshedVersion="7" background="1">
    <dbPr connection="Provider=MSDASQL.1;Persist Security Info=True;Extended Properties=&quot;DSN=DHDATASOURCE;&quot;;Initial Catalog=S105TXAM" command="SELECT H1B1CD, H1AGST, SUM(H1FQVA) FROM DHDATA.DHH1CPP WHERE H1AGST='1' AND H1B1CD&lt;&gt;'' AND H1ADCD NOT IN ('000229', '000325', '000368') AND H1BKNB=2026 AND H1BJNB=2GROUP BY H1B1CD, H1AGST"/>
  </connection>
  <connection id="37" xr16:uid="{005344A9-BD01-4990-9CD2-CB5BC9E8693E}" odcFile="\\10.10.2.9\dhfolders\ODBC Connections\S105TXAM COUNT09.ODC" keepAlive="1" name="Connection20" type="5" refreshedVersion="7" background="1">
    <dbPr connection="Provider=MSDASQL.1;Persist Security Info=True;Extended Properties=&quot;DSN=DHDATASOURCE;&quot;;Initial Catalog=S105TXAM" command="SELECT H1B1CD, H1AGST, SUM(H1FQVA) FROM DHDATA.DHH1CPP WHERE H1AGST='1' AND H1B1CD&lt;&gt;'' AND H1ADCD IN ('000229', '000325', '000368')  AND H1BKNB=2026 AND H1BJNB=2GROUP BY H1B1CD, H1AGST"/>
  </connection>
  <connection id="38" xr16:uid="{A82F1ED5-EE09-45AF-A560-7C5902B9702D}" odcFile="\\10.10.2.9\dhfolders\ODBC Connections\S105TXAM COUNT09.ODC" keepAlive="1" name="Connection21" type="5" refreshedVersion="7" background="1">
    <dbPr connection="Provider=MSDASQL.1;Persist Security Info=True;Extended Properties=&quot;DSN=DHDATASOURCE;&quot;;Initial Catalog=S105TXAM" command="SELECT FRB1CD, SUM(FRFTVA+ FRGQVA+ FRGRVA+ FRGSVA), SUM(FRFSVA+ FRGMVA+ FRGNVA+ FRGOVA) FROM DHFRCPP WHERE FRB1CD&lt;&gt;'' AND FRDIDT='1260228' GROUP BY FRB1CD"/>
  </connection>
  <connection id="39" xr16:uid="{00000000-0015-0000-FFFF-FFFF25000000}" odcFile="\\10.10.1.10\dhfolders\ODBC Connections\S105TXAM COUNT09.ODC" keepAlive="1" name="Connection210" type="5" refreshedVersion="4" background="1">
    <dbPr connection="Provider=MSDASQL.1;Persist Security Info=True;Extended Properties=&quot;DSN=DHDATASOURCE;&quot;;Initial Catalog=S105TXAM" command="SELECT CSB1CD, CSBCC6, CSCBTX, CSBIDT FROM DHDATA.JMCSREP WHERE CSCACD='COL' AND CSA0ST&lt;&gt;'5' ORDER BY CSCACD"/>
  </connection>
  <connection id="40" xr16:uid="{00000000-0015-0000-FFFF-FFFF26000000}" odcFile="\\10.10.1.10\dhfolders\ODBC Connections\S105TXAM COUNT09.ODC" keepAlive="1" name="Connection211" type="5" refreshedVersion="4" background="1">
    <dbPr connection="Provider=MSDASQL.1;Persist Security Info=True;Extended Properties=&quot;DSN=DHDATASOURCE;&quot;;Initial Catalog=S105TXAM" command="SELECT CSB1CD, CSBCC6, CSCBTX, CSBIDT FROM DHDATA.JMCSREP WHERE CSCACD='COL' AND CSA0ST&lt;&gt;'5' ORDER BY CSCACD"/>
  </connection>
  <connection id="41" xr16:uid="{00000000-0015-0000-FFFF-FFFF27000000}" odcFile="\\10.10.1.10\dhfolders\ODBC Connections\S105TXAM COUNT09.ODC" keepAlive="1" name="Connection212" type="5" refreshedVersion="4" background="1">
    <dbPr connection="Provider=MSDASQL.1;Persist Security Info=True;Extended Properties=&quot;DSN=DHDATASOURCE;&quot;;Initial Catalog=S105TXAM" command="SELECT CSB1CD, CSBCC6, CSCBTX, CSBIDT FROM DHDATA.JMCSREP WHERE CSCACD='COL' AND CSA0ST&lt;&gt;'5' ORDER BY CSCACD"/>
  </connection>
  <connection id="42" xr16:uid="{00000000-0015-0000-FFFF-FFFF28000000}" keepAlive="1" name="Connection22" type="5" refreshedVersion="0" background="1">
    <dbPr connection="Provider=MSDASQL.1;Persist Security Info=True;Extended Properties=&quot;DSN=DHDATASOURCE;&quot;;Initial Catalog=S105TXAM" commandType="0"/>
  </connection>
  <connection id="43" xr16:uid="{3747137E-C3E7-430A-9120-0AB3042D9273}" odcFile="\\10.10.2.9\dhfolders\ODBC Connections\S105TXAM COUNT09.ODC" keepAlive="1" name="Connection23" type="5" refreshedVersion="7" background="1">
    <dbPr connection="Provider=MSDASQL.1;Persist Security Info=True;Extended Properties=&quot;DSN=DHDATASOURCE;&quot;;Initial Catalog=S105TXAM" command="SELECT COB1CD, SUM(COALVA) FROM DHSTATS.JMCOCPP25 JOIN JMAJREP ON COADCD=AJADCD WHERE AJAYST='1' AND COFIDT&lt;=1250228 and COA0DT&lt;=1250228 GROUP BY COB1CD ORDER BY COB1CD"/>
  </connection>
  <connection id="44" xr16:uid="{EF9733FD-4DF6-4AB8-AB99-676C6662A422}" odcFile="\\10.10.2.9\dhfolders\ODBC Connections\S105TXAM COUNT09.ODC" keepAlive="1" name="Connection24" type="5" refreshedVersion="7" background="1">
    <dbPr connection="Provider=MSDASQL.1;Persist Security Info=True;Extended Properties=&quot;DSN=DHDATASOURCE;&quot;;Initial Catalog=S105TXAM" command="SELECT COB1CD, SUM(COALVA) FROM DHSTATS.JMCOCPP25 JOIN JMAJREP ON COADCD=AJADCD WHERE AJAYST='4' AND COFIDT&lt;=1250228 and COA0DT&lt;=1250228 GROUP BY COB1CD ORDER BY COB1CD"/>
  </connection>
  <connection id="45" xr16:uid="{190A3CB0-39B7-402B-AC28-92EDD2ADF49E}" odcFile="\\10.10.2.9\dhfolders\ODBC Connections\S105TXAM COUNT09.ODC" keepAlive="1" name="Connection25" type="5" refreshedVersion="7" background="1">
    <dbPr connection="Provider=MSDASQL.1;Persist Security Info=True;Extended Properties=&quot;DSN=DHDATASOURCE;&quot;;Initial Catalog=S105TXAM" command="SELECT FOB1CD, COUNT(*) FROM (SELECT DISTINCT FOB1CD, FOA7CD FROM DHFOCPP JOIN DHC2CPP ON C2A7CD=FOA7CD JOIN JMBUCPP ON BUA7CD=FOA7CD AND BUCDCD=C2CDCD AND BUADST='01' AND BUCMST IN ('4', '5') AND ((BUA0DT BETWEEN 1260101 AND 1260228 AND BUAJDT&lt;=1260228) OR (BUA0DT&lt;1260101 AND BUAJDT BETWEEN 1260101 AND 1260228)) JOIN JMAJREP ON AJADCD=C2ADCD WHERE FODOTT='Y' AND FODNTT='I' AND AJAYST='1') A WHERE NOT EXISTS (SELECT * FROM DHC1CPP WHERE C1A7CD = FOA7CD AND C1AHCD LIKE 'RIP% ' ) GROUP BY FOB1CD ORDER BY FOB1CD"/>
  </connection>
  <connection id="46" xr16:uid="{00000000-0015-0000-FFFF-FFFF2C000000}" keepAlive="1" name="Connection26" type="5" refreshedVersion="0" background="1">
    <dbPr connection="Provider=MSDASQL.1;Persist Security Info=True;Extended Properties=&quot;DSN=DHDATASOURCE;&quot;;Initial Catalog=S105TXAM" commandType="0"/>
  </connection>
  <connection id="47" xr16:uid="{C4471998-A954-45FE-92E1-52FB33F04218}" odcFile="\\10.10.2.9\dhfolders\ODBC Connections\S105TXAM COUNT09.ODC" keepAlive="1" name="Connection27" type="5" refreshedVersion="7" background="1">
    <dbPr connection="Provider=MSDASQL.1;Persist Security Info=True;Extended Properties=&quot;DSN=DHDATASOURCE;&quot;;Initial Catalog=S105TXAM" command="SELECT FOB1CD, COUNT(*) FROM (SELECT DISTINCT FOB1CD, FOA7CD FROM DHFOCPP JOIN DHC2CPP ON C2A7CD=FOA7CD JOIN JMBUCPP ON BUA7CD=FOA7CD AND BUCDCD=C2CDCD AND BUADST='01' AND BUCMST IN ('4', '5') AND ((BUA0DT BETWEEN 1260101 AND 1260228 AND BUAJDT&lt;=1260228) OR (BUA0DT&lt;1260101 AND BUAJDT BETWEEN 1260101 AND 1260228)) JOIN JMAJREP ON AJADCD=C2ADCD WHERE FODOTT='Y' AND FODNTT='I' AND AJAYST='4') A GROUP BY FOB1CD ORDER BY FOB1CD"/>
  </connection>
  <connection id="48" xr16:uid="{00000000-0015-0000-FFFF-FFFF2E000000}" odcFile="\\192.168.1.1\dhfolders\ODBC Connections\S105TXAM COUNT09.ODC" keepAlive="1" name="Connection28" type="5" refreshedVersion="4" background="1">
    <dbPr connection="Provider=MSDASQL.1;Persist Security Info=True;Extended Properties=&quot;DSN=DHDATASOURCE;&quot;;Initial Catalog=S105TXAM" command="SELECT CSB1CD, CSBCC6, CSCBTX, CSBIDT FROM DHDATA.JMCSREP WHERE CSCACD='FNO' AND CSA0ST&lt;&gt;'5' ORDER BY CSCACD"/>
  </connection>
  <connection id="49" xr16:uid="{00000000-0015-0000-FFFF-FFFF2F000000}" odcFile="\\192.168.1.1\dhfolders\ODBC Connections\S105TXAM COUNT09.ODC" keepAlive="1" name="Connection29" type="5" refreshedVersion="4" background="1">
    <dbPr connection="Provider=MSDASQL.1;Persist Security Info=True;Extended Properties=&quot;DSN=DHDATASOURCE;&quot;;Initial Catalog=S105TXAM" command="SELECT CSB1CD, CSBCC6, CSCBTX, CSBIDT FROM DHDATA.JMCSREP WHERE CSCACD='FNO' AND CSA0ST&lt;&gt;'5' ORDER BY CSCACD"/>
  </connection>
  <connection id="50" xr16:uid="{00000000-0015-0000-FFFF-FFFF30000000}" keepAlive="1" name="Connection3" type="5" refreshedVersion="0" background="1">
    <dbPr connection="Provider=MSDASQL.1;Persist Security Info=True;Extended Properties=&quot;DSN=DHDATASOURCE;&quot;;Initial Catalog=S105TXAM" commandType="0"/>
  </connection>
  <connection id="51" xr16:uid="{D8C5DC18-F123-4641-B03B-CCFAF337129C}" odcFile="\\10.10.2.9\dhfolders\ODBC Connections\S105TXAM COUNT09.ODC" keepAlive="1" name="Connection30" type="5" refreshedVersion="7" background="1">
    <dbPr connection="Provider=MSDASQL.1;Persist Security Info=True;Extended Properties=&quot;DSN=DHDATASOURCE;&quot;;Initial Catalog=S105TXAM" command="SELECT FOB1CD, COUNT(*) FROM (SELECT DISTINCT FOB1CD, FOA7CD FROM DHFOCPP JOIN DHC2CPP ON C2A7CD=FOA7CD JOIN JMBUCPP ON BUA7CD=FOA7CD AND BUCDCD=C2CDCD AND BUADST='01' AND BUCMST IN ('4', '5') AND ((BUA0DT BETWEEN 1250101 AND 1251231 AND BUAJDT&lt;=1251231) OR (BUA0DT&lt;1250101 AND BUAJDT BETWEEN 1250101 AND 1251231)) JOIN JMAJREP ON AJADCD=C2ADCD WHERE FODOTT='Y' AND FODNTT='I' AND AJAYST='1') A WHERE NOT EXISTS (SELECT * FROM DHC1CPP WHERE C1A7CD = FOA7CD AND C1AHCD LIKE 'RIP% ' ) GROUP BY FOB1CD ORDER BY FOB1CD"/>
  </connection>
  <connection id="52" xr16:uid="{45F6195C-10D5-4760-817E-E2C0CA0E6EA0}" odcFile="\\10.10.2.9\dhfolders\ODBC Connections\S105TXAM COUNT09.ODC" keepAlive="1" name="Connection31" type="5" refreshedVersion="7" background="1">
    <dbPr connection="Provider=MSDASQL.1;Persist Security Info=True;Extended Properties=&quot;DSN=DHDATASOURCE;&quot;;Initial Catalog=S105TXAM" command="SELECT FOB1CD, COUNT(*) FROM (SELECT DISTINCT FOB1CD, FOA7CD FROM DHFOCPP JOIN DHC2CPP ON C2A7CD=FOA7CD JOIN JMBUCPP ON BUA7CD=FOA7CD AND BUCDCD=C2CDCD AND BUADST='01' AND BUCMST IN ('4', '5') AND ((BUA0DT BETWEEN 1250101 AND 1251231 AND BUAJDT&lt;=1251231) OR (BUA0DT&lt;1250101 AND BUAJDT BETWEEN 1250101 AND 1251231)) JOIN JMAJREP ON AJADCD=C2ADCD WHERE FODOTT='Y' AND FODNTT='I' AND AJAYST='4') A GROUP BY FOB1CD ORDER BY FOB1CD"/>
  </connection>
  <connection id="53" xr16:uid="{F2005943-FE07-4AA2-A8DC-BAF72DEA94E7}" odcFile="\\10.10.2.9\dhfolders\ODBC Connections\S105TXAM COUNT09.ODC" keepAlive="1" name="Connection32" type="5" refreshedVersion="7" background="1">
    <dbPr connection="Provider=MSDASQL.1;Persist Security Info=True;Extended Properties=&quot;DSN=DHDATASOURCE;&quot;;Initial Catalog=S105TXAM" command="SELECT FOB1CD, COUNT(*) FROM (SELECT DISTINCT FOB1CD, FOA7CD FROM DHFOCPP JOIN DHC2CPP ON C2A7CD=FOA7CD JOIN JMBUCPP ON BUA7CD=FOA7CD AND BUCDCD=C2CDCD AND BUADST='01' AND BUCMST IN ('4', '5') AND ((BUA0DT BETWEEN 1250101 AND 1250228 AND BUAJDT&lt;=1250228) OR (BUA0DT&lt;1250101 AND BUAJDT BETWEEN 1250101 AND 1250228)) JOIN JMAJREP ON AJADCD=C2ADCD WHERE FODOTT='Y' AND FODNTT='I' AND AJAYST='1') A WHERE NOT EXISTS (SELECT * FROM DHC1CPP WHERE C1A7CD = FOA7CD AND C1AHCD LIKE 'RIP% ' ) GROUP BY FOB1CD ORDER BY FOB1CD"/>
  </connection>
  <connection id="54" xr16:uid="{54B0B95B-3D07-431F-AFB1-B576ACD04570}" odcFile="\\10.10.2.9\dhfolders\ODBC Connections\S105TXAM COUNT09.ODC" keepAlive="1" name="Connection33" type="5" refreshedVersion="7" background="1">
    <dbPr connection="Provider=MSDASQL.1;Persist Security Info=True;Extended Properties=&quot;DSN=DHDATASOURCE;&quot;;Initial Catalog=S105TXAM" command="SELECT FOB1CD, COUNT(*) FROM (SELECT DISTINCT FOB1CD, FOA7CD FROM DHFOCPP JOIN DHC2CPP ON C2A7CD=FOA7CD JOIN JMBUCPP ON BUA7CD=FOA7CD AND BUCDCD=C2CDCD AND BUADST='01' AND BUCMST IN ('4', '5') AND ((BUA0DT BETWEEN 1250101 AND 1250228 AND BUAJDT&lt;=1250228) OR (BUA0DT&lt;1250101 AND BUAJDT BETWEEN 1250101 AND 1250228)) JOIN JMAJREP ON AJADCD=C2ADCD WHERE FODOTT='Y' AND FODNTT='I' AND AJAYST='4') A GROUP BY FOB1CD ORDER BY FOB1CD"/>
  </connection>
  <connection id="55" xr16:uid="{E13063D2-D57A-48B2-9DB7-3FA8122ED1D8}" odcFile="\\10.10.2.9\dhfolders\ODBC Connections\S105TXAM COUNT09.ODC" keepAlive="1" name="Connection34" type="5" refreshedVersion="7" background="1">
    <dbPr connection="Provider=MSDASQL.1;Persist Security Info=True;Extended Properties=&quot;DSN=DHDATASOURCE;&quot;;Initial Catalog=S105TXAM" command="SELECT FOB1CD, COUNT(*) FROM DHFOCPP JOIN DHC2CPP ON C2A7CD=FOA7CD JOIN JMBUCPP ON BUA7CD=FOA7CD AND BUCDCD=C2CDCD AND BUADST='01' AND FOB1CD&lt;&gt;'' AND ((BUA0DT BETWEEN 1250228 AND 1260228 AND BUAJDT&lt;=1260228)   OR (BUA0DT&lt;1250228 AND BUAJDT BETWEEN 1250228 AND 1260228)) JOIN JMAJREP ON AJADCD=C2ADCD WHERE FODOTT='Y' AND FODNTT ='D' AND AJAYST='1' AND NOT EXISTS (SELECT * FROM DHC1CPP WHERE C1A7CD=FOA7CD AND C1AHCD LIKE 'RIP%') GROUP BY FOB1CD ORDER BY FOB1CD"/>
  </connection>
  <connection id="56" xr16:uid="{B56DEC4C-B4FB-41E0-B3F8-0237AB2EF79F}" odcFile="\\10.10.2.9\dhfolders\ODBC Connections\S105TXAM COUNT09.ODC" keepAlive="1" name="Connection341" type="5" refreshedVersion="7" background="1">
    <dbPr connection="Provider=MSDASQL.1;Persist Security Info=True;Extended Properties=&quot;DSN=DHDATASOURCE;&quot;;Initial Catalog=S105TXAM" command="SELECT FOB1CD, FOA7CD, BUA0DT, FODNTT FROM DHFOCPP JOIN DHC2CPP ON C2A7CD=FOA7CD JOIN JMBUCPP ON BUA7CD=FOA7CD AND BUCDCD=C2CDCD AND BUADST='01' AND FOB1CD&lt;&gt;'' AND ((BUA0DT BETWEEN 1250228 AND 1260228 AND BUAJDT&lt;=1260228)   OR (BUA0DT&lt;1250228 AND BUAJDT BETWEEN 1250228 AND 1260228)) JOIN JMAJREP ON AJADCD=C2ADCD WHERE FODOTT='Y' AND FODNTT IN ('Q', 'L', 'B', 'I' , 'D' ) AND NOT EXISTS (SELECT * FROM DHC1CPP WHERE C1A7CD=FOA7CD AND C1AHCD LIKE 'RIP%')"/>
  </connection>
  <connection id="57" xr16:uid="{00000000-0015-0000-FFFF-FFFF38000000}" odcFile="\\192.168.1.1\dhfolders\ODBC Connections\S105TXAM COUNT09.ODC" keepAlive="1" name="Connection41" type="5" refreshedVersion="4" background="1">
    <dbPr connection="Provider=MSDASQL.1;Persist Security Info=True;Extended Properties=&quot;DSN=DHDATASOURCE;&quot;;Initial Catalog=S105TXAM" command="SELECT CSB1CD, CSBCC6, CSCBTX, CSBIDT FROM DHDATA.JMCSREP WHERE CSCACD='LAF' AND CSA0ST&lt;&gt;'5' ORDER BY CSCACD"/>
  </connection>
  <connection id="58" xr16:uid="{00000000-0015-0000-FFFF-FFFF39000000}" odcFile="\\192.168.1.1\dhfolders\ODBC Connections\S105TXAM COUNT09.ODC" keepAlive="1" name="Connection42" type="5" refreshedVersion="4" background="1">
    <dbPr connection="Provider=MSDASQL.1;Persist Security Info=True;Extended Properties=&quot;DSN=DHDATASOURCE;&quot;;Initial Catalog=S105TXAM" command="SELECT CSB1CD, CSBCC6, CSCBTX, CSBIDT FROM DHDATA.JMCSREP WHERE CSCACD='LAF' AND CSA0ST&lt;&gt;'5' ORDER BY CSCACD"/>
  </connection>
  <connection id="59" xr16:uid="{00000000-0015-0000-FFFF-FFFF3A000000}" odcFile="\\10.10.1.10\dhfolders\ODBC Connections\S105TXAM COUNT09.ODC" keepAlive="1" name="Connection43" type="5" refreshedVersion="4" background="1">
    <dbPr connection="Provider=MSDASQL.1;Persist Security Info=True;Extended Properties=&quot;DSN=DHDATASOURCE;&quot;;Initial Catalog=S105TXAM" command="SELECT CSB1CD, CSBCC6, CSCBTX, CSBIDT FROM DHDATA.JMCSREP WHERE CSCACD='FNO' AND CSA0ST&lt;&gt;'5' ORDER BY CSCACD"/>
  </connection>
  <connection id="60" xr16:uid="{00000000-0015-0000-FFFF-FFFF3B000000}" odcFile="\\10.10.1.10\dhfolders\ODBC Connections\S105TXAM COUNT09.ODC" keepAlive="1" name="Connection44" type="5" refreshedVersion="4" background="1">
    <dbPr connection="Provider=MSDASQL.1;Persist Security Info=True;Extended Properties=&quot;DSN=DHDATASOURCE;&quot;;Initial Catalog=S105TXAM" command="SELECT CSB1CD, CSBCC6, CSCBTX, CSBIDT FROM DHDATA.JMCSREP WHERE CSCACD='FNO' AND CSA0ST&lt;&gt;'5' ORDER BY CSCACD"/>
  </connection>
  <connection id="61" xr16:uid="{00000000-0015-0000-FFFF-FFFF3C000000}" odcFile="\\10.10.1.10\dhfolders\ODBC Connections\S105TXAM COUNT09.ODC" keepAlive="1" name="Connection45" type="5" refreshedVersion="4" background="1">
    <dbPr connection="Provider=MSDASQL.1;Persist Security Info=True;Extended Properties=&quot;DSN=DHDATASOURCE;&quot;;Initial Catalog=S105TXAM" command="SELECT CSB1CD, CSBCC6, CSCBTX, CSBIDT FROM DHDATA.JMCSREP WHERE CSCACD='FNO' AND CSA0ST&lt;&gt;'5' ORDER BY CSCACD"/>
  </connection>
  <connection id="62" xr16:uid="{00000000-0015-0000-FFFF-FFFF3D000000}" odcFile="\\192.168.1.1\dhfolders\ODBC Connections\S105TXAM COUNT09.ODC" keepAlive="1" name="Connection51" type="5" refreshedVersion="4" background="1">
    <dbPr connection="Provider=MSDASQL.1;Persist Security Info=True;Extended Properties=&quot;DSN=DHDATASOURCE;&quot;;Initial Catalog=S105TXAM" command="SELECT CSB1CD, CSBCC6, CSCBTX, CSBIDT FROM DHDATA.JMCSREP WHERE CSCACD='LKO' AND CSA0ST&lt;&gt;'5' ORDER BY CSCACD"/>
  </connection>
  <connection id="63" xr16:uid="{00000000-0015-0000-FFFF-FFFF3E000000}" odcFile="\\192.168.1.1\dhfolders\ODBC Connections\S105TXAM COUNT09.ODC" keepAlive="1" name="Connection52" type="5" refreshedVersion="4" background="1">
    <dbPr connection="Provider=MSDASQL.1;Persist Security Info=True;Extended Properties=&quot;DSN=DHDATASOURCE;&quot;;Initial Catalog=S105TXAM" command="SELECT CSB1CD, CSBCC6, CSCBTX, CSBIDT FROM DHDATA.JMCSREP WHERE CSCACD='LKO' AND CSA0ST&lt;&gt;'5' ORDER BY CSCACD"/>
  </connection>
  <connection id="64" xr16:uid="{00000000-0015-0000-FFFF-FFFF3F000000}" odcFile="\\10.10.1.10\dhfolders\ODBC Connections\S105TXAM COUNT09.ODC" keepAlive="1" name="Connection53" type="5" refreshedVersion="4" background="1">
    <dbPr connection="Provider=MSDASQL.1;Persist Security Info=True;Extended Properties=&quot;DSN=DHDATASOURCE;&quot;;Initial Catalog=S105TXAM" command="SELECT CSB1CD, CSBCC6, CSCBTX, CSBIDT FROM DHDATA.JMCSREP WHERE CSCACD='LAF' AND CSA0ST&lt;&gt;'5' ORDER BY CSCACD"/>
  </connection>
  <connection id="65" xr16:uid="{00000000-0015-0000-FFFF-FFFF40000000}" odcFile="\\10.10.1.10\dhfolders\ODBC Connections\S105TXAM COUNT09.ODC" keepAlive="1" name="Connection54" type="5" refreshedVersion="4" background="1">
    <dbPr connection="Provider=MSDASQL.1;Persist Security Info=True;Extended Properties=&quot;DSN=DHDATASOURCE;&quot;;Initial Catalog=S105TXAM" command="SELECT CSB1CD, CSBCC6, CSCBTX, CSBIDT FROM DHDATA.JMCSREP WHERE CSCACD='LAF' AND CSA0ST&lt;&gt;'5' ORDER BY CSCACD"/>
  </connection>
  <connection id="66" xr16:uid="{00000000-0015-0000-FFFF-FFFF41000000}" odcFile="\\10.10.1.10\dhfolders\ODBC Connections\S105TXAM COUNT09.ODC" keepAlive="1" name="Connection55" type="5" refreshedVersion="4" background="1">
    <dbPr connection="Provider=MSDASQL.1;Persist Security Info=True;Extended Properties=&quot;DSN=DHDATASOURCE;&quot;;Initial Catalog=S105TXAM" command="SELECT CSB1CD, CSBCC6, CSCBTX, CSBIDT FROM DHDATA.JMCSREP WHERE CSCACD='LAF' AND CSA0ST&lt;&gt;'5' ORDER BY CSCACD"/>
  </connection>
  <connection id="67" xr16:uid="{00000000-0015-0000-FFFF-FFFF42000000}" odcFile="\\192.168.1.1\dhfolders\ODBC Connections\S105TXAM COUNT09.ODC" keepAlive="1" name="Connection61" type="5" refreshedVersion="4" background="1">
    <dbPr connection="Provider=MSDASQL.1;Persist Security Info=True;Extended Properties=&quot;DSN=DHDATASOURCE;&quot;;Initial Catalog=S105TXAM" command="SELECT CSB1CD, CSBCC6, CSCBTX, CSBIDT FROM DHDATA.JMCSREP WHERE CSCACD='MHL' AND CSA0ST&lt;&gt;'5' ORDER BY CSCACD"/>
  </connection>
  <connection id="68" xr16:uid="{00000000-0015-0000-FFFF-FFFF43000000}" odcFile="\\192.168.1.1\dhfolders\ODBC Connections\S105TXAM COUNT09.ODC" keepAlive="1" name="Connection62" type="5" refreshedVersion="4" background="1">
    <dbPr connection="Provider=MSDASQL.1;Persist Security Info=True;Extended Properties=&quot;DSN=DHDATASOURCE;&quot;;Initial Catalog=S105TXAM" command="SELECT CSB1CD, CSBCC6, CSCBTX, CSBIDT FROM DHDATA.JMCSREP WHERE CSCACD='MHL' AND CSA0ST&lt;&gt;'5' ORDER BY CSCACD"/>
  </connection>
  <connection id="69" xr16:uid="{00000000-0015-0000-FFFF-FFFF44000000}" odcFile="\\10.10.1.10\dhfolders\ODBC Connections\S105TXAM COUNT09.ODC" keepAlive="1" name="Connection63" type="5" refreshedVersion="4" background="1">
    <dbPr connection="Provider=MSDASQL.1;Persist Security Info=True;Extended Properties=&quot;DSN=DHDATASOURCE;&quot;;Initial Catalog=S105TXAM" command="SELECT CSB1CD, CSBCC6, CSCBTX, CSBIDT FROM DHDATA.JMCSREP WHERE CSCACD='LKO' AND CSA0ST&lt;&gt;'5' ORDER BY CSCACD"/>
  </connection>
  <connection id="70" xr16:uid="{00000000-0015-0000-FFFF-FFFF45000000}" odcFile="\\10.10.1.10\dhfolders\ODBC Connections\S105TXAM COUNT09.ODC" keepAlive="1" name="Connection64" type="5" refreshedVersion="4" background="1">
    <dbPr connection="Provider=MSDASQL.1;Persist Security Info=True;Extended Properties=&quot;DSN=DHDATASOURCE;&quot;;Initial Catalog=S105TXAM" command="SELECT CSB1CD, CSBCC6, CSCBTX, CSBIDT FROM DHDATA.JMCSREP WHERE CSCACD='LKO' AND CSA0ST&lt;&gt;'5' ORDER BY CSCACD"/>
  </connection>
  <connection id="71" xr16:uid="{00000000-0015-0000-FFFF-FFFF46000000}" odcFile="\\10.10.1.10\dhfolders\ODBC Connections\S105TXAM COUNT09.ODC" keepAlive="1" name="Connection65" type="5" refreshedVersion="4" background="1">
    <dbPr connection="Provider=MSDASQL.1;Persist Security Info=True;Extended Properties=&quot;DSN=DHDATASOURCE;&quot;;Initial Catalog=S105TXAM" command="SELECT CSB1CD, CSBCC6, CSCBTX, CSBIDT FROM DHDATA.JMCSREP WHERE CSCACD='LKO' AND CSA0ST&lt;&gt;'5' ORDER BY CSCACD"/>
  </connection>
  <connection id="72" xr16:uid="{00000000-0015-0000-FFFF-FFFF47000000}" odcFile="\\192.168.1.1\dhfolders\ODBC Connections\S105TXAM COUNT09.ODC" keepAlive="1" name="Connection71" type="5" refreshedVersion="4" background="1">
    <dbPr connection="Provider=MSDASQL.1;Persist Security Info=True;Extended Properties=&quot;DSN=DHDATASOURCE;&quot;;Initial Catalog=S105TXAM" command="SELECT CSB1CD, CSBCC6, CSCBTX, CSBIDT FROM DHDATA.JMCSREP WHERE CSCACD='PAS' AND CSA0ST&lt;&gt;'5' ORDER BY CSCACD"/>
  </connection>
  <connection id="73" xr16:uid="{00000000-0015-0000-FFFF-FFFF48000000}" odcFile="\\192.168.1.1\dhfolders\ODBC Connections\S105TXAM COUNT09.ODC" keepAlive="1" name="Connection72" type="5" refreshedVersion="4" background="1">
    <dbPr connection="Provider=MSDASQL.1;Persist Security Info=True;Extended Properties=&quot;DSN=DHDATASOURCE;&quot;;Initial Catalog=S105TXAM" command="SELECT CSB1CD, CSBCC6, CSCBTX, CSBIDT FROM DHDATA.JMCSREP WHERE CSCACD='PAS' AND CSA0ST&lt;&gt;'5' ORDER BY CSCACD"/>
  </connection>
  <connection id="74" xr16:uid="{00000000-0015-0000-FFFF-FFFF49000000}" odcFile="\\10.10.1.10\dhfolders\ODBC Connections\S105TXAM COUNT09.ODC" keepAlive="1" name="Connection73" type="5" refreshedVersion="4" background="1">
    <dbPr connection="Provider=MSDASQL.1;Persist Security Info=True;Extended Properties=&quot;DSN=DHDATASOURCE;&quot;;Initial Catalog=S105TXAM" command="SELECT CSB1CD, CSBCC6, CSCBTX, CSBIDT FROM DHDATA.JMCSREP WHERE CSCACD='MHL' AND CSA0ST&lt;&gt;'5' ORDER BY CSCACD"/>
  </connection>
  <connection id="75" xr16:uid="{00000000-0015-0000-FFFF-FFFF4A000000}" odcFile="\\10.10.1.10\dhfolders\ODBC Connections\S105TXAM COUNT09.ODC" keepAlive="1" name="Connection74" type="5" refreshedVersion="4" background="1">
    <dbPr connection="Provider=MSDASQL.1;Persist Security Info=True;Extended Properties=&quot;DSN=DHDATASOURCE;&quot;;Initial Catalog=S105TXAM" command="SELECT CSB1CD, CSBCC6, CSCBTX, CSBIDT FROM DHDATA.JMCSREP WHERE CSCACD='MHL' AND CSA0ST&lt;&gt;'5' ORDER BY CSCACD"/>
  </connection>
  <connection id="76" xr16:uid="{00000000-0015-0000-FFFF-FFFF4B000000}" odcFile="\\10.10.1.10\dhfolders\ODBC Connections\S105TXAM COUNT09.ODC" keepAlive="1" name="Connection75" type="5" refreshedVersion="4" background="1">
    <dbPr connection="Provider=MSDASQL.1;Persist Security Info=True;Extended Properties=&quot;DSN=DHDATASOURCE;&quot;;Initial Catalog=S105TXAM" command="SELECT CSB1CD, CSBCC6, CSCBTX, CSBIDT FROM DHDATA.JMCSREP WHERE CSCACD='MHL' AND CSA0ST&lt;&gt;'5' ORDER BY CSCACD"/>
  </connection>
  <connection id="77" xr16:uid="{00000000-0015-0000-FFFF-FFFF4C000000}" odcFile="\\192.168.1.1\dhfolders\ODBC Connections\S105TXAM COUNT09.ODC" keepAlive="1" name="Connection81" type="5" refreshedVersion="4" background="1">
    <dbPr connection="Provider=MSDASQL.1;Persist Security Info=True;Extended Properties=&quot;DSN=DHDATASOURCE;&quot;;Initial Catalog=S105TXAM" command="SELECT CSB1CD, CSBCC6, CSCBTX, CSBIDT FROM DHDATA.JMCSREP WHERE CSCACD='PHX' AND CSA0ST&lt;&gt;'5' ORDER BY CSCACD"/>
  </connection>
  <connection id="78" xr16:uid="{00000000-0015-0000-FFFF-FFFF4D000000}" odcFile="\\192.168.1.1\dhfolders\ODBC Connections\S105TXAM COUNT09.ODC" keepAlive="1" name="Connection82" type="5" refreshedVersion="4" background="1">
    <dbPr connection="Provider=MSDASQL.1;Persist Security Info=True;Extended Properties=&quot;DSN=DHDATASOURCE;&quot;;Initial Catalog=S105TXAM" command="SELECT CSB1CD, CSBCC6, CSCBTX, CSBIDT FROM DHDATA.JMCSREP WHERE CSCACD='PHX' AND CSA0ST&lt;&gt;'5' ORDER BY CSCACD"/>
  </connection>
  <connection id="79" xr16:uid="{00000000-0015-0000-FFFF-FFFF4E000000}" odcFile="\\10.10.1.10\dhfolders\ODBC Connections\S105TXAM COUNT09.ODC" keepAlive="1" name="Connection83" type="5" refreshedVersion="4" background="1">
    <dbPr connection="Provider=MSDASQL.1;Persist Security Info=True;Extended Properties=&quot;DSN=DHDATASOURCE;&quot;;Initial Catalog=S105TXAM" command="SELECT CSB1CD, CSBCC6, CSCBTX, CSBIDT FROM DHDATA.JMCSREP WHERE CSCACD='MID' AND CSA0ST&lt;&gt;'5' ORDER BY CSCACD"/>
  </connection>
  <connection id="80" xr16:uid="{00000000-0015-0000-FFFF-FFFF4F000000}" odcFile="\\10.10.1.10\dhfolders\ODBC Connections\S105TXAM COUNT09.ODC" keepAlive="1" name="Connection84" type="5" refreshedVersion="4" background="1">
    <dbPr connection="Provider=MSDASQL.1;Persist Security Info=True;Extended Properties=&quot;DSN=DHDATASOURCE;&quot;;Initial Catalog=S105TXAM" command="SELECT CSB1CD, CSBCC6, CSCBTX, CSBIDT FROM DHDATA.JMCSREP WHERE CSCACD='MID' AND CSA0ST&lt;&gt;'5' ORDER BY CSCACD"/>
  </connection>
  <connection id="81" xr16:uid="{00000000-0015-0000-FFFF-FFFF50000000}" odcFile="\\10.10.1.10\dhfolders\ODBC Connections\S105TXAM COUNT09.ODC" keepAlive="1" name="Connection85" type="5" refreshedVersion="4" background="1">
    <dbPr connection="Provider=MSDASQL.1;Persist Security Info=True;Extended Properties=&quot;DSN=DHDATASOURCE;&quot;;Initial Catalog=S105TXAM" command="SELECT CSB1CD, CSBCC6, CSCBTX, CSBIDT FROM DHDATA.JMCSREP WHERE CSCACD='MID' AND CSA0ST&lt;&gt;'5' ORDER BY CSCACD"/>
  </connection>
  <connection id="82" xr16:uid="{00000000-0015-0000-FFFF-FFFF51000000}" odcFile="\\192.168.1.1\dhfolders\ODBC Connections\S105TXAM COUNT09.ODC" keepAlive="1" name="Connection91" type="5" refreshedVersion="4" background="1">
    <dbPr connection="Provider=MSDASQL.1;Persist Security Info=True;Extended Properties=&quot;DSN=DHDATASOURCE;&quot;;Initial Catalog=S105TXAM" command="SELECT CSB1CD, CSBCC6, CSCBTX, CSBIDT FROM DHDATA.JMCSREP WHERE CSCACD='RCH' AND CSA0ST&lt;&gt;'5' ORDER BY CSCACD"/>
  </connection>
  <connection id="83" xr16:uid="{00000000-0015-0000-FFFF-FFFF52000000}" odcFile="\\192.168.1.1\dhfolders\ODBC Connections\S105TXAM COUNT09.ODC" keepAlive="1" name="Connection92" type="5" refreshedVersion="4" background="1">
    <dbPr connection="Provider=MSDASQL.1;Persist Security Info=True;Extended Properties=&quot;DSN=DHDATASOURCE;&quot;;Initial Catalog=S105TXAM" command="SELECT CSB1CD, CSBCC6, CSCBTX, CSBIDT FROM DHDATA.JMCSREP WHERE CSCACD='RCH' AND CSA0ST&lt;&gt;'5' ORDER BY CSCACD"/>
  </connection>
  <connection id="84" xr16:uid="{00000000-0015-0000-FFFF-FFFF53000000}" odcFile="\\10.10.1.10\dhfolders\ODBC Connections\S105TXAM COUNT09.ODC" keepAlive="1" name="Connection93" type="5" refreshedVersion="4" background="1">
    <dbPr connection="Provider=MSDASQL.1;Persist Security Info=True;Extended Properties=&quot;DSN=DHDATASOURCE;&quot;;Initial Catalog=S105TXAM" command="SELECT CSB1CD, CSBCC6, CSCBTX, CSBIDT FROM DHDATA.JMCSREP WHERE CSCACD='PAS' AND CSA0ST&lt;&gt;'5' ORDER BY CSCACD"/>
  </connection>
  <connection id="85" xr16:uid="{00000000-0015-0000-FFFF-FFFF54000000}" odcFile="\\10.10.1.10\dhfolders\ODBC Connections\S105TXAM COUNT09.ODC" keepAlive="1" name="Connection94" type="5" refreshedVersion="4" background="1">
    <dbPr connection="Provider=MSDASQL.1;Persist Security Info=True;Extended Properties=&quot;DSN=DHDATASOURCE;&quot;;Initial Catalog=S105TXAM" command="SELECT CSB1CD, CSBCC6, CSCBTX, CSBIDT FROM DHDATA.JMCSREP WHERE CSCACD='PAS' AND CSA0ST&lt;&gt;'5' ORDER BY CSCACD"/>
  </connection>
  <connection id="86" xr16:uid="{00000000-0015-0000-FFFF-FFFF55000000}" odcFile="\\10.10.1.10\dhfolders\ODBC Connections\S105TXAM COUNT09.ODC" keepAlive="1" name="Connection95" type="5" refreshedVersion="4" background="1">
    <dbPr connection="Provider=MSDASQL.1;Persist Security Info=True;Extended Properties=&quot;DSN=DHDATASOURCE;&quot;;Initial Catalog=S105TXAM" command="SELECT CSB1CD, CSBCC6, CSCBTX, CSBIDT FROM DHDATA.JMCSREP WHERE CSCACD='PAS' AND CSA0ST&lt;&gt;'5' ORDER BY CSCACD"/>
  </connection>
</connections>
</file>

<file path=xl/sharedStrings.xml><?xml version="1.0" encoding="utf-8"?>
<sst xmlns="http://schemas.openxmlformats.org/spreadsheetml/2006/main" count="21148" uniqueCount="3673">
  <si>
    <t>Monthly Production Summary</t>
  </si>
  <si>
    <t>Standard Lines</t>
  </si>
  <si>
    <t>Surplus Lines</t>
  </si>
  <si>
    <t>All Lines</t>
  </si>
  <si>
    <t>All Offices</t>
  </si>
  <si>
    <t>for</t>
  </si>
  <si>
    <t>BRA</t>
  </si>
  <si>
    <t>FNO</t>
  </si>
  <si>
    <t>LAF</t>
  </si>
  <si>
    <t>LKO</t>
  </si>
  <si>
    <t>MHL</t>
  </si>
  <si>
    <t>PAS</t>
  </si>
  <si>
    <t>PHX</t>
  </si>
  <si>
    <t>RCH</t>
  </si>
  <si>
    <t>SDO</t>
  </si>
  <si>
    <t>SEA</t>
  </si>
  <si>
    <t>Office</t>
  </si>
  <si>
    <t>Email</t>
  </si>
  <si>
    <t>encino@deanshomer.com</t>
  </si>
  <si>
    <t>pasadena@deanshomer.com</t>
  </si>
  <si>
    <t>sandiego@deanshomer.com</t>
  </si>
  <si>
    <t>partners@deanshomer.com</t>
  </si>
  <si>
    <t>To add multiple emails, separate email addressed with semi-colon.</t>
  </si>
  <si>
    <t>Save Location</t>
  </si>
  <si>
    <t>Code</t>
  </si>
  <si>
    <t>Agency</t>
  </si>
  <si>
    <t>YTD WP</t>
  </si>
  <si>
    <t>PYTD WP</t>
  </si>
  <si>
    <t>Premium Change</t>
  </si>
  <si>
    <t>Branch</t>
  </si>
  <si>
    <t>Affiliated Code</t>
  </si>
  <si>
    <t>YTD NB #</t>
  </si>
  <si>
    <t>PY Total NB #</t>
  </si>
  <si>
    <t xml:space="preserve">YTD WP </t>
  </si>
  <si>
    <t xml:space="preserve">YTD WP  </t>
  </si>
  <si>
    <t xml:space="preserve">PYTD WP  </t>
  </si>
  <si>
    <t xml:space="preserve">YTD NB # </t>
  </si>
  <si>
    <t xml:space="preserve">YTD NB #  </t>
  </si>
  <si>
    <t xml:space="preserve">PY Total NB #  </t>
  </si>
  <si>
    <t>REN</t>
  </si>
  <si>
    <t>PYTD NB #</t>
  </si>
  <si>
    <t>Active?</t>
  </si>
  <si>
    <t>MID</t>
  </si>
  <si>
    <t xml:space="preserve">PYTD WP </t>
  </si>
  <si>
    <t xml:space="preserve">PYTD NB # </t>
  </si>
  <si>
    <t xml:space="preserve">PY Total NB # </t>
  </si>
  <si>
    <t xml:space="preserve">PYTD NB #  </t>
  </si>
  <si>
    <t xml:space="preserve">Notes: </t>
  </si>
  <si>
    <t>Quoted includes quoted and lost.</t>
  </si>
  <si>
    <t>Issued includes issued and bound.</t>
  </si>
  <si>
    <t>Declines are counted separately.</t>
  </si>
  <si>
    <t>12 Mo Bind Ratio</t>
  </si>
  <si>
    <t>12 Mo Quoted</t>
  </si>
  <si>
    <t>12 Mo Declined</t>
  </si>
  <si>
    <t>12 Mo Bound</t>
  </si>
  <si>
    <t>Bound / Quoted / Declined</t>
  </si>
  <si>
    <t>SBO</t>
  </si>
  <si>
    <t>Comments</t>
  </si>
  <si>
    <t>028746</t>
  </si>
  <si>
    <t>068502</t>
  </si>
  <si>
    <t/>
  </si>
  <si>
    <t>010037</t>
  </si>
  <si>
    <t>010042</t>
  </si>
  <si>
    <t>BANNISTER</t>
  </si>
  <si>
    <t>010049</t>
  </si>
  <si>
    <t>ALEXSON INSURAN</t>
  </si>
  <si>
    <t>010086</t>
  </si>
  <si>
    <t>BOSWELL INS AGY</t>
  </si>
  <si>
    <t>010144</t>
  </si>
  <si>
    <t>010163</t>
  </si>
  <si>
    <t>COMMERCIAL</t>
  </si>
  <si>
    <t>NFP PROPERTY &amp;</t>
  </si>
  <si>
    <t>010364</t>
  </si>
  <si>
    <t>ROBERT E. HARRI</t>
  </si>
  <si>
    <t>010617</t>
  </si>
  <si>
    <t>066990</t>
  </si>
  <si>
    <t>KNIGHT INSURANC</t>
  </si>
  <si>
    <t>067827</t>
  </si>
  <si>
    <t>SHOREPOINT</t>
  </si>
  <si>
    <t>010670</t>
  </si>
  <si>
    <t>010595</t>
  </si>
  <si>
    <t>066100</t>
  </si>
  <si>
    <t>PHD INSURANCE</t>
  </si>
  <si>
    <t>010818</t>
  </si>
  <si>
    <t>HUB RIVERSIDE</t>
  </si>
  <si>
    <t>010888</t>
  </si>
  <si>
    <t>010858</t>
  </si>
  <si>
    <t>WEINGARTEN &amp; HO</t>
  </si>
  <si>
    <t>012330</t>
  </si>
  <si>
    <t>SPIB INSURANCE</t>
  </si>
  <si>
    <t>012359</t>
  </si>
  <si>
    <t>013147</t>
  </si>
  <si>
    <t>MILESTONE</t>
  </si>
  <si>
    <t>012796</t>
  </si>
  <si>
    <t>014775</t>
  </si>
  <si>
    <t>016872</t>
  </si>
  <si>
    <t>CALVIN J WATERS</t>
  </si>
  <si>
    <t>072121</t>
  </si>
  <si>
    <t>065452</t>
  </si>
  <si>
    <t>018917</t>
  </si>
  <si>
    <t>072811</t>
  </si>
  <si>
    <t>019108</t>
  </si>
  <si>
    <t>HUB LA PALMA</t>
  </si>
  <si>
    <t>019595</t>
  </si>
  <si>
    <t>029805</t>
  </si>
  <si>
    <t>DIAMOND VAL-PIA</t>
  </si>
  <si>
    <t>020806</t>
  </si>
  <si>
    <t>DOWNING, CHARLE</t>
  </si>
  <si>
    <t>020810</t>
  </si>
  <si>
    <t>021298</t>
  </si>
  <si>
    <t>021299</t>
  </si>
  <si>
    <t>LAKE INSURANCE</t>
  </si>
  <si>
    <t>022276</t>
  </si>
  <si>
    <t>022652</t>
  </si>
  <si>
    <t>HUB PALM DESERT</t>
  </si>
  <si>
    <t>068203</t>
  </si>
  <si>
    <t>ALERA-ARR INS</t>
  </si>
  <si>
    <t>064355</t>
  </si>
  <si>
    <t>064694</t>
  </si>
  <si>
    <t>064855</t>
  </si>
  <si>
    <t>ACCESS WEST</t>
  </si>
  <si>
    <t>065151</t>
  </si>
  <si>
    <t>065246</t>
  </si>
  <si>
    <t>065364</t>
  </si>
  <si>
    <t>022963</t>
  </si>
  <si>
    <t>COLOSSUS</t>
  </si>
  <si>
    <t>065815</t>
  </si>
  <si>
    <t>065881</t>
  </si>
  <si>
    <t>066102</t>
  </si>
  <si>
    <t>066411</t>
  </si>
  <si>
    <t>D.F.I</t>
  </si>
  <si>
    <t>066478</t>
  </si>
  <si>
    <t>OLD HARBOR INSU</t>
  </si>
  <si>
    <t>066595</t>
  </si>
  <si>
    <t>066620</t>
  </si>
  <si>
    <t>065275</t>
  </si>
  <si>
    <t>066882</t>
  </si>
  <si>
    <t>067231</t>
  </si>
  <si>
    <t>WINSTON  INSURA</t>
  </si>
  <si>
    <t>067321</t>
  </si>
  <si>
    <t>067323</t>
  </si>
  <si>
    <t>ROGER STONE INS</t>
  </si>
  <si>
    <t>067333</t>
  </si>
  <si>
    <t>J CAZARES</t>
  </si>
  <si>
    <t>067358</t>
  </si>
  <si>
    <t>SEA CREST INSUR</t>
  </si>
  <si>
    <t>067365</t>
  </si>
  <si>
    <t>PATRIOT RISK</t>
  </si>
  <si>
    <t>067648</t>
  </si>
  <si>
    <t>MILLENNIUM RISK</t>
  </si>
  <si>
    <t>067678</t>
  </si>
  <si>
    <t>MINNICK INS.</t>
  </si>
  <si>
    <t>067746</t>
  </si>
  <si>
    <t>ALANDALE</t>
  </si>
  <si>
    <t>067888</t>
  </si>
  <si>
    <t>BRAKKE INS.</t>
  </si>
  <si>
    <t>068063</t>
  </si>
  <si>
    <t>WRIGHT FINNEGAN</t>
  </si>
  <si>
    <t>068086</t>
  </si>
  <si>
    <t>CARE PROVIDERS</t>
  </si>
  <si>
    <t>068237</t>
  </si>
  <si>
    <t>068248</t>
  </si>
  <si>
    <t>HUB SPOKANE</t>
  </si>
  <si>
    <t>068279</t>
  </si>
  <si>
    <t>068289</t>
  </si>
  <si>
    <t>ARBOR FINANCIAL</t>
  </si>
  <si>
    <t>068301</t>
  </si>
  <si>
    <t>068344</t>
  </si>
  <si>
    <t>PLACE INSURANCE</t>
  </si>
  <si>
    <t>068368</t>
  </si>
  <si>
    <t>068394</t>
  </si>
  <si>
    <t>NFP PROPERTY</t>
  </si>
  <si>
    <t>066152</t>
  </si>
  <si>
    <t>068427</t>
  </si>
  <si>
    <t>068509</t>
  </si>
  <si>
    <t>071584</t>
  </si>
  <si>
    <t>ALLCO FULLERTON</t>
  </si>
  <si>
    <t>071820</t>
  </si>
  <si>
    <t>071862</t>
  </si>
  <si>
    <t>072014</t>
  </si>
  <si>
    <t>CONREY INSURANC</t>
  </si>
  <si>
    <t>072090</t>
  </si>
  <si>
    <t>068470</t>
  </si>
  <si>
    <t>072106</t>
  </si>
  <si>
    <t>DUNLAP AGENCY</t>
  </si>
  <si>
    <t>072284</t>
  </si>
  <si>
    <t>072310</t>
  </si>
  <si>
    <t>072418</t>
  </si>
  <si>
    <t>072443</t>
  </si>
  <si>
    <t>010687</t>
  </si>
  <si>
    <t>B&amp;B ANAHEIM</t>
  </si>
  <si>
    <t>072453</t>
  </si>
  <si>
    <t>MONDRAGON</t>
  </si>
  <si>
    <t>072455</t>
  </si>
  <si>
    <t>072459</t>
  </si>
  <si>
    <t>PACIFIC SOUTHWE</t>
  </si>
  <si>
    <t>072590</t>
  </si>
  <si>
    <t>GARCIA INSURANC</t>
  </si>
  <si>
    <t>072606</t>
  </si>
  <si>
    <t>SAINT-MOORE</t>
  </si>
  <si>
    <t>072648</t>
  </si>
  <si>
    <t>072669</t>
  </si>
  <si>
    <t>010233</t>
  </si>
  <si>
    <t>ALLIANT</t>
  </si>
  <si>
    <t>072678</t>
  </si>
  <si>
    <t>072687</t>
  </si>
  <si>
    <t>ROAMNET INSURAN</t>
  </si>
  <si>
    <t>072694</t>
  </si>
  <si>
    <t>KORU RISK</t>
  </si>
  <si>
    <t>EMORY STEPHENS</t>
  </si>
  <si>
    <t>072822</t>
  </si>
  <si>
    <t>072823</t>
  </si>
  <si>
    <t>BROWN &amp; BROWN</t>
  </si>
  <si>
    <t>072839</t>
  </si>
  <si>
    <t>HUGGINS</t>
  </si>
  <si>
    <t>No</t>
  </si>
  <si>
    <t>Yes</t>
  </si>
  <si>
    <t>067495</t>
  </si>
  <si>
    <t>067397</t>
  </si>
  <si>
    <t>USI INSURANCE</t>
  </si>
  <si>
    <t>067586</t>
  </si>
  <si>
    <t>ASSUREDPARTNERS</t>
  </si>
  <si>
    <t>071687</t>
  </si>
  <si>
    <t>071947</t>
  </si>
  <si>
    <t>072656</t>
  </si>
  <si>
    <t>067128</t>
  </si>
  <si>
    <t>ATASCADERO</t>
  </si>
  <si>
    <t>010118</t>
  </si>
  <si>
    <t>HUB SANTA MARIA</t>
  </si>
  <si>
    <t>010409</t>
  </si>
  <si>
    <t>010574</t>
  </si>
  <si>
    <t>E.C LOOMIS &amp; SO</t>
  </si>
  <si>
    <t>010688</t>
  </si>
  <si>
    <t>MORRIS</t>
  </si>
  <si>
    <t>010742</t>
  </si>
  <si>
    <t>010845</t>
  </si>
  <si>
    <t>013371</t>
  </si>
  <si>
    <t>067838</t>
  </si>
  <si>
    <t>013777</t>
  </si>
  <si>
    <t>MACKEY &amp; MACKEY</t>
  </si>
  <si>
    <t>013801</t>
  </si>
  <si>
    <t>026680</t>
  </si>
  <si>
    <t>INTERWEST MERCE</t>
  </si>
  <si>
    <t>016632</t>
  </si>
  <si>
    <t>016654</t>
  </si>
  <si>
    <t>028502</t>
  </si>
  <si>
    <t>MCVEY-STEPHENS</t>
  </si>
  <si>
    <t>017037</t>
  </si>
  <si>
    <t>CLIFFORD &amp; BRAD</t>
  </si>
  <si>
    <t>017583</t>
  </si>
  <si>
    <t>RICO, PFITZER</t>
  </si>
  <si>
    <t>018908</t>
  </si>
  <si>
    <t>026710</t>
  </si>
  <si>
    <t>BACOME-PARKER</t>
  </si>
  <si>
    <t>019498</t>
  </si>
  <si>
    <t>NIELSEN &amp; ASSOC</t>
  </si>
  <si>
    <t>020390</t>
  </si>
  <si>
    <t>072038</t>
  </si>
  <si>
    <t>021309</t>
  </si>
  <si>
    <t>LAMBERT &amp; LAMBE</t>
  </si>
  <si>
    <t>021758</t>
  </si>
  <si>
    <t>PAN AM-STOCKTON</t>
  </si>
  <si>
    <t>MVP PREMIER</t>
  </si>
  <si>
    <t>022706</t>
  </si>
  <si>
    <t>ROBERT BEACH</t>
  </si>
  <si>
    <t>UNITED VALLEY</t>
  </si>
  <si>
    <t>HUB INTERNATION</t>
  </si>
  <si>
    <t>026110</t>
  </si>
  <si>
    <t>026186</t>
  </si>
  <si>
    <t>026196</t>
  </si>
  <si>
    <t>026198</t>
  </si>
  <si>
    <t>026197</t>
  </si>
  <si>
    <t>DIBUDUO FRESNO</t>
  </si>
  <si>
    <t>LEAVITT UNITED</t>
  </si>
  <si>
    <t>026248</t>
  </si>
  <si>
    <t>026265</t>
  </si>
  <si>
    <t>026327</t>
  </si>
  <si>
    <t>GALLAGHER FRESN</t>
  </si>
  <si>
    <t>026435</t>
  </si>
  <si>
    <t>PCF INSURANCE</t>
  </si>
  <si>
    <t>026618</t>
  </si>
  <si>
    <t>MONAGAN/MILLER/</t>
  </si>
  <si>
    <t>026640</t>
  </si>
  <si>
    <t>MORTENSEN</t>
  </si>
  <si>
    <t>PARKER FRESNO</t>
  </si>
  <si>
    <t>026870</t>
  </si>
  <si>
    <t>RELATION</t>
  </si>
  <si>
    <t>026939</t>
  </si>
  <si>
    <t>TSM INSURANCE</t>
  </si>
  <si>
    <t>026957</t>
  </si>
  <si>
    <t>WINTON-IRELAND</t>
  </si>
  <si>
    <t>026980</t>
  </si>
  <si>
    <t>VAN BEURDEN</t>
  </si>
  <si>
    <t>MCVEY</t>
  </si>
  <si>
    <t>063488</t>
  </si>
  <si>
    <t>066493</t>
  </si>
  <si>
    <t>064747</t>
  </si>
  <si>
    <t>CAL-VALLEY</t>
  </si>
  <si>
    <t>065162</t>
  </si>
  <si>
    <t>ADLER BELMONT</t>
  </si>
  <si>
    <t>065188</t>
  </si>
  <si>
    <t>OMEGA PACIFIC</t>
  </si>
  <si>
    <t>065345</t>
  </si>
  <si>
    <t>065347</t>
  </si>
  <si>
    <t>GDI INSURANCE</t>
  </si>
  <si>
    <t>065356</t>
  </si>
  <si>
    <t>KRAFT AND LEE</t>
  </si>
  <si>
    <t>065360</t>
  </si>
  <si>
    <t>LEAVITT COASTAL</t>
  </si>
  <si>
    <t>065363</t>
  </si>
  <si>
    <t>C.D. SIMONIAN</t>
  </si>
  <si>
    <t>065398</t>
  </si>
  <si>
    <t>065694</t>
  </si>
  <si>
    <t>MCGEE INSURANCE</t>
  </si>
  <si>
    <t>DLL INSURANCE</t>
  </si>
  <si>
    <t>066558</t>
  </si>
  <si>
    <t>066686</t>
  </si>
  <si>
    <t>AGRI-CENTER</t>
  </si>
  <si>
    <t>066761</t>
  </si>
  <si>
    <t>066771</t>
  </si>
  <si>
    <t>ALLIANT INSURAN</t>
  </si>
  <si>
    <t>066775</t>
  </si>
  <si>
    <t>066795</t>
  </si>
  <si>
    <t>STRUCK INS</t>
  </si>
  <si>
    <t>066911</t>
  </si>
  <si>
    <t>PACWEST ALLIANC</t>
  </si>
  <si>
    <t>067155</t>
  </si>
  <si>
    <t>072572</t>
  </si>
  <si>
    <t>INSZONE INSURAN</t>
  </si>
  <si>
    <t>067167</t>
  </si>
  <si>
    <t>INSURANCE MATTE</t>
  </si>
  <si>
    <t>067298</t>
  </si>
  <si>
    <t>PIIB-NAVO FIN</t>
  </si>
  <si>
    <t>067389</t>
  </si>
  <si>
    <t>067489</t>
  </si>
  <si>
    <t>MITCHELL INS</t>
  </si>
  <si>
    <t>067526</t>
  </si>
  <si>
    <t>067550</t>
  </si>
  <si>
    <t>072134</t>
  </si>
  <si>
    <t>067784</t>
  </si>
  <si>
    <t>SIERRA GATEWAY</t>
  </si>
  <si>
    <t>067882</t>
  </si>
  <si>
    <t>WESTERN VALLEY</t>
  </si>
  <si>
    <t>068062</t>
  </si>
  <si>
    <t>068225</t>
  </si>
  <si>
    <t>068300</t>
  </si>
  <si>
    <t>STOCKING &amp; COZZ</t>
  </si>
  <si>
    <t>068314</t>
  </si>
  <si>
    <t>072151</t>
  </si>
  <si>
    <t>ALERA DOHRMANN</t>
  </si>
  <si>
    <t>068337</t>
  </si>
  <si>
    <t>HUB FRESNO</t>
  </si>
  <si>
    <t>068358</t>
  </si>
  <si>
    <t>COASTAL AXIS</t>
  </si>
  <si>
    <t>068507</t>
  </si>
  <si>
    <t>010868</t>
  </si>
  <si>
    <t>068572</t>
  </si>
  <si>
    <t>072761</t>
  </si>
  <si>
    <t>GOLDEN OAK INS</t>
  </si>
  <si>
    <t>068577</t>
  </si>
  <si>
    <t>071587</t>
  </si>
  <si>
    <t>071624</t>
  </si>
  <si>
    <t>ONE WEST INSURA</t>
  </si>
  <si>
    <t>071817</t>
  </si>
  <si>
    <t>071905</t>
  </si>
  <si>
    <t>BUSBY-STONE INS</t>
  </si>
  <si>
    <t>071973</t>
  </si>
  <si>
    <t>COASTAL BROKERS</t>
  </si>
  <si>
    <t>072027</t>
  </si>
  <si>
    <t>072109</t>
  </si>
  <si>
    <t>072152</t>
  </si>
  <si>
    <t>072170</t>
  </si>
  <si>
    <t>BARSERIAN INSUR</t>
  </si>
  <si>
    <t>072205</t>
  </si>
  <si>
    <t>CB SPECIALTY</t>
  </si>
  <si>
    <t>072226</t>
  </si>
  <si>
    <t>TED HAMM</t>
  </si>
  <si>
    <t>072244</t>
  </si>
  <si>
    <t>KINGSBURG INSUR</t>
  </si>
  <si>
    <t>072269</t>
  </si>
  <si>
    <t>072275</t>
  </si>
  <si>
    <t>CLOVIS INSURANC</t>
  </si>
  <si>
    <t>072675</t>
  </si>
  <si>
    <t>FOSTER &amp; PARKER</t>
  </si>
  <si>
    <t>072790</t>
  </si>
  <si>
    <t>072812</t>
  </si>
  <si>
    <t>FALLGATTER RHOD</t>
  </si>
  <si>
    <t>068467</t>
  </si>
  <si>
    <t>012460</t>
  </si>
  <si>
    <t>FISCHER WC</t>
  </si>
  <si>
    <t>029097</t>
  </si>
  <si>
    <t>PIIB</t>
  </si>
  <si>
    <t>013447</t>
  </si>
  <si>
    <t>013894</t>
  </si>
  <si>
    <t>DIABLO VALLEY</t>
  </si>
  <si>
    <t>013977</t>
  </si>
  <si>
    <t>TLB INSURANCE</t>
  </si>
  <si>
    <t>013984</t>
  </si>
  <si>
    <t>013986</t>
  </si>
  <si>
    <t>USI INSURANCE S</t>
  </si>
  <si>
    <t>014213</t>
  </si>
  <si>
    <t>014606</t>
  </si>
  <si>
    <t>HUETHER</t>
  </si>
  <si>
    <t>014682</t>
  </si>
  <si>
    <t>CENTURION</t>
  </si>
  <si>
    <t>014693</t>
  </si>
  <si>
    <t>EASTERLY</t>
  </si>
  <si>
    <t>067622</t>
  </si>
  <si>
    <t>068440</t>
  </si>
  <si>
    <t>GENE MORGAN INS</t>
  </si>
  <si>
    <t>015668</t>
  </si>
  <si>
    <t>GRANITE</t>
  </si>
  <si>
    <t>016621</t>
  </si>
  <si>
    <t>SCHRODER</t>
  </si>
  <si>
    <t>017025</t>
  </si>
  <si>
    <t>BRADY-HARBORD</t>
  </si>
  <si>
    <t>017618</t>
  </si>
  <si>
    <t>MASSIE &amp; BECK</t>
  </si>
  <si>
    <t>017956</t>
  </si>
  <si>
    <t>NFP PLEASANT</t>
  </si>
  <si>
    <t>018475</t>
  </si>
  <si>
    <t>PERRY</t>
  </si>
  <si>
    <t>018722</t>
  </si>
  <si>
    <t>INTERWEST ORIND</t>
  </si>
  <si>
    <t>022009</t>
  </si>
  <si>
    <t>029937</t>
  </si>
  <si>
    <t>NIXON INSURANCE</t>
  </si>
  <si>
    <t>022991</t>
  </si>
  <si>
    <t>PINNACLE BROKER</t>
  </si>
  <si>
    <t>025697</t>
  </si>
  <si>
    <t>067728</t>
  </si>
  <si>
    <t>GEORGE PETERSEN</t>
  </si>
  <si>
    <t>VANTREO INS</t>
  </si>
  <si>
    <t>028025</t>
  </si>
  <si>
    <t>028260</t>
  </si>
  <si>
    <t>028145</t>
  </si>
  <si>
    <t>CRIST FRITSCHI</t>
  </si>
  <si>
    <t>028176</t>
  </si>
  <si>
    <t>KOSICH INSURANC</t>
  </si>
  <si>
    <t>028186</t>
  </si>
  <si>
    <t>DAVIS</t>
  </si>
  <si>
    <t>028188</t>
  </si>
  <si>
    <t>072686</t>
  </si>
  <si>
    <t>028239</t>
  </si>
  <si>
    <t>FIDELITY</t>
  </si>
  <si>
    <t>028245</t>
  </si>
  <si>
    <t>028330</t>
  </si>
  <si>
    <t>028370</t>
  </si>
  <si>
    <t>ABD WALNUT CR</t>
  </si>
  <si>
    <t>028500</t>
  </si>
  <si>
    <t>028501</t>
  </si>
  <si>
    <t>HUB SAN RAMON</t>
  </si>
  <si>
    <t>028515</t>
  </si>
  <si>
    <t>RL MILSNER</t>
  </si>
  <si>
    <t>028560</t>
  </si>
  <si>
    <t>028577</t>
  </si>
  <si>
    <t>O&amp;A</t>
  </si>
  <si>
    <t>028578</t>
  </si>
  <si>
    <t>ONSTAD'S</t>
  </si>
  <si>
    <t>066936</t>
  </si>
  <si>
    <t>MARSH &amp; MCLENNA</t>
  </si>
  <si>
    <t>HEFFERNAN WC</t>
  </si>
  <si>
    <t>028755</t>
  </si>
  <si>
    <t>028785</t>
  </si>
  <si>
    <t>UREN &amp; MYERS</t>
  </si>
  <si>
    <t>028826</t>
  </si>
  <si>
    <t>HUB PLEASANT HL</t>
  </si>
  <si>
    <t>063864</t>
  </si>
  <si>
    <t>LEAVITT CENTRAL</t>
  </si>
  <si>
    <t>029540</t>
  </si>
  <si>
    <t>BUSINESS PROFES</t>
  </si>
  <si>
    <t>029924</t>
  </si>
  <si>
    <t>029926</t>
  </si>
  <si>
    <t>PACIFIC DIVERSI</t>
  </si>
  <si>
    <t>062791</t>
  </si>
  <si>
    <t>063068</t>
  </si>
  <si>
    <t>MT. DIABLO</t>
  </si>
  <si>
    <t>066921</t>
  </si>
  <si>
    <t>063165</t>
  </si>
  <si>
    <t>063688</t>
  </si>
  <si>
    <t>063911</t>
  </si>
  <si>
    <t>064944</t>
  </si>
  <si>
    <t>IOA PLEASANTON</t>
  </si>
  <si>
    <t>064121</t>
  </si>
  <si>
    <t>ONE RISK GROUP</t>
  </si>
  <si>
    <t>064898</t>
  </si>
  <si>
    <t>RISK CONCEPTS</t>
  </si>
  <si>
    <t>065193</t>
  </si>
  <si>
    <t>CBI BUSINESS</t>
  </si>
  <si>
    <t>065288</t>
  </si>
  <si>
    <t>065306</t>
  </si>
  <si>
    <t>SANTA MARIA, C</t>
  </si>
  <si>
    <t>065352</t>
  </si>
  <si>
    <t>065362</t>
  </si>
  <si>
    <t>WATSONVILLE</t>
  </si>
  <si>
    <t>065469</t>
  </si>
  <si>
    <t>HEFFERNAN PETAL</t>
  </si>
  <si>
    <t>065543</t>
  </si>
  <si>
    <t>068510</t>
  </si>
  <si>
    <t>065632</t>
  </si>
  <si>
    <t>072589</t>
  </si>
  <si>
    <t>ALERA INSURANCE</t>
  </si>
  <si>
    <t>065942</t>
  </si>
  <si>
    <t>066029</t>
  </si>
  <si>
    <t>UNION GENERAL</t>
  </si>
  <si>
    <t>066172</t>
  </si>
  <si>
    <t>071616</t>
  </si>
  <si>
    <t>071964</t>
  </si>
  <si>
    <t>066400</t>
  </si>
  <si>
    <t>SELECTSOLUTIONS</t>
  </si>
  <si>
    <t>066449</t>
  </si>
  <si>
    <t>STONE CREEK</t>
  </si>
  <si>
    <t>066479</t>
  </si>
  <si>
    <t>066743</t>
  </si>
  <si>
    <t>RITTER INSURANC</t>
  </si>
  <si>
    <t>066841</t>
  </si>
  <si>
    <t>DANIEL W DAVIS</t>
  </si>
  <si>
    <t>066872</t>
  </si>
  <si>
    <t>066924</t>
  </si>
  <si>
    <t>068245</t>
  </si>
  <si>
    <t>066937</t>
  </si>
  <si>
    <t>067208</t>
  </si>
  <si>
    <t>067287</t>
  </si>
  <si>
    <t>COMMUNITY CARE</t>
  </si>
  <si>
    <t>067297</t>
  </si>
  <si>
    <t>PIIB-ADOBE INS</t>
  </si>
  <si>
    <t>067309</t>
  </si>
  <si>
    <t>067377</t>
  </si>
  <si>
    <t>LARRY FU</t>
  </si>
  <si>
    <t>067500</t>
  </si>
  <si>
    <t>GREENLAND</t>
  </si>
  <si>
    <t>STORELEE</t>
  </si>
  <si>
    <t>067713</t>
  </si>
  <si>
    <t>067924</t>
  </si>
  <si>
    <t>CHEDA INSURANCE</t>
  </si>
  <si>
    <t>068238</t>
  </si>
  <si>
    <t>HUB SAN FRAN</t>
  </si>
  <si>
    <t>068281</t>
  </si>
  <si>
    <t>068305</t>
  </si>
  <si>
    <t>SAGACIOUS</t>
  </si>
  <si>
    <t>068312</t>
  </si>
  <si>
    <t>CHARLES KATZ</t>
  </si>
  <si>
    <t>068345</t>
  </si>
  <si>
    <t>068348</t>
  </si>
  <si>
    <t>LEO INSURANCE</t>
  </si>
  <si>
    <t>068350</t>
  </si>
  <si>
    <t>068448</t>
  </si>
  <si>
    <t>PAUL R NADLER</t>
  </si>
  <si>
    <t>068452</t>
  </si>
  <si>
    <t>OAKLEY INSURAN</t>
  </si>
  <si>
    <t>DHW INS-ACCOUNT</t>
  </si>
  <si>
    <t>068580</t>
  </si>
  <si>
    <t>CAIS</t>
  </si>
  <si>
    <t>071639</t>
  </si>
  <si>
    <t>072561</t>
  </si>
  <si>
    <t>071714</t>
  </si>
  <si>
    <t>071742</t>
  </si>
  <si>
    <t>071809</t>
  </si>
  <si>
    <t>HAYS COMPANIES</t>
  </si>
  <si>
    <t>071810</t>
  </si>
  <si>
    <t>071864</t>
  </si>
  <si>
    <t>072026</t>
  </si>
  <si>
    <t>072077</t>
  </si>
  <si>
    <t>072078</t>
  </si>
  <si>
    <t>PCF</t>
  </si>
  <si>
    <t>072289</t>
  </si>
  <si>
    <t>072302</t>
  </si>
  <si>
    <t>072329</t>
  </si>
  <si>
    <t>072367</t>
  </si>
  <si>
    <t>UNITED NETWORK</t>
  </si>
  <si>
    <t>072458</t>
  </si>
  <si>
    <t>072476</t>
  </si>
  <si>
    <t>PROCO INSURANCE</t>
  </si>
  <si>
    <t>072560</t>
  </si>
  <si>
    <t>072635</t>
  </si>
  <si>
    <t>072728</t>
  </si>
  <si>
    <t>GOLD COAST</t>
  </si>
  <si>
    <t>072735</t>
  </si>
  <si>
    <t>072764</t>
  </si>
  <si>
    <t>MILL VALLEY</t>
  </si>
  <si>
    <t>072775</t>
  </si>
  <si>
    <t>HASHIMI INS</t>
  </si>
  <si>
    <t>072802</t>
  </si>
  <si>
    <t>VANTREO</t>
  </si>
  <si>
    <t>099018</t>
  </si>
  <si>
    <t>DON RAMATICI</t>
  </si>
  <si>
    <t>099898</t>
  </si>
  <si>
    <t>PVI</t>
  </si>
  <si>
    <t>012318</t>
  </si>
  <si>
    <t>ZAROSINSKI LEAV</t>
  </si>
  <si>
    <t>041025</t>
  </si>
  <si>
    <t>012986</t>
  </si>
  <si>
    <t>031040</t>
  </si>
  <si>
    <t>013648</t>
  </si>
  <si>
    <t>CENTURY</t>
  </si>
  <si>
    <t>014784</t>
  </si>
  <si>
    <t>014861</t>
  </si>
  <si>
    <t>PACIFIC BENEFIT</t>
  </si>
  <si>
    <t>015543</t>
  </si>
  <si>
    <t>HAGAN &amp; HAMILTO</t>
  </si>
  <si>
    <t>016410</t>
  </si>
  <si>
    <t>WHA INSURANCE</t>
  </si>
  <si>
    <t>016990</t>
  </si>
  <si>
    <t>R. BAUER</t>
  </si>
  <si>
    <t>017407</t>
  </si>
  <si>
    <t>019026</t>
  </si>
  <si>
    <t>020473</t>
  </si>
  <si>
    <t>HEFFERNAN PORTL</t>
  </si>
  <si>
    <t>021250</t>
  </si>
  <si>
    <t>PACIFIC RISK MA</t>
  </si>
  <si>
    <t>041213</t>
  </si>
  <si>
    <t>KIBBLE EUGENE</t>
  </si>
  <si>
    <t>025839</t>
  </si>
  <si>
    <t>031001</t>
  </si>
  <si>
    <t>LEONARD ADAMS</t>
  </si>
  <si>
    <t>031035</t>
  </si>
  <si>
    <t>031101</t>
  </si>
  <si>
    <t>031168</t>
  </si>
  <si>
    <t>B&amp;B BEND</t>
  </si>
  <si>
    <t>031196</t>
  </si>
  <si>
    <t>ELLIOTT, POWELL</t>
  </si>
  <si>
    <t>031198</t>
  </si>
  <si>
    <t>FULWILER</t>
  </si>
  <si>
    <t>031261</t>
  </si>
  <si>
    <t>031335</t>
  </si>
  <si>
    <t>B&amp;B PORTLAND</t>
  </si>
  <si>
    <t>031313</t>
  </si>
  <si>
    <t>031374</t>
  </si>
  <si>
    <t>HART</t>
  </si>
  <si>
    <t>031410</t>
  </si>
  <si>
    <t>031425</t>
  </si>
  <si>
    <t>031435</t>
  </si>
  <si>
    <t>FIRST INSURANCE</t>
  </si>
  <si>
    <t>065376</t>
  </si>
  <si>
    <t>031557</t>
  </si>
  <si>
    <t>BROWN &amp; BROWN M</t>
  </si>
  <si>
    <t>031585</t>
  </si>
  <si>
    <t>031637</t>
  </si>
  <si>
    <t>HUB</t>
  </si>
  <si>
    <t>068220</t>
  </si>
  <si>
    <t>063333</t>
  </si>
  <si>
    <t>063873</t>
  </si>
  <si>
    <t>ASHLAND INSURAN</t>
  </si>
  <si>
    <t>064597</t>
  </si>
  <si>
    <t>MAPS INSURANCE</t>
  </si>
  <si>
    <t>067370</t>
  </si>
  <si>
    <t>064997</t>
  </si>
  <si>
    <t>PENFOLD-LEAVITT</t>
  </si>
  <si>
    <t>066107</t>
  </si>
  <si>
    <t>MV ASSOCIATES</t>
  </si>
  <si>
    <t>066383</t>
  </si>
  <si>
    <t>PROPEL PORTLAND</t>
  </si>
  <si>
    <t>066431</t>
  </si>
  <si>
    <t>068355</t>
  </si>
  <si>
    <t>INSURANCE PARTN</t>
  </si>
  <si>
    <t>067359</t>
  </si>
  <si>
    <t>PROPEL-MEDFORD</t>
  </si>
  <si>
    <t>067386</t>
  </si>
  <si>
    <t>067400</t>
  </si>
  <si>
    <t>068094</t>
  </si>
  <si>
    <t>068169</t>
  </si>
  <si>
    <t>MJI INC.</t>
  </si>
  <si>
    <t>071702</t>
  </si>
  <si>
    <t>071981</t>
  </si>
  <si>
    <t>071998</t>
  </si>
  <si>
    <t>UNITED RISK &amp; I</t>
  </si>
  <si>
    <t>072286</t>
  </si>
  <si>
    <t>072454</t>
  </si>
  <si>
    <t>065027</t>
  </si>
  <si>
    <t>PARTNERS GROUP</t>
  </si>
  <si>
    <t>072487</t>
  </si>
  <si>
    <t>072842</t>
  </si>
  <si>
    <t>072848</t>
  </si>
  <si>
    <t>010063</t>
  </si>
  <si>
    <t>JBENNETT</t>
  </si>
  <si>
    <t>010183</t>
  </si>
  <si>
    <t>068041</t>
  </si>
  <si>
    <t>010387</t>
  </si>
  <si>
    <t>HOFFMAN</t>
  </si>
  <si>
    <t>010451</t>
  </si>
  <si>
    <t>ALLEN LAWRENCE</t>
  </si>
  <si>
    <t>010616</t>
  </si>
  <si>
    <t>010681</t>
  </si>
  <si>
    <t>MARTIN</t>
  </si>
  <si>
    <t>B&amp;B SANTA BARBA</t>
  </si>
  <si>
    <t>010733</t>
  </si>
  <si>
    <t>HUB PETERSON-MI</t>
  </si>
  <si>
    <t>010785</t>
  </si>
  <si>
    <t>PALOS VERDES IN</t>
  </si>
  <si>
    <t>HUB SANTA BARBA</t>
  </si>
  <si>
    <t>010910</t>
  </si>
  <si>
    <t>012979</t>
  </si>
  <si>
    <t>WETTERHAHN</t>
  </si>
  <si>
    <t>014374</t>
  </si>
  <si>
    <t>HOLMES &amp; HOLMES</t>
  </si>
  <si>
    <t>NARVER ASSOCIAT</t>
  </si>
  <si>
    <t>016210</t>
  </si>
  <si>
    <t>NFP-INSURANCE W</t>
  </si>
  <si>
    <t>016246</t>
  </si>
  <si>
    <t>STANTON &amp; ASSOC</t>
  </si>
  <si>
    <t>HUB ENCINO</t>
  </si>
  <si>
    <t>016711</t>
  </si>
  <si>
    <t>017292</t>
  </si>
  <si>
    <t>018832</t>
  </si>
  <si>
    <t>VENBROOK WOODLA</t>
  </si>
  <si>
    <t>B&amp;B PREMIER</t>
  </si>
  <si>
    <t>019786</t>
  </si>
  <si>
    <t>LEMARK INSURANC</t>
  </si>
  <si>
    <t>020113</t>
  </si>
  <si>
    <t>LIBERTY COMPANY</t>
  </si>
  <si>
    <t>021026</t>
  </si>
  <si>
    <t>HUB RIVIERA</t>
  </si>
  <si>
    <t>022954</t>
  </si>
  <si>
    <t>SOLOMON INSURAN</t>
  </si>
  <si>
    <t>063363</t>
  </si>
  <si>
    <t>JBN UNITED INS</t>
  </si>
  <si>
    <t>064566</t>
  </si>
  <si>
    <t>MW INSURANCE SO</t>
  </si>
  <si>
    <t>064630</t>
  </si>
  <si>
    <t>NAHAI INSURANCE</t>
  </si>
  <si>
    <t>064907</t>
  </si>
  <si>
    <t>065174</t>
  </si>
  <si>
    <t>BRASHEARS INSUR</t>
  </si>
  <si>
    <t>065806</t>
  </si>
  <si>
    <t>012999</t>
  </si>
  <si>
    <t>066344</t>
  </si>
  <si>
    <t>DG INSURANCE</t>
  </si>
  <si>
    <t>066602</t>
  </si>
  <si>
    <t>066759</t>
  </si>
  <si>
    <t>KULCHIN ROSS</t>
  </si>
  <si>
    <t>068103</t>
  </si>
  <si>
    <t>BILL TERRY INS</t>
  </si>
  <si>
    <t>066767</t>
  </si>
  <si>
    <t>AMERICAN ALLIAN</t>
  </si>
  <si>
    <t>071893</t>
  </si>
  <si>
    <t>MUGAVERO KEVIN</t>
  </si>
  <si>
    <t>067018</t>
  </si>
  <si>
    <t>067055</t>
  </si>
  <si>
    <t>067248</t>
  </si>
  <si>
    <t>067330</t>
  </si>
  <si>
    <t>LINN T HODGE &amp;</t>
  </si>
  <si>
    <t>067420</t>
  </si>
  <si>
    <t>REPUBLIC INSURA</t>
  </si>
  <si>
    <t>067451</t>
  </si>
  <si>
    <t>067535</t>
  </si>
  <si>
    <t>067579</t>
  </si>
  <si>
    <t>067613</t>
  </si>
  <si>
    <t>067640</t>
  </si>
  <si>
    <t>THORSON</t>
  </si>
  <si>
    <t>067696</t>
  </si>
  <si>
    <t>067699</t>
  </si>
  <si>
    <t>072522</t>
  </si>
  <si>
    <t>BARKLEY</t>
  </si>
  <si>
    <t>068066</t>
  </si>
  <si>
    <t>068170</t>
  </si>
  <si>
    <t>068209</t>
  </si>
  <si>
    <t>052497</t>
  </si>
  <si>
    <t>LOCKTON ENCINO</t>
  </si>
  <si>
    <t>068315</t>
  </si>
  <si>
    <t>068361</t>
  </si>
  <si>
    <t>SYMCAP INS</t>
  </si>
  <si>
    <t>068392</t>
  </si>
  <si>
    <t>068508</t>
  </si>
  <si>
    <t>068527</t>
  </si>
  <si>
    <t>068568</t>
  </si>
  <si>
    <t>MONTAGE INSURA</t>
  </si>
  <si>
    <t>071724</t>
  </si>
  <si>
    <t>POMS &amp; ASSOCIAT</t>
  </si>
  <si>
    <t>071875</t>
  </si>
  <si>
    <t>ISU - THOMAS BE</t>
  </si>
  <si>
    <t>071885</t>
  </si>
  <si>
    <t>071917</t>
  </si>
  <si>
    <t>072011</t>
  </si>
  <si>
    <t>072083</t>
  </si>
  <si>
    <t>072135</t>
  </si>
  <si>
    <t>MODAB INSURANCE</t>
  </si>
  <si>
    <t>072145</t>
  </si>
  <si>
    <t>072258</t>
  </si>
  <si>
    <t>072356</t>
  </si>
  <si>
    <t>GIACOPUZZI &amp; CO</t>
  </si>
  <si>
    <t>072355</t>
  </si>
  <si>
    <t>DAVID'S INSURAN</t>
  </si>
  <si>
    <t>072357</t>
  </si>
  <si>
    <t>UNI &amp; GOOD FRIE</t>
  </si>
  <si>
    <t>072362</t>
  </si>
  <si>
    <t>072378</t>
  </si>
  <si>
    <t>FISCUS COMMERCI</t>
  </si>
  <si>
    <t>072384</t>
  </si>
  <si>
    <t>DAVID MORRIS</t>
  </si>
  <si>
    <t>072385</t>
  </si>
  <si>
    <t>BURKHARDT INSUR</t>
  </si>
  <si>
    <t>072413</t>
  </si>
  <si>
    <t>PUBLIC INSURANC</t>
  </si>
  <si>
    <t>072448</t>
  </si>
  <si>
    <t>072490</t>
  </si>
  <si>
    <t>IOA ENCINO</t>
  </si>
  <si>
    <t>072641</t>
  </si>
  <si>
    <t>LBW INS</t>
  </si>
  <si>
    <t>072683</t>
  </si>
  <si>
    <t>072772</t>
  </si>
  <si>
    <t>MARSH &amp; MCLENN</t>
  </si>
  <si>
    <t>072796</t>
  </si>
  <si>
    <t>RAY FINANCIAL</t>
  </si>
  <si>
    <t>072841</t>
  </si>
  <si>
    <t>UNIVERSAL INS</t>
  </si>
  <si>
    <t>099030</t>
  </si>
  <si>
    <t>ABACUS</t>
  </si>
  <si>
    <t>052107</t>
  </si>
  <si>
    <t>065768</t>
  </si>
  <si>
    <t>EUGENE BENES</t>
  </si>
  <si>
    <t>066932</t>
  </si>
  <si>
    <t>VEENSTRA-CONNER</t>
  </si>
  <si>
    <t>067969</t>
  </si>
  <si>
    <t>STEFFEY HATOWAY</t>
  </si>
  <si>
    <t>068051</t>
  </si>
  <si>
    <t>WORLD INSURANCE</t>
  </si>
  <si>
    <t>068139</t>
  </si>
  <si>
    <t>ROSENTHAL BROS</t>
  </si>
  <si>
    <t>068141</t>
  </si>
  <si>
    <t>MCCREDIE INS</t>
  </si>
  <si>
    <t>068362</t>
  </si>
  <si>
    <t>S.T. NESWOLD</t>
  </si>
  <si>
    <t>068403</t>
  </si>
  <si>
    <t>HRUSKA INSURANC</t>
  </si>
  <si>
    <t>068420</t>
  </si>
  <si>
    <t>GREATER MIDSTAT</t>
  </si>
  <si>
    <t>068494</t>
  </si>
  <si>
    <t>REALTY GROUP IN</t>
  </si>
  <si>
    <t>068575</t>
  </si>
  <si>
    <t>GREAT MICHIGAN</t>
  </si>
  <si>
    <t>071576</t>
  </si>
  <si>
    <t>STEINFELD INSUR</t>
  </si>
  <si>
    <t>071811</t>
  </si>
  <si>
    <t>CONDO RISK INSU</t>
  </si>
  <si>
    <t>071955</t>
  </si>
  <si>
    <t>COLDBROOK INSUR</t>
  </si>
  <si>
    <t>072358</t>
  </si>
  <si>
    <t>BURNHAM &amp; FLOWE</t>
  </si>
  <si>
    <t>072414</t>
  </si>
  <si>
    <t>072620</t>
  </si>
  <si>
    <t>KAPNICK INSURAN</t>
  </si>
  <si>
    <t>072685</t>
  </si>
  <si>
    <t>072698</t>
  </si>
  <si>
    <t>THE BARRINGTON</t>
  </si>
  <si>
    <t>072856</t>
  </si>
  <si>
    <t>010065</t>
  </si>
  <si>
    <t>LLOYD BERKETT</t>
  </si>
  <si>
    <t>010069</t>
  </si>
  <si>
    <t>010117</t>
  </si>
  <si>
    <t>ARROYO ARCADIA</t>
  </si>
  <si>
    <t>010141</t>
  </si>
  <si>
    <t>010148</t>
  </si>
  <si>
    <t>ISU-CAPITANO</t>
  </si>
  <si>
    <t>010186</t>
  </si>
  <si>
    <t>HESSE INSURANCE</t>
  </si>
  <si>
    <t>010215</t>
  </si>
  <si>
    <t>VAN DUZER</t>
  </si>
  <si>
    <t>010230</t>
  </si>
  <si>
    <t>010275</t>
  </si>
  <si>
    <t>DELANEY</t>
  </si>
  <si>
    <t>010304</t>
  </si>
  <si>
    <t>010305</t>
  </si>
  <si>
    <t>010350</t>
  </si>
  <si>
    <t>010367</t>
  </si>
  <si>
    <t>010371</t>
  </si>
  <si>
    <t>HUB LONG BEACH</t>
  </si>
  <si>
    <t>010403</t>
  </si>
  <si>
    <t>010446</t>
  </si>
  <si>
    <t>ISU-CALGARD</t>
  </si>
  <si>
    <t>010449</t>
  </si>
  <si>
    <t>INSURANCE SALES</t>
  </si>
  <si>
    <t>010529</t>
  </si>
  <si>
    <t>068048</t>
  </si>
  <si>
    <t>UNIVERSAL RISK</t>
  </si>
  <si>
    <t>010566</t>
  </si>
  <si>
    <t>KNAUF</t>
  </si>
  <si>
    <t>GALLAGHER ALISO</t>
  </si>
  <si>
    <t>010706</t>
  </si>
  <si>
    <t>KESSLER ALAIR</t>
  </si>
  <si>
    <t>NEU INSURANCE</t>
  </si>
  <si>
    <t>010762</t>
  </si>
  <si>
    <t>GALLAGHER GLEND</t>
  </si>
  <si>
    <t>010774</t>
  </si>
  <si>
    <t>SUPPLE-MERRILL</t>
  </si>
  <si>
    <t>010791</t>
  </si>
  <si>
    <t>SFVH</t>
  </si>
  <si>
    <t>010848</t>
  </si>
  <si>
    <t>SHAW MOSES</t>
  </si>
  <si>
    <t>KELLEY, JIGGINS</t>
  </si>
  <si>
    <t>UNITED AGENCIES</t>
  </si>
  <si>
    <t>012109</t>
  </si>
  <si>
    <t>DRISCOLL</t>
  </si>
  <si>
    <t>013698</t>
  </si>
  <si>
    <t>PTL INSURANCE</t>
  </si>
  <si>
    <t>017622</t>
  </si>
  <si>
    <t>CDS CORP</t>
  </si>
  <si>
    <t>019303</t>
  </si>
  <si>
    <t>HODGKISS</t>
  </si>
  <si>
    <t>019305</t>
  </si>
  <si>
    <t>CORNERSTONE</t>
  </si>
  <si>
    <t>019383</t>
  </si>
  <si>
    <t>020449</t>
  </si>
  <si>
    <t>SULLIVAN CURTIS</t>
  </si>
  <si>
    <t>020876</t>
  </si>
  <si>
    <t>CURRY INSURANCE</t>
  </si>
  <si>
    <t>020906</t>
  </si>
  <si>
    <t>ALDRICH/TAYLOR</t>
  </si>
  <si>
    <t>022514</t>
  </si>
  <si>
    <t>KELLEY, GARY L</t>
  </si>
  <si>
    <t>022725</t>
  </si>
  <si>
    <t>EL CAPITAN PAS</t>
  </si>
  <si>
    <t>041360</t>
  </si>
  <si>
    <t>067307</t>
  </si>
  <si>
    <t>052439</t>
  </si>
  <si>
    <t>062625</t>
  </si>
  <si>
    <t>KELLY WILLIAMS</t>
  </si>
  <si>
    <t>068313</t>
  </si>
  <si>
    <t>064052</t>
  </si>
  <si>
    <t>ABERNATHY INS</t>
  </si>
  <si>
    <t>067460</t>
  </si>
  <si>
    <t>EMPIRE COMPANY</t>
  </si>
  <si>
    <t>072154</t>
  </si>
  <si>
    <t>065250</t>
  </si>
  <si>
    <t>RDS INSURANCE</t>
  </si>
  <si>
    <t>066066</t>
  </si>
  <si>
    <t>BRYSON CASUALTY</t>
  </si>
  <si>
    <t>066180</t>
  </si>
  <si>
    <t>ARROYO REDLANDS</t>
  </si>
  <si>
    <t>066474</t>
  </si>
  <si>
    <t>IOA LOS ANGELES</t>
  </si>
  <si>
    <t>066725</t>
  </si>
  <si>
    <t>TIMOTHY CLINE</t>
  </si>
  <si>
    <t>066826</t>
  </si>
  <si>
    <t>068047</t>
  </si>
  <si>
    <t>067140</t>
  </si>
  <si>
    <t>067153</t>
  </si>
  <si>
    <t>067258</t>
  </si>
  <si>
    <t>072028</t>
  </si>
  <si>
    <t>USI PHOENIX</t>
  </si>
  <si>
    <t>067912</t>
  </si>
  <si>
    <t>CUMBRE ACRISURE</t>
  </si>
  <si>
    <t>067978</t>
  </si>
  <si>
    <t>068100</t>
  </si>
  <si>
    <t>068255</t>
  </si>
  <si>
    <t>ALLIANT INS SER</t>
  </si>
  <si>
    <t>068310</t>
  </si>
  <si>
    <t>HEFFERNAN INS</t>
  </si>
  <si>
    <t>068366</t>
  </si>
  <si>
    <t>068560</t>
  </si>
  <si>
    <t>071762</t>
  </si>
  <si>
    <t>ALKEME INSURANC</t>
  </si>
  <si>
    <t>071763</t>
  </si>
  <si>
    <t>HARDY INSURANCE</t>
  </si>
  <si>
    <t>071764</t>
  </si>
  <si>
    <t>VENTURE PACIFIC</t>
  </si>
  <si>
    <t>071769</t>
  </si>
  <si>
    <t>071776</t>
  </si>
  <si>
    <t>071844</t>
  </si>
  <si>
    <t>071847</t>
  </si>
  <si>
    <t>WESTLAKE RISK</t>
  </si>
  <si>
    <t>071861</t>
  </si>
  <si>
    <t>TDW RISK MANAGE</t>
  </si>
  <si>
    <t>071907</t>
  </si>
  <si>
    <t>ARMAC INSURANCE</t>
  </si>
  <si>
    <t>EPIC</t>
  </si>
  <si>
    <t>072079</t>
  </si>
  <si>
    <t>072108</t>
  </si>
  <si>
    <t>072193</t>
  </si>
  <si>
    <t>072197</t>
  </si>
  <si>
    <t>072274</t>
  </si>
  <si>
    <t>MASSEY INSURANC</t>
  </si>
  <si>
    <t>072319</t>
  </si>
  <si>
    <t>TPG INSURANCE</t>
  </si>
  <si>
    <t>INSURANCE RESOU</t>
  </si>
  <si>
    <t>072394</t>
  </si>
  <si>
    <t>ACT INSURANCE</t>
  </si>
  <si>
    <t>072421</t>
  </si>
  <si>
    <t>072479</t>
  </si>
  <si>
    <t>072596</t>
  </si>
  <si>
    <t>072640</t>
  </si>
  <si>
    <t>072704</t>
  </si>
  <si>
    <t>072707</t>
  </si>
  <si>
    <t>GALLANT RISK</t>
  </si>
  <si>
    <t>072793</t>
  </si>
  <si>
    <t>072846</t>
  </si>
  <si>
    <t>BEACH</t>
  </si>
  <si>
    <t>072868</t>
  </si>
  <si>
    <t>SHEPARD INSURAN</t>
  </si>
  <si>
    <t>099496</t>
  </si>
  <si>
    <t>WEAVER &amp; ASSOC</t>
  </si>
  <si>
    <t>010242</t>
  </si>
  <si>
    <t>DRACHMAN</t>
  </si>
  <si>
    <t>010260</t>
  </si>
  <si>
    <t>FARMER</t>
  </si>
  <si>
    <t>010329</t>
  </si>
  <si>
    <t>010372</t>
  </si>
  <si>
    <t>071586</t>
  </si>
  <si>
    <t>010673</t>
  </si>
  <si>
    <t>INSURICA SOUTHW</t>
  </si>
  <si>
    <t>010776</t>
  </si>
  <si>
    <t>064628</t>
  </si>
  <si>
    <t>CREST INSURANCE</t>
  </si>
  <si>
    <t>013178</t>
  </si>
  <si>
    <t>ARIZONA GROUP</t>
  </si>
  <si>
    <t>014500</t>
  </si>
  <si>
    <t>016534</t>
  </si>
  <si>
    <t>HATCH INSURANCE</t>
  </si>
  <si>
    <t>017286</t>
  </si>
  <si>
    <t>HILL &amp; USHER</t>
  </si>
  <si>
    <t>024333</t>
  </si>
  <si>
    <t>063250</t>
  </si>
  <si>
    <t>065170</t>
  </si>
  <si>
    <t>065302</t>
  </si>
  <si>
    <t>STUCKEY INSURAN</t>
  </si>
  <si>
    <t>065369</t>
  </si>
  <si>
    <t>065672</t>
  </si>
  <si>
    <t>065717</t>
  </si>
  <si>
    <t>PEAKSTONE FINAN</t>
  </si>
  <si>
    <t>065924</t>
  </si>
  <si>
    <t>INSURANCE PROFS</t>
  </si>
  <si>
    <t>065963</t>
  </si>
  <si>
    <t>LOVITT &amp; TOUCHE</t>
  </si>
  <si>
    <t>066126</t>
  </si>
  <si>
    <t>067242</t>
  </si>
  <si>
    <t>SILVERLEAF INSU</t>
  </si>
  <si>
    <t>067262</t>
  </si>
  <si>
    <t>066633</t>
  </si>
  <si>
    <t>RESECO INSURANC</t>
  </si>
  <si>
    <t>066639</t>
  </si>
  <si>
    <t>066742</t>
  </si>
  <si>
    <t>066874</t>
  </si>
  <si>
    <t>067020</t>
  </si>
  <si>
    <t>067398</t>
  </si>
  <si>
    <t>067468</t>
  </si>
  <si>
    <t>067532</t>
  </si>
  <si>
    <t>BREINHOLT INS</t>
  </si>
  <si>
    <t>067679</t>
  </si>
  <si>
    <t>067749</t>
  </si>
  <si>
    <t>067996</t>
  </si>
  <si>
    <t>068222</t>
  </si>
  <si>
    <t>LOCKTON - SCOTT</t>
  </si>
  <si>
    <t>068377</t>
  </si>
  <si>
    <t>GERRY SCHAELLER</t>
  </si>
  <si>
    <t>068413</t>
  </si>
  <si>
    <t>071682</t>
  </si>
  <si>
    <t>066831</t>
  </si>
  <si>
    <t>071855</t>
  </si>
  <si>
    <t>072062</t>
  </si>
  <si>
    <t>BREINHOLT ANDER</t>
  </si>
  <si>
    <t>072072</t>
  </si>
  <si>
    <t>072116</t>
  </si>
  <si>
    <t>072218</t>
  </si>
  <si>
    <t>CA AZ GROUP</t>
  </si>
  <si>
    <t>072240</t>
  </si>
  <si>
    <t>HEFFERNAN</t>
  </si>
  <si>
    <t>072243</t>
  </si>
  <si>
    <t>072300</t>
  </si>
  <si>
    <t>072345</t>
  </si>
  <si>
    <t>072412</t>
  </si>
  <si>
    <t>072653</t>
  </si>
  <si>
    <t>GUARDIAN INS</t>
  </si>
  <si>
    <t>072777</t>
  </si>
  <si>
    <t>072847</t>
  </si>
  <si>
    <t>STRONG TOWER</t>
  </si>
  <si>
    <t>072869</t>
  </si>
  <si>
    <t>099429</t>
  </si>
  <si>
    <t>010549</t>
  </si>
  <si>
    <t>DIXIE LEAVITT</t>
  </si>
  <si>
    <t>012358</t>
  </si>
  <si>
    <t>CHURCHILL</t>
  </si>
  <si>
    <t>099946</t>
  </si>
  <si>
    <t>012867</t>
  </si>
  <si>
    <t>MANASSERO</t>
  </si>
  <si>
    <t>KIBBLE PORTLAND</t>
  </si>
  <si>
    <t>013398</t>
  </si>
  <si>
    <t>SISKIYOU INSURA</t>
  </si>
  <si>
    <t>013459</t>
  </si>
  <si>
    <t>MCCLATCHY INS</t>
  </si>
  <si>
    <t>013548</t>
  </si>
  <si>
    <t>013616</t>
  </si>
  <si>
    <t>ALBANO, DALE</t>
  </si>
  <si>
    <t>014463</t>
  </si>
  <si>
    <t>016043</t>
  </si>
  <si>
    <t>ATWOOD INSURANC</t>
  </si>
  <si>
    <t>017735</t>
  </si>
  <si>
    <t>NOBLE WEST</t>
  </si>
  <si>
    <t>017951</t>
  </si>
  <si>
    <t>018039</t>
  </si>
  <si>
    <t>066497</t>
  </si>
  <si>
    <t>SWARTS MANNING</t>
  </si>
  <si>
    <t>018281</t>
  </si>
  <si>
    <t>018701</t>
  </si>
  <si>
    <t>PURVES &amp; ASSOC</t>
  </si>
  <si>
    <t>019056</t>
  </si>
  <si>
    <t>019321</t>
  </si>
  <si>
    <t>019531</t>
  </si>
  <si>
    <t>071994</t>
  </si>
  <si>
    <t>ACRISURE SHINGL</t>
  </si>
  <si>
    <t>021157</t>
  </si>
  <si>
    <t>ASSURANCE RISK</t>
  </si>
  <si>
    <t>022317</t>
  </si>
  <si>
    <t>022456</t>
  </si>
  <si>
    <t>ARMSTRONG &amp;</t>
  </si>
  <si>
    <t>HUB SACRAMENTO</t>
  </si>
  <si>
    <t>026304</t>
  </si>
  <si>
    <t>DICK HARRIS INS</t>
  </si>
  <si>
    <t>026350</t>
  </si>
  <si>
    <t>026380</t>
  </si>
  <si>
    <t>INTERWEST CHICO</t>
  </si>
  <si>
    <t>026552</t>
  </si>
  <si>
    <t>MCGEE &amp; THIELEN</t>
  </si>
  <si>
    <t>INTERWEST SAC</t>
  </si>
  <si>
    <t>026841</t>
  </si>
  <si>
    <t>026979</t>
  </si>
  <si>
    <t>VALLEY OAKS</t>
  </si>
  <si>
    <t>026983</t>
  </si>
  <si>
    <t>WRAITH, SCARLET</t>
  </si>
  <si>
    <t>027045</t>
  </si>
  <si>
    <t>WARREN G. BENDE</t>
  </si>
  <si>
    <t>027080</t>
  </si>
  <si>
    <t>062617</t>
  </si>
  <si>
    <t>BC ENVIRONMENTA</t>
  </si>
  <si>
    <t>063545</t>
  </si>
  <si>
    <t>INSOURCE GROUP</t>
  </si>
  <si>
    <t>064883</t>
  </si>
  <si>
    <t>065050</t>
  </si>
  <si>
    <t>065092</t>
  </si>
  <si>
    <t>065159</t>
  </si>
  <si>
    <t>BOZZUTO &amp; COMPA</t>
  </si>
  <si>
    <t>071948</t>
  </si>
  <si>
    <t>MBA ALLIANCE</t>
  </si>
  <si>
    <t>065709</t>
  </si>
  <si>
    <t>R.K. JACOBS</t>
  </si>
  <si>
    <t>066777</t>
  </si>
  <si>
    <t>MERCY DI PAOLO</t>
  </si>
  <si>
    <t>066793</t>
  </si>
  <si>
    <t>SHAW INSURANCE</t>
  </si>
  <si>
    <t>066975</t>
  </si>
  <si>
    <t>067052</t>
  </si>
  <si>
    <t>WOODWICK, KEVIN</t>
  </si>
  <si>
    <t>067154</t>
  </si>
  <si>
    <t>SWEENEY &amp; SELLA</t>
  </si>
  <si>
    <t>067168</t>
  </si>
  <si>
    <t>WEST INSURANCE</t>
  </si>
  <si>
    <t>067254</t>
  </si>
  <si>
    <t>KHI INSURANCE</t>
  </si>
  <si>
    <t>067267</t>
  </si>
  <si>
    <t>SIERRA OAK INS</t>
  </si>
  <si>
    <t>071967</t>
  </si>
  <si>
    <t>067324</t>
  </si>
  <si>
    <t>ALBRECHT INSURA</t>
  </si>
  <si>
    <t>067328</t>
  </si>
  <si>
    <t>NARTKER &amp; CHRIS</t>
  </si>
  <si>
    <t>MAVEN RISK</t>
  </si>
  <si>
    <t>067379</t>
  </si>
  <si>
    <t>GLENN COUNTY</t>
  </si>
  <si>
    <t>067401</t>
  </si>
  <si>
    <t>067520</t>
  </si>
  <si>
    <t>067620</t>
  </si>
  <si>
    <t>067805</t>
  </si>
  <si>
    <t>ROSEVILLE INS.</t>
  </si>
  <si>
    <t>067821</t>
  </si>
  <si>
    <t>EAST MAIN ST.</t>
  </si>
  <si>
    <t>067913</t>
  </si>
  <si>
    <t>068125</t>
  </si>
  <si>
    <t>HERITAGE AG INS</t>
  </si>
  <si>
    <t>068132</t>
  </si>
  <si>
    <t>OAKVIEW INS SER</t>
  </si>
  <si>
    <t>068260</t>
  </si>
  <si>
    <t>BUILDERS ADVANT</t>
  </si>
  <si>
    <t>068309</t>
  </si>
  <si>
    <t>068373</t>
  </si>
  <si>
    <t>068385</t>
  </si>
  <si>
    <t>BEACH &amp; O'NEILL</t>
  </si>
  <si>
    <t>068419</t>
  </si>
  <si>
    <t>GAINES INSURANC</t>
  </si>
  <si>
    <t>068544</t>
  </si>
  <si>
    <t>071608</t>
  </si>
  <si>
    <t>071628</t>
  </si>
  <si>
    <t>068472</t>
  </si>
  <si>
    <t>071754</t>
  </si>
  <si>
    <t>HEBARD INSURANC</t>
  </si>
  <si>
    <t>071822</t>
  </si>
  <si>
    <t>071823</t>
  </si>
  <si>
    <t>071829</t>
  </si>
  <si>
    <t>072118</t>
  </si>
  <si>
    <t>HUNTLEY BRAVOS</t>
  </si>
  <si>
    <t>072143</t>
  </si>
  <si>
    <t>072255</t>
  </si>
  <si>
    <t>072294</t>
  </si>
  <si>
    <t>CLARK &amp; ASSOCIA</t>
  </si>
  <si>
    <t>072391</t>
  </si>
  <si>
    <t>RIDGEMARK INSUR</t>
  </si>
  <si>
    <t>072432</t>
  </si>
  <si>
    <t>072489</t>
  </si>
  <si>
    <t>072594</t>
  </si>
  <si>
    <t>INTERWEST INSUR</t>
  </si>
  <si>
    <t>099922</t>
  </si>
  <si>
    <t>RIVER VALLEY</t>
  </si>
  <si>
    <t>064769</t>
  </si>
  <si>
    <t>021139</t>
  </si>
  <si>
    <t>WARREN W. REED</t>
  </si>
  <si>
    <t>021140</t>
  </si>
  <si>
    <t>MENATH INSURANC</t>
  </si>
  <si>
    <t>021573</t>
  </si>
  <si>
    <t>071573</t>
  </si>
  <si>
    <t>068535</t>
  </si>
  <si>
    <t>022509</t>
  </si>
  <si>
    <t>NEVADA INSURANC</t>
  </si>
  <si>
    <t>022659</t>
  </si>
  <si>
    <t>022944</t>
  </si>
  <si>
    <t>027004</t>
  </si>
  <si>
    <t>A AND H INSURAN</t>
  </si>
  <si>
    <t>027005</t>
  </si>
  <si>
    <t>ALPINE</t>
  </si>
  <si>
    <t>027185</t>
  </si>
  <si>
    <t>COMSTOCK</t>
  </si>
  <si>
    <t>027635</t>
  </si>
  <si>
    <t>NEVADA INS</t>
  </si>
  <si>
    <t>065005</t>
  </si>
  <si>
    <t>063278</t>
  </si>
  <si>
    <t>HENKES, LAWRENC</t>
  </si>
  <si>
    <t>063531</t>
  </si>
  <si>
    <t>E.H. HURSH, INC</t>
  </si>
  <si>
    <t>L/P RENO</t>
  </si>
  <si>
    <t>CONSOLIDATED AG</t>
  </si>
  <si>
    <t>GREATER INSURAN</t>
  </si>
  <si>
    <t>065361</t>
  </si>
  <si>
    <t>065387</t>
  </si>
  <si>
    <t>066329</t>
  </si>
  <si>
    <t>WESTBRIDGE INSU</t>
  </si>
  <si>
    <t>066762</t>
  </si>
  <si>
    <t>066945</t>
  </si>
  <si>
    <t>INSUREPRO</t>
  </si>
  <si>
    <t>067021</t>
  </si>
  <si>
    <t>AMWINS-RENO</t>
  </si>
  <si>
    <t>067488</t>
  </si>
  <si>
    <t>HEFFERNAN TRUCK</t>
  </si>
  <si>
    <t>068144</t>
  </si>
  <si>
    <t>068147</t>
  </si>
  <si>
    <t>068386</t>
  </si>
  <si>
    <t>068451</t>
  </si>
  <si>
    <t>MENATH - A TO Z</t>
  </si>
  <si>
    <t>AIM, INC.</t>
  </si>
  <si>
    <t>071857</t>
  </si>
  <si>
    <t>FROMARC INSURAN</t>
  </si>
  <si>
    <t>072260</t>
  </si>
  <si>
    <t>INTERWEST</t>
  </si>
  <si>
    <t>072442</t>
  </si>
  <si>
    <t>072731</t>
  </si>
  <si>
    <t>072739</t>
  </si>
  <si>
    <t>016272</t>
  </si>
  <si>
    <t>J. MOREY-SJ</t>
  </si>
  <si>
    <t>025771</t>
  </si>
  <si>
    <t>025535</t>
  </si>
  <si>
    <t>014583</t>
  </si>
  <si>
    <t>015002</t>
  </si>
  <si>
    <t>MALLOY IMRIE</t>
  </si>
  <si>
    <t>017769</t>
  </si>
  <si>
    <t>JAMES K. MASON</t>
  </si>
  <si>
    <t>PROFESSIONAL IN</t>
  </si>
  <si>
    <t>BOZZUTO &amp; ASSOC</t>
  </si>
  <si>
    <t>019804</t>
  </si>
  <si>
    <t>ARCHWAY INSURAN</t>
  </si>
  <si>
    <t>020903</t>
  </si>
  <si>
    <t>020999</t>
  </si>
  <si>
    <t>025149</t>
  </si>
  <si>
    <t>025017</t>
  </si>
  <si>
    <t>025022</t>
  </si>
  <si>
    <t>025050</t>
  </si>
  <si>
    <t>025110</t>
  </si>
  <si>
    <t>BRANDT</t>
  </si>
  <si>
    <t>029099</t>
  </si>
  <si>
    <t>CALENDER-ROBINS</t>
  </si>
  <si>
    <t>025438</t>
  </si>
  <si>
    <t>025487</t>
  </si>
  <si>
    <t>ISU/INSURANCE S</t>
  </si>
  <si>
    <t>025501</t>
  </si>
  <si>
    <t>JAFFE - SCHLOSS</t>
  </si>
  <si>
    <t>025683</t>
  </si>
  <si>
    <t>O'KANE</t>
  </si>
  <si>
    <t>025736</t>
  </si>
  <si>
    <t>029025</t>
  </si>
  <si>
    <t>DOWNEY, CAVADIA</t>
  </si>
  <si>
    <t>ABD REDWOOD CTY</t>
  </si>
  <si>
    <t>029475</t>
  </si>
  <si>
    <t>MCGOVERN, JAMES</t>
  </si>
  <si>
    <t>029510</t>
  </si>
  <si>
    <t>ATLANTIC-PACIFI</t>
  </si>
  <si>
    <t>065169</t>
  </si>
  <si>
    <t>065271</t>
  </si>
  <si>
    <t>CLARION PACIFIC</t>
  </si>
  <si>
    <t>065346</t>
  </si>
  <si>
    <t>065350</t>
  </si>
  <si>
    <t>DONALD R. HARDY</t>
  </si>
  <si>
    <t>065359</t>
  </si>
  <si>
    <t>065458</t>
  </si>
  <si>
    <t>065540</t>
  </si>
  <si>
    <t>HAYASHI, JEFFRE</t>
  </si>
  <si>
    <t>065767</t>
  </si>
  <si>
    <t>065775</t>
  </si>
  <si>
    <t>KENNETH S BARON</t>
  </si>
  <si>
    <t>065869</t>
  </si>
  <si>
    <t>066371</t>
  </si>
  <si>
    <t>GREAT EASTERN</t>
  </si>
  <si>
    <t>066848</t>
  </si>
  <si>
    <t>067035</t>
  </si>
  <si>
    <t>067093</t>
  </si>
  <si>
    <t>HUB MONTEREY</t>
  </si>
  <si>
    <t>067206</t>
  </si>
  <si>
    <t>CAL INSURANCE</t>
  </si>
  <si>
    <t>067247</t>
  </si>
  <si>
    <t>067459</t>
  </si>
  <si>
    <t>067601</t>
  </si>
  <si>
    <t>WANG INSURANCE</t>
  </si>
  <si>
    <t>067683</t>
  </si>
  <si>
    <t>067780</t>
  </si>
  <si>
    <t>NORTH BAY INS</t>
  </si>
  <si>
    <t>067824</t>
  </si>
  <si>
    <t>NAPA VALLEY</t>
  </si>
  <si>
    <t>067887</t>
  </si>
  <si>
    <t>DINICOLA INS.</t>
  </si>
  <si>
    <t>067909</t>
  </si>
  <si>
    <t>068512</t>
  </si>
  <si>
    <t>GS INSURANCE</t>
  </si>
  <si>
    <t>071669</t>
  </si>
  <si>
    <t>071821</t>
  </si>
  <si>
    <t>071824</t>
  </si>
  <si>
    <t>071849</t>
  </si>
  <si>
    <t>072081</t>
  </si>
  <si>
    <t>ASERO INSURANCE</t>
  </si>
  <si>
    <t>072141</t>
  </si>
  <si>
    <t>072211</t>
  </si>
  <si>
    <t>072347</t>
  </si>
  <si>
    <t>ISU LOVERING IN</t>
  </si>
  <si>
    <t>072348</t>
  </si>
  <si>
    <t>072363</t>
  </si>
  <si>
    <t>WYNN INSURANCE</t>
  </si>
  <si>
    <t>072383</t>
  </si>
  <si>
    <t>072390</t>
  </si>
  <si>
    <t>PENTARISK INSUR</t>
  </si>
  <si>
    <t>072484</t>
  </si>
  <si>
    <t>SADLER &amp; CO</t>
  </si>
  <si>
    <t>072510</t>
  </si>
  <si>
    <t>TAPD INSURANCE</t>
  </si>
  <si>
    <t>072688</t>
  </si>
  <si>
    <t>DESANDO INSURAN</t>
  </si>
  <si>
    <t>010062</t>
  </si>
  <si>
    <t>010177</t>
  </si>
  <si>
    <t>ALVARADO PACIFI</t>
  </si>
  <si>
    <t>010245</t>
  </si>
  <si>
    <t>010249</t>
  </si>
  <si>
    <t>MICHAEL EHRENFE</t>
  </si>
  <si>
    <t>010820</t>
  </si>
  <si>
    <t>010289</t>
  </si>
  <si>
    <t>010380</t>
  </si>
  <si>
    <t>010383</t>
  </si>
  <si>
    <t>TEAGUE INSURANC</t>
  </si>
  <si>
    <t>WILLIS TOWERS</t>
  </si>
  <si>
    <t>010748</t>
  </si>
  <si>
    <t>010838</t>
  </si>
  <si>
    <t>010864</t>
  </si>
  <si>
    <t>HUB SAN DIEGO</t>
  </si>
  <si>
    <t>012503</t>
  </si>
  <si>
    <t>BH GOLD</t>
  </si>
  <si>
    <t>012935</t>
  </si>
  <si>
    <t>PAUMA/VALLEY</t>
  </si>
  <si>
    <t>GALLAGHER SD</t>
  </si>
  <si>
    <t>014847</t>
  </si>
  <si>
    <t>016720</t>
  </si>
  <si>
    <t>RANCHO MESA</t>
  </si>
  <si>
    <t>019586</t>
  </si>
  <si>
    <t>LOCKTON - SD</t>
  </si>
  <si>
    <t>021537</t>
  </si>
  <si>
    <t>CMR RISK &amp; INSU</t>
  </si>
  <si>
    <t>USI IRVINE</t>
  </si>
  <si>
    <t>062546</t>
  </si>
  <si>
    <t>062891</t>
  </si>
  <si>
    <t>IOA SAN DIEGO</t>
  </si>
  <si>
    <t>ENDLESS INSURAN</t>
  </si>
  <si>
    <t>064209</t>
  </si>
  <si>
    <t>J.S. TUCKER INS</t>
  </si>
  <si>
    <t>066475</t>
  </si>
  <si>
    <t>066787</t>
  </si>
  <si>
    <t>SAX INSURANCE</t>
  </si>
  <si>
    <t>067356</t>
  </si>
  <si>
    <t>MICHAEL KENNEDY</t>
  </si>
  <si>
    <t>067376</t>
  </si>
  <si>
    <t>067538</t>
  </si>
  <si>
    <t>JPL INS</t>
  </si>
  <si>
    <t>067591</t>
  </si>
  <si>
    <t>KEM JOY CORP</t>
  </si>
  <si>
    <t>067782</t>
  </si>
  <si>
    <t>GAMIE</t>
  </si>
  <si>
    <t>067905</t>
  </si>
  <si>
    <t>067963</t>
  </si>
  <si>
    <t>072553</t>
  </si>
  <si>
    <t>RISK PLACEMENT</t>
  </si>
  <si>
    <t>068168</t>
  </si>
  <si>
    <t>068530</t>
  </si>
  <si>
    <t>071582</t>
  </si>
  <si>
    <t>PIPELINE INSURA</t>
  </si>
  <si>
    <t>071611</t>
  </si>
  <si>
    <t>ERICKSON INSURA</t>
  </si>
  <si>
    <t>071726</t>
  </si>
  <si>
    <t>071802</t>
  </si>
  <si>
    <t>071863</t>
  </si>
  <si>
    <t>071871</t>
  </si>
  <si>
    <t>071918</t>
  </si>
  <si>
    <t>071934</t>
  </si>
  <si>
    <t>072087</t>
  </si>
  <si>
    <t>MAINLINE INSURA</t>
  </si>
  <si>
    <t>072237</t>
  </si>
  <si>
    <t>072247</t>
  </si>
  <si>
    <t>RIVERA, RALPH</t>
  </si>
  <si>
    <t>072254</t>
  </si>
  <si>
    <t>072261</t>
  </si>
  <si>
    <t>CHAMPION RISK</t>
  </si>
  <si>
    <t>072276</t>
  </si>
  <si>
    <t>072343</t>
  </si>
  <si>
    <t>072387</t>
  </si>
  <si>
    <t>072403</t>
  </si>
  <si>
    <t>072481</t>
  </si>
  <si>
    <t>CSGINS, INC</t>
  </si>
  <si>
    <t>072488</t>
  </si>
  <si>
    <t>072526</t>
  </si>
  <si>
    <t>072670</t>
  </si>
  <si>
    <t>072672</t>
  </si>
  <si>
    <t>072745</t>
  </si>
  <si>
    <t>099197</t>
  </si>
  <si>
    <t>099214</t>
  </si>
  <si>
    <t>JWCIB</t>
  </si>
  <si>
    <t>064201</t>
  </si>
  <si>
    <t>WHITFIELD'S INS</t>
  </si>
  <si>
    <t>PROPEL TACOMA</t>
  </si>
  <si>
    <t>014645</t>
  </si>
  <si>
    <t>RICE INSURANCE</t>
  </si>
  <si>
    <t>019332</t>
  </si>
  <si>
    <t>019981</t>
  </si>
  <si>
    <t>HUMBLE &amp; DAVENP</t>
  </si>
  <si>
    <t>021459</t>
  </si>
  <si>
    <t>022688</t>
  </si>
  <si>
    <t>041002</t>
  </si>
  <si>
    <t>B&amp;B SEATTLE</t>
  </si>
  <si>
    <t>041013</t>
  </si>
  <si>
    <t>BELL-AND. KENT</t>
  </si>
  <si>
    <t>041147</t>
  </si>
  <si>
    <t>HUB BOTHELL</t>
  </si>
  <si>
    <t>041182</t>
  </si>
  <si>
    <t>GALLAGHER BELLE</t>
  </si>
  <si>
    <t>KIBBLE SEATTLE</t>
  </si>
  <si>
    <t>041266</t>
  </si>
  <si>
    <t>MILLER, HANSEN</t>
  </si>
  <si>
    <t>041314</t>
  </si>
  <si>
    <t>041315</t>
  </si>
  <si>
    <t>041322</t>
  </si>
  <si>
    <t>041350</t>
  </si>
  <si>
    <t>B&amp;B TACOMA</t>
  </si>
  <si>
    <t>041402</t>
  </si>
  <si>
    <t>065882</t>
  </si>
  <si>
    <t>FOURNIER &amp; ASSO</t>
  </si>
  <si>
    <t>041405</t>
  </si>
  <si>
    <t>041424</t>
  </si>
  <si>
    <t>041426</t>
  </si>
  <si>
    <t>041439</t>
  </si>
  <si>
    <t>066342</t>
  </si>
  <si>
    <t>064698</t>
  </si>
  <si>
    <t>064902</t>
  </si>
  <si>
    <t>068088</t>
  </si>
  <si>
    <t>065572</t>
  </si>
  <si>
    <t>099758</t>
  </si>
  <si>
    <t>REDMOND GENERAL</t>
  </si>
  <si>
    <t>066333</t>
  </si>
  <si>
    <t>ADVANTAGE MASTR</t>
  </si>
  <si>
    <t>066588</t>
  </si>
  <si>
    <t>066589</t>
  </si>
  <si>
    <t>066601</t>
  </si>
  <si>
    <t>FORTIPHI</t>
  </si>
  <si>
    <t>066883</t>
  </si>
  <si>
    <t>OLTMAN INSURANC</t>
  </si>
  <si>
    <t>067053</t>
  </si>
  <si>
    <t>B&amp;B POULSBO</t>
  </si>
  <si>
    <t>067354</t>
  </si>
  <si>
    <t>MANNA INSURANCE</t>
  </si>
  <si>
    <t>067380</t>
  </si>
  <si>
    <t>BASIN INSURANCE</t>
  </si>
  <si>
    <t>067901</t>
  </si>
  <si>
    <t>EASTSIDE INS.</t>
  </si>
  <si>
    <t>068173</t>
  </si>
  <si>
    <t>068223</t>
  </si>
  <si>
    <t>LOCKTON - BELLE</t>
  </si>
  <si>
    <t>068224</t>
  </si>
  <si>
    <t>LOCKTON - LAKE</t>
  </si>
  <si>
    <t>068261</t>
  </si>
  <si>
    <t>068433</t>
  </si>
  <si>
    <t>068511</t>
  </si>
  <si>
    <t>071782</t>
  </si>
  <si>
    <t>071858</t>
  </si>
  <si>
    <t>071909</t>
  </si>
  <si>
    <t>071979</t>
  </si>
  <si>
    <t>071982</t>
  </si>
  <si>
    <t>MAGAS INSURANCE</t>
  </si>
  <si>
    <t>072071</t>
  </si>
  <si>
    <t>072153</t>
  </si>
  <si>
    <t>072263</t>
  </si>
  <si>
    <t>PORTER WHIDBEY</t>
  </si>
  <si>
    <t>072332</t>
  </si>
  <si>
    <t>072559</t>
  </si>
  <si>
    <t>072597</t>
  </si>
  <si>
    <t>KAYE ASSOCIATES</t>
  </si>
  <si>
    <t>072639</t>
  </si>
  <si>
    <t>072658</t>
  </si>
  <si>
    <t>IOA INSURANCE</t>
  </si>
  <si>
    <t>022253</t>
  </si>
  <si>
    <t>022259</t>
  </si>
  <si>
    <t>061005</t>
  </si>
  <si>
    <t>061106</t>
  </si>
  <si>
    <t>065322</t>
  </si>
  <si>
    <t>066346</t>
  </si>
  <si>
    <t>066997</t>
  </si>
  <si>
    <t>067312</t>
  </si>
  <si>
    <t>072478</t>
  </si>
  <si>
    <t>067450</t>
  </si>
  <si>
    <t>067452</t>
  </si>
  <si>
    <t>KEY CITY INSURA</t>
  </si>
  <si>
    <t>067467</t>
  </si>
  <si>
    <t>AL HOM INSURANC</t>
  </si>
  <si>
    <t>067476</t>
  </si>
  <si>
    <t>067689</t>
  </si>
  <si>
    <t>067874</t>
  </si>
  <si>
    <t>067879</t>
  </si>
  <si>
    <t>068445</t>
  </si>
  <si>
    <t>071607</t>
  </si>
  <si>
    <t>NEILSON &amp; PHILL</t>
  </si>
  <si>
    <t>071796</t>
  </si>
  <si>
    <t>072012</t>
  </si>
  <si>
    <t>072076</t>
  </si>
  <si>
    <t>072196</t>
  </si>
  <si>
    <t>072270</t>
  </si>
  <si>
    <t>072477</t>
  </si>
  <si>
    <t>072618</t>
  </si>
  <si>
    <t>072690</t>
  </si>
  <si>
    <t>072705</t>
  </si>
  <si>
    <t>010052</t>
  </si>
  <si>
    <t>010053</t>
  </si>
  <si>
    <t>010076</t>
  </si>
  <si>
    <t>010100</t>
  </si>
  <si>
    <t>010401</t>
  </si>
  <si>
    <t>010493</t>
  </si>
  <si>
    <t>010577</t>
  </si>
  <si>
    <t>010739</t>
  </si>
  <si>
    <t>010817</t>
  </si>
  <si>
    <t>010842</t>
  </si>
  <si>
    <t>010883</t>
  </si>
  <si>
    <t>012550</t>
  </si>
  <si>
    <t>012677</t>
  </si>
  <si>
    <t>012827</t>
  </si>
  <si>
    <t>013036</t>
  </si>
  <si>
    <t>013120</t>
  </si>
  <si>
    <t>013316</t>
  </si>
  <si>
    <t>013418</t>
  </si>
  <si>
    <t>013602</t>
  </si>
  <si>
    <t>013609</t>
  </si>
  <si>
    <t>013690</t>
  </si>
  <si>
    <t>013728</t>
  </si>
  <si>
    <t>013822</t>
  </si>
  <si>
    <t>013925</t>
  </si>
  <si>
    <t>013949</t>
  </si>
  <si>
    <t>014186</t>
  </si>
  <si>
    <t>014334</t>
  </si>
  <si>
    <t>014335</t>
  </si>
  <si>
    <t>014406</t>
  </si>
  <si>
    <t>014465</t>
  </si>
  <si>
    <t>014892</t>
  </si>
  <si>
    <t>016670</t>
  </si>
  <si>
    <t>017118</t>
  </si>
  <si>
    <t>017338</t>
  </si>
  <si>
    <t>017665</t>
  </si>
  <si>
    <t>018081</t>
  </si>
  <si>
    <t>018091</t>
  </si>
  <si>
    <t>018113</t>
  </si>
  <si>
    <t>018261</t>
  </si>
  <si>
    <t>018372</t>
  </si>
  <si>
    <t>018886</t>
  </si>
  <si>
    <t>019359</t>
  </si>
  <si>
    <t>019372</t>
  </si>
  <si>
    <t>019421</t>
  </si>
  <si>
    <t>020159</t>
  </si>
  <si>
    <t>020238</t>
  </si>
  <si>
    <t>020334</t>
  </si>
  <si>
    <t>020536</t>
  </si>
  <si>
    <t>020823</t>
  </si>
  <si>
    <t>020987</t>
  </si>
  <si>
    <t>021001</t>
  </si>
  <si>
    <t>021267</t>
  </si>
  <si>
    <t>021271</t>
  </si>
  <si>
    <t>021279</t>
  </si>
  <si>
    <t>021357</t>
  </si>
  <si>
    <t>021507</t>
  </si>
  <si>
    <t>021760</t>
  </si>
  <si>
    <t>022162</t>
  </si>
  <si>
    <t>022182</t>
  </si>
  <si>
    <t>022199</t>
  </si>
  <si>
    <t>022200</t>
  </si>
  <si>
    <t>022235</t>
  </si>
  <si>
    <t>022244</t>
  </si>
  <si>
    <t>022258</t>
  </si>
  <si>
    <t>022307</t>
  </si>
  <si>
    <t>022319</t>
  </si>
  <si>
    <t>022342</t>
  </si>
  <si>
    <t>022388</t>
  </si>
  <si>
    <t>022396</t>
  </si>
  <si>
    <t>022449</t>
  </si>
  <si>
    <t>022450</t>
  </si>
  <si>
    <t>022478</t>
  </si>
  <si>
    <t>022524</t>
  </si>
  <si>
    <t>022525</t>
  </si>
  <si>
    <t>022527</t>
  </si>
  <si>
    <t>022541</t>
  </si>
  <si>
    <t>022558</t>
  </si>
  <si>
    <t>022576</t>
  </si>
  <si>
    <t>022599</t>
  </si>
  <si>
    <t>022651</t>
  </si>
  <si>
    <t>022660</t>
  </si>
  <si>
    <t>022682</t>
  </si>
  <si>
    <t>022697</t>
  </si>
  <si>
    <t>022746</t>
  </si>
  <si>
    <t>022752</t>
  </si>
  <si>
    <t>022768</t>
  </si>
  <si>
    <t>022781</t>
  </si>
  <si>
    <t>022794</t>
  </si>
  <si>
    <t>022844</t>
  </si>
  <si>
    <t>022855</t>
  </si>
  <si>
    <t>022960</t>
  </si>
  <si>
    <t>022965</t>
  </si>
  <si>
    <t>022971</t>
  </si>
  <si>
    <t>023039</t>
  </si>
  <si>
    <t>023164</t>
  </si>
  <si>
    <t>023170</t>
  </si>
  <si>
    <t>023268</t>
  </si>
  <si>
    <t>023328</t>
  </si>
  <si>
    <t>023374</t>
  </si>
  <si>
    <t>025240</t>
  </si>
  <si>
    <t>026071</t>
  </si>
  <si>
    <t>026181</t>
  </si>
  <si>
    <t>026260</t>
  </si>
  <si>
    <t>026882</t>
  </si>
  <si>
    <t>026883</t>
  </si>
  <si>
    <t>028121</t>
  </si>
  <si>
    <t>028401</t>
  </si>
  <si>
    <t>029866</t>
  </si>
  <si>
    <t>031643</t>
  </si>
  <si>
    <t>041123</t>
  </si>
  <si>
    <t>041433</t>
  </si>
  <si>
    <t>052018</t>
  </si>
  <si>
    <t>052036</t>
  </si>
  <si>
    <t>052072</t>
  </si>
  <si>
    <t>052088</t>
  </si>
  <si>
    <t>052104</t>
  </si>
  <si>
    <t>052134</t>
  </si>
  <si>
    <t>052176</t>
  </si>
  <si>
    <t>052276</t>
  </si>
  <si>
    <t>052280</t>
  </si>
  <si>
    <t>052428</t>
  </si>
  <si>
    <t>052436</t>
  </si>
  <si>
    <t>052487</t>
  </si>
  <si>
    <t>052634</t>
  </si>
  <si>
    <t>052912</t>
  </si>
  <si>
    <t>052940</t>
  </si>
  <si>
    <t>052974</t>
  </si>
  <si>
    <t>053144</t>
  </si>
  <si>
    <t>053162</t>
  </si>
  <si>
    <t>053410</t>
  </si>
  <si>
    <t>053580</t>
  </si>
  <si>
    <t>053690</t>
  </si>
  <si>
    <t>053937</t>
  </si>
  <si>
    <t>061503</t>
  </si>
  <si>
    <t>062534</t>
  </si>
  <si>
    <t>062536</t>
  </si>
  <si>
    <t>062777</t>
  </si>
  <si>
    <t>062821</t>
  </si>
  <si>
    <t>062869</t>
  </si>
  <si>
    <t>063028</t>
  </si>
  <si>
    <t>063126</t>
  </si>
  <si>
    <t>063235</t>
  </si>
  <si>
    <t>063763</t>
  </si>
  <si>
    <t>063991</t>
  </si>
  <si>
    <t>064003</t>
  </si>
  <si>
    <t>064102</t>
  </si>
  <si>
    <t>064418</t>
  </si>
  <si>
    <t>064618</t>
  </si>
  <si>
    <t>064619</t>
  </si>
  <si>
    <t>065205</t>
  </si>
  <si>
    <t>065270</t>
  </si>
  <si>
    <t>065464</t>
  </si>
  <si>
    <t>065542</t>
  </si>
  <si>
    <t>065590</t>
  </si>
  <si>
    <t>065597</t>
  </si>
  <si>
    <t>065927</t>
  </si>
  <si>
    <t>066106</t>
  </si>
  <si>
    <t>066220</t>
  </si>
  <si>
    <t>066234</t>
  </si>
  <si>
    <t>066282</t>
  </si>
  <si>
    <t>066309</t>
  </si>
  <si>
    <t>066426</t>
  </si>
  <si>
    <t>066437</t>
  </si>
  <si>
    <t>066457</t>
  </si>
  <si>
    <t>066584</t>
  </si>
  <si>
    <t>066590</t>
  </si>
  <si>
    <t>066596</t>
  </si>
  <si>
    <t>066722</t>
  </si>
  <si>
    <t>066833</t>
  </si>
  <si>
    <t>066869</t>
  </si>
  <si>
    <t>066873</t>
  </si>
  <si>
    <t>066961</t>
  </si>
  <si>
    <t>067027</t>
  </si>
  <si>
    <t>067029</t>
  </si>
  <si>
    <t>067031</t>
  </si>
  <si>
    <t>067079</t>
  </si>
  <si>
    <t>067156</t>
  </si>
  <si>
    <t>067256</t>
  </si>
  <si>
    <t>067374</t>
  </si>
  <si>
    <t>067390</t>
  </si>
  <si>
    <t>067396</t>
  </si>
  <si>
    <t>067443</t>
  </si>
  <si>
    <t>067466</t>
  </si>
  <si>
    <t>067477</t>
  </si>
  <si>
    <t>067497</t>
  </si>
  <si>
    <t>067499</t>
  </si>
  <si>
    <t>067525</t>
  </si>
  <si>
    <t>067615</t>
  </si>
  <si>
    <t>067624</t>
  </si>
  <si>
    <t>067657</t>
  </si>
  <si>
    <t>067727</t>
  </si>
  <si>
    <t>067730</t>
  </si>
  <si>
    <t>067734</t>
  </si>
  <si>
    <t>067742</t>
  </si>
  <si>
    <t>067791</t>
  </si>
  <si>
    <t>067797</t>
  </si>
  <si>
    <t>067813</t>
  </si>
  <si>
    <t>067823</t>
  </si>
  <si>
    <t>067836</t>
  </si>
  <si>
    <t>067837</t>
  </si>
  <si>
    <t>067865</t>
  </si>
  <si>
    <t>067900</t>
  </si>
  <si>
    <t>067949</t>
  </si>
  <si>
    <t>067991</t>
  </si>
  <si>
    <t>068015</t>
  </si>
  <si>
    <t>068058</t>
  </si>
  <si>
    <t>068059</t>
  </si>
  <si>
    <t>068065</t>
  </si>
  <si>
    <t>068090</t>
  </si>
  <si>
    <t>068268</t>
  </si>
  <si>
    <t>068285</t>
  </si>
  <si>
    <t>068295</t>
  </si>
  <si>
    <t>068302</t>
  </si>
  <si>
    <t>068326</t>
  </si>
  <si>
    <t>068356</t>
  </si>
  <si>
    <t>068396</t>
  </si>
  <si>
    <t>068400</t>
  </si>
  <si>
    <t>068498</t>
  </si>
  <si>
    <t>068522</t>
  </si>
  <si>
    <t>068526</t>
  </si>
  <si>
    <t>068547</t>
  </si>
  <si>
    <t>071583</t>
  </si>
  <si>
    <t>071630</t>
  </si>
  <si>
    <t>071650</t>
  </si>
  <si>
    <t>071664</t>
  </si>
  <si>
    <t>071774</t>
  </si>
  <si>
    <t>071783</t>
  </si>
  <si>
    <t>071865</t>
  </si>
  <si>
    <t>071868</t>
  </si>
  <si>
    <t>071896</t>
  </si>
  <si>
    <t>071914</t>
  </si>
  <si>
    <t>071983</t>
  </si>
  <si>
    <t>071985</t>
  </si>
  <si>
    <t>072016</t>
  </si>
  <si>
    <t>072017</t>
  </si>
  <si>
    <t>072024</t>
  </si>
  <si>
    <t>072036</t>
  </si>
  <si>
    <t>072126</t>
  </si>
  <si>
    <t>072158</t>
  </si>
  <si>
    <t>072175</t>
  </si>
  <si>
    <t>072253</t>
  </si>
  <si>
    <t>072293</t>
  </si>
  <si>
    <t>072321</t>
  </si>
  <si>
    <t>072335</t>
  </si>
  <si>
    <t>072398</t>
  </si>
  <si>
    <t>072433</t>
  </si>
  <si>
    <t>072439</t>
  </si>
  <si>
    <t>072636</t>
  </si>
  <si>
    <t>072638</t>
  </si>
  <si>
    <t>072684</t>
  </si>
  <si>
    <t>072808</t>
  </si>
  <si>
    <t>081046</t>
  </si>
  <si>
    <t>081700</t>
  </si>
  <si>
    <t>099170</t>
  </si>
  <si>
    <t>099467</t>
  </si>
  <si>
    <t>099497</t>
  </si>
  <si>
    <t>099503</t>
  </si>
  <si>
    <t>099714</t>
  </si>
  <si>
    <t>099733</t>
  </si>
  <si>
    <t>099950</t>
  </si>
  <si>
    <t>N/A</t>
  </si>
  <si>
    <t>053333</t>
  </si>
  <si>
    <t>Total</t>
  </si>
  <si>
    <t>072885</t>
  </si>
  <si>
    <t>ADAMS INS</t>
  </si>
  <si>
    <t>THE HORTON GRO</t>
  </si>
  <si>
    <t>072875</t>
  </si>
  <si>
    <t>CRESCENTA</t>
  </si>
  <si>
    <t>072876</t>
  </si>
  <si>
    <t>DILLON RISK</t>
  </si>
  <si>
    <t>072886</t>
  </si>
  <si>
    <t>072873</t>
  </si>
  <si>
    <t>010009</t>
  </si>
  <si>
    <t>010237</t>
  </si>
  <si>
    <t>010420</t>
  </si>
  <si>
    <t>010480</t>
  </si>
  <si>
    <t>010548</t>
  </si>
  <si>
    <t>010698</t>
  </si>
  <si>
    <t>010728</t>
  </si>
  <si>
    <t>010766</t>
  </si>
  <si>
    <t>010796</t>
  </si>
  <si>
    <t>010797</t>
  </si>
  <si>
    <t>010810</t>
  </si>
  <si>
    <t>010863</t>
  </si>
  <si>
    <t>013470</t>
  </si>
  <si>
    <t>014776</t>
  </si>
  <si>
    <t>017534</t>
  </si>
  <si>
    <t>017932</t>
  </si>
  <si>
    <t>018267</t>
  </si>
  <si>
    <t>018331</t>
  </si>
  <si>
    <t>018477</t>
  </si>
  <si>
    <t>018831</t>
  </si>
  <si>
    <t>021039</t>
  </si>
  <si>
    <t>022058</t>
  </si>
  <si>
    <t>022063</t>
  </si>
  <si>
    <t>022264</t>
  </si>
  <si>
    <t>022483</t>
  </si>
  <si>
    <t>022735</t>
  </si>
  <si>
    <t>022761</t>
  </si>
  <si>
    <t>022847</t>
  </si>
  <si>
    <t>063200</t>
  </si>
  <si>
    <t>063301</t>
  </si>
  <si>
    <t>063481</t>
  </si>
  <si>
    <t>065382</t>
  </si>
  <si>
    <t>065453</t>
  </si>
  <si>
    <t>065912</t>
  </si>
  <si>
    <t>066178</t>
  </si>
  <si>
    <t>066527</t>
  </si>
  <si>
    <t>067551</t>
  </si>
  <si>
    <t>067582</t>
  </si>
  <si>
    <t>099925</t>
  </si>
  <si>
    <t>010031</t>
  </si>
  <si>
    <t>010709</t>
  </si>
  <si>
    <t>014150</t>
  </si>
  <si>
    <t>022163</t>
  </si>
  <si>
    <t>023022</t>
  </si>
  <si>
    <t>023725</t>
  </si>
  <si>
    <t>026132</t>
  </si>
  <si>
    <t>026243</t>
  </si>
  <si>
    <t>028180</t>
  </si>
  <si>
    <t>065004</t>
  </si>
  <si>
    <t>065711</t>
  </si>
  <si>
    <t>065941</t>
  </si>
  <si>
    <t>066129</t>
  </si>
  <si>
    <t>066460</t>
  </si>
  <si>
    <t>066819</t>
  </si>
  <si>
    <t>066902</t>
  </si>
  <si>
    <t>067388</t>
  </si>
  <si>
    <t>068552</t>
  </si>
  <si>
    <t>068564</t>
  </si>
  <si>
    <t>010510</t>
  </si>
  <si>
    <t>014785</t>
  </si>
  <si>
    <t>014786</t>
  </si>
  <si>
    <t>019841</t>
  </si>
  <si>
    <t>022402</t>
  </si>
  <si>
    <t>023211</t>
  </si>
  <si>
    <t>026040</t>
  </si>
  <si>
    <t>028080</t>
  </si>
  <si>
    <t>028388</t>
  </si>
  <si>
    <t>028567</t>
  </si>
  <si>
    <t>028655</t>
  </si>
  <si>
    <t>028734</t>
  </si>
  <si>
    <t>028747</t>
  </si>
  <si>
    <t>029045</t>
  </si>
  <si>
    <t>029809</t>
  </si>
  <si>
    <t>062963</t>
  </si>
  <si>
    <t>063152</t>
  </si>
  <si>
    <t>063164</t>
  </si>
  <si>
    <t>063900</t>
  </si>
  <si>
    <t>065147</t>
  </si>
  <si>
    <t>065161</t>
  </si>
  <si>
    <t>065326</t>
  </si>
  <si>
    <t>065422</t>
  </si>
  <si>
    <t>066063</t>
  </si>
  <si>
    <t>066376</t>
  </si>
  <si>
    <t>066394</t>
  </si>
  <si>
    <t>066840</t>
  </si>
  <si>
    <t>067334</t>
  </si>
  <si>
    <t>067567</t>
  </si>
  <si>
    <t>012488</t>
  </si>
  <si>
    <t>017720</t>
  </si>
  <si>
    <t>019172</t>
  </si>
  <si>
    <t>020128</t>
  </si>
  <si>
    <t>020474</t>
  </si>
  <si>
    <t>020889</t>
  </si>
  <si>
    <t>021300</t>
  </si>
  <si>
    <t>021684</t>
  </si>
  <si>
    <t>021807</t>
  </si>
  <si>
    <t>022023</t>
  </si>
  <si>
    <t>022418</t>
  </si>
  <si>
    <t>022656</t>
  </si>
  <si>
    <t>022909</t>
  </si>
  <si>
    <t>023155</t>
  </si>
  <si>
    <t>023251</t>
  </si>
  <si>
    <t>031029</t>
  </si>
  <si>
    <t>031044</t>
  </si>
  <si>
    <t>031110</t>
  </si>
  <si>
    <t>031211</t>
  </si>
  <si>
    <t>031253</t>
  </si>
  <si>
    <t>031290</t>
  </si>
  <si>
    <t>031360</t>
  </si>
  <si>
    <t>031392</t>
  </si>
  <si>
    <t>031405</t>
  </si>
  <si>
    <t>031450</t>
  </si>
  <si>
    <t>031485</t>
  </si>
  <si>
    <t>031570</t>
  </si>
  <si>
    <t>031620</t>
  </si>
  <si>
    <t>031657</t>
  </si>
  <si>
    <t>041090</t>
  </si>
  <si>
    <t>041180</t>
  </si>
  <si>
    <t>041389</t>
  </si>
  <si>
    <t>041395</t>
  </si>
  <si>
    <t>041436</t>
  </si>
  <si>
    <t>063724</t>
  </si>
  <si>
    <t>064880</t>
  </si>
  <si>
    <t>064978</t>
  </si>
  <si>
    <t>066330</t>
  </si>
  <si>
    <t>066350</t>
  </si>
  <si>
    <t>066464</t>
  </si>
  <si>
    <t>066850</t>
  </si>
  <si>
    <t>067403</t>
  </si>
  <si>
    <t>081008</t>
  </si>
  <si>
    <t>010749</t>
  </si>
  <si>
    <t>010060</t>
  </si>
  <si>
    <t>010139</t>
  </si>
  <si>
    <t>010209</t>
  </si>
  <si>
    <t>010217</t>
  </si>
  <si>
    <t>010312</t>
  </si>
  <si>
    <t>010575</t>
  </si>
  <si>
    <t>010694</t>
  </si>
  <si>
    <t>010715</t>
  </si>
  <si>
    <t>010760</t>
  </si>
  <si>
    <t>010771</t>
  </si>
  <si>
    <t>010829</t>
  </si>
  <si>
    <t>010871</t>
  </si>
  <si>
    <t>010895</t>
  </si>
  <si>
    <t>014487</t>
  </si>
  <si>
    <t>014811</t>
  </si>
  <si>
    <t>016424</t>
  </si>
  <si>
    <t>017886</t>
  </si>
  <si>
    <t>018864</t>
  </si>
  <si>
    <t>020669</t>
  </si>
  <si>
    <t>021274</t>
  </si>
  <si>
    <t>021330</t>
  </si>
  <si>
    <t>021611</t>
  </si>
  <si>
    <t>022583</t>
  </si>
  <si>
    <t>022680</t>
  </si>
  <si>
    <t>022723</t>
  </si>
  <si>
    <t>022892</t>
  </si>
  <si>
    <t>062528</t>
  </si>
  <si>
    <t>062552</t>
  </si>
  <si>
    <t>063513</t>
  </si>
  <si>
    <t>063572</t>
  </si>
  <si>
    <t>064117</t>
  </si>
  <si>
    <t>064482</t>
  </si>
  <si>
    <t>064519</t>
  </si>
  <si>
    <t>064971</t>
  </si>
  <si>
    <t>065404</t>
  </si>
  <si>
    <t>065493</t>
  </si>
  <si>
    <t>065696</t>
  </si>
  <si>
    <t>065883</t>
  </si>
  <si>
    <t>066064</t>
  </si>
  <si>
    <t>066067</t>
  </si>
  <si>
    <t>066089</t>
  </si>
  <si>
    <t>066210</t>
  </si>
  <si>
    <t>066557</t>
  </si>
  <si>
    <t>066764</t>
  </si>
  <si>
    <t>066858</t>
  </si>
  <si>
    <t>067152</t>
  </si>
  <si>
    <t>067977</t>
  </si>
  <si>
    <t>072914</t>
  </si>
  <si>
    <t>099327</t>
  </si>
  <si>
    <t>010082</t>
  </si>
  <si>
    <t>010135</t>
  </si>
  <si>
    <t>010317</t>
  </si>
  <si>
    <t>010711</t>
  </si>
  <si>
    <t>010777</t>
  </si>
  <si>
    <t>010823</t>
  </si>
  <si>
    <t>010879</t>
  </si>
  <si>
    <t>014824</t>
  </si>
  <si>
    <t>014826</t>
  </si>
  <si>
    <t>017081</t>
  </si>
  <si>
    <t>018030</t>
  </si>
  <si>
    <t>021012</t>
  </si>
  <si>
    <t>021609</t>
  </si>
  <si>
    <t>021931</t>
  </si>
  <si>
    <t>022164</t>
  </si>
  <si>
    <t>022834</t>
  </si>
  <si>
    <t>022986</t>
  </si>
  <si>
    <t>062654</t>
  </si>
  <si>
    <t>063510</t>
  </si>
  <si>
    <t>063636</t>
  </si>
  <si>
    <t>063757</t>
  </si>
  <si>
    <t>063807</t>
  </si>
  <si>
    <t>064579</t>
  </si>
  <si>
    <t>064718</t>
  </si>
  <si>
    <t>066513</t>
  </si>
  <si>
    <t>066843</t>
  </si>
  <si>
    <t>066871</t>
  </si>
  <si>
    <t>067011</t>
  </si>
  <si>
    <t>067892</t>
  </si>
  <si>
    <t>072930</t>
  </si>
  <si>
    <t>AMWINS ACCESS</t>
  </si>
  <si>
    <t>099499</t>
  </si>
  <si>
    <t>010622</t>
  </si>
  <si>
    <t>012155</t>
  </si>
  <si>
    <t>010814</t>
  </si>
  <si>
    <t>010862</t>
  </si>
  <si>
    <t>012095</t>
  </si>
  <si>
    <t>012156</t>
  </si>
  <si>
    <t>013813</t>
  </si>
  <si>
    <t>013974</t>
  </si>
  <si>
    <t>014385</t>
  </si>
  <si>
    <t>015367</t>
  </si>
  <si>
    <t>016076</t>
  </si>
  <si>
    <t>016522</t>
  </si>
  <si>
    <t>016674</t>
  </si>
  <si>
    <t>018508</t>
  </si>
  <si>
    <t>020632</t>
  </si>
  <si>
    <t>020831</t>
  </si>
  <si>
    <t>022114</t>
  </si>
  <si>
    <t>022143</t>
  </si>
  <si>
    <t>022275</t>
  </si>
  <si>
    <t>022983</t>
  </si>
  <si>
    <t>018865</t>
  </si>
  <si>
    <t>023158</t>
  </si>
  <si>
    <t>053423</t>
  </si>
  <si>
    <t>062741</t>
  </si>
  <si>
    <t>063231</t>
  </si>
  <si>
    <t>063534</t>
  </si>
  <si>
    <t>064838</t>
  </si>
  <si>
    <t>065726</t>
  </si>
  <si>
    <t>065812</t>
  </si>
  <si>
    <t>065891</t>
  </si>
  <si>
    <t>065921</t>
  </si>
  <si>
    <t>066391</t>
  </si>
  <si>
    <t>066432</t>
  </si>
  <si>
    <t>066491</t>
  </si>
  <si>
    <t>066556</t>
  </si>
  <si>
    <t>066609</t>
  </si>
  <si>
    <t>067368</t>
  </si>
  <si>
    <t>067634</t>
  </si>
  <si>
    <t>099462</t>
  </si>
  <si>
    <t>099900</t>
  </si>
  <si>
    <t>012985</t>
  </si>
  <si>
    <t>018157</t>
  </si>
  <si>
    <t>018909</t>
  </si>
  <si>
    <t>019910</t>
  </si>
  <si>
    <t>022333</t>
  </si>
  <si>
    <t>026097</t>
  </si>
  <si>
    <t>026129</t>
  </si>
  <si>
    <t>026133</t>
  </si>
  <si>
    <t>026269</t>
  </si>
  <si>
    <t>026685</t>
  </si>
  <si>
    <t>026320</t>
  </si>
  <si>
    <t>027450</t>
  </si>
  <si>
    <t>027735</t>
  </si>
  <si>
    <t>031103</t>
  </si>
  <si>
    <t>065504</t>
  </si>
  <si>
    <t>066218</t>
  </si>
  <si>
    <t>067016</t>
  </si>
  <si>
    <t>067255</t>
  </si>
  <si>
    <t>067322</t>
  </si>
  <si>
    <t>067378</t>
  </si>
  <si>
    <t>068161</t>
  </si>
  <si>
    <t>010240</t>
  </si>
  <si>
    <t>010621</t>
  </si>
  <si>
    <t>013153</t>
  </si>
  <si>
    <t>013905</t>
  </si>
  <si>
    <t>018184</t>
  </si>
  <si>
    <t>021119</t>
  </si>
  <si>
    <t>021173</t>
  </si>
  <si>
    <t>021730</t>
  </si>
  <si>
    <t>022540</t>
  </si>
  <si>
    <t>072918</t>
  </si>
  <si>
    <t>023057</t>
  </si>
  <si>
    <t>023105</t>
  </si>
  <si>
    <t>026356</t>
  </si>
  <si>
    <t>026672</t>
  </si>
  <si>
    <t>063424</t>
  </si>
  <si>
    <t>027352</t>
  </si>
  <si>
    <t>027412</t>
  </si>
  <si>
    <t>062569</t>
  </si>
  <si>
    <t>062647</t>
  </si>
  <si>
    <t>062704</t>
  </si>
  <si>
    <t>063121</t>
  </si>
  <si>
    <t>063172</t>
  </si>
  <si>
    <t>063425</t>
  </si>
  <si>
    <t>063492</t>
  </si>
  <si>
    <t>063529</t>
  </si>
  <si>
    <t>063602</t>
  </si>
  <si>
    <t>064929</t>
  </si>
  <si>
    <t>065117</t>
  </si>
  <si>
    <t>066537</t>
  </si>
  <si>
    <t>066830</t>
  </si>
  <si>
    <t>067659</t>
  </si>
  <si>
    <t>068471</t>
  </si>
  <si>
    <t>010693</t>
  </si>
  <si>
    <t>013023</t>
  </si>
  <si>
    <t>029255</t>
  </si>
  <si>
    <t>018478</t>
  </si>
  <si>
    <t>019761</t>
  </si>
  <si>
    <t>019818</t>
  </si>
  <si>
    <t>021358</t>
  </si>
  <si>
    <t>022636</t>
  </si>
  <si>
    <t>022707</t>
  </si>
  <si>
    <t>023027</t>
  </si>
  <si>
    <t>025064</t>
  </si>
  <si>
    <t>025387</t>
  </si>
  <si>
    <t>025768</t>
  </si>
  <si>
    <t>028236</t>
  </si>
  <si>
    <t>029875</t>
  </si>
  <si>
    <t>063290</t>
  </si>
  <si>
    <t>064801</t>
  </si>
  <si>
    <t>065206</t>
  </si>
  <si>
    <t>066104</t>
  </si>
  <si>
    <t>066444</t>
  </si>
  <si>
    <t>066566</t>
  </si>
  <si>
    <t>066689</t>
  </si>
  <si>
    <t>067095</t>
  </si>
  <si>
    <t>010030</t>
  </si>
  <si>
    <t>010045</t>
  </si>
  <si>
    <t>010115</t>
  </si>
  <si>
    <t>010168</t>
  </si>
  <si>
    <t>010282</t>
  </si>
  <si>
    <t>010713</t>
  </si>
  <si>
    <t>010767</t>
  </si>
  <si>
    <t>010882</t>
  </si>
  <si>
    <t>012805</t>
  </si>
  <si>
    <t>013374</t>
  </si>
  <si>
    <t>013686</t>
  </si>
  <si>
    <t>020743</t>
  </si>
  <si>
    <t>022255</t>
  </si>
  <si>
    <t>022546</t>
  </si>
  <si>
    <t>023008</t>
  </si>
  <si>
    <t>062907</t>
  </si>
  <si>
    <t>063463</t>
  </si>
  <si>
    <t>064799</t>
  </si>
  <si>
    <t>065014</t>
  </si>
  <si>
    <t>066397</t>
  </si>
  <si>
    <t>067215</t>
  </si>
  <si>
    <t>067626</t>
  </si>
  <si>
    <t>012091</t>
  </si>
  <si>
    <t>014250</t>
  </si>
  <si>
    <t>017377</t>
  </si>
  <si>
    <t>017555</t>
  </si>
  <si>
    <t>018125</t>
  </si>
  <si>
    <t>019227</t>
  </si>
  <si>
    <t>022461</t>
  </si>
  <si>
    <t>041014</t>
  </si>
  <si>
    <t>041146</t>
  </si>
  <si>
    <t>041153</t>
  </si>
  <si>
    <t>041259</t>
  </si>
  <si>
    <t>041295</t>
  </si>
  <si>
    <t>041325</t>
  </si>
  <si>
    <t>063322</t>
  </si>
  <si>
    <t>064793</t>
  </si>
  <si>
    <t>064948</t>
  </si>
  <si>
    <t>065410</t>
  </si>
  <si>
    <t>065508</t>
  </si>
  <si>
    <t>065641</t>
  </si>
  <si>
    <t>066092</t>
  </si>
  <si>
    <t>066096</t>
  </si>
  <si>
    <t>066591</t>
  </si>
  <si>
    <t>066730</t>
  </si>
  <si>
    <t>067240</t>
  </si>
  <si>
    <t>067241</t>
  </si>
  <si>
    <t>067166</t>
  </si>
  <si>
    <t>1</t>
  </si>
  <si>
    <t>010056</t>
  </si>
  <si>
    <t>010057</t>
  </si>
  <si>
    <t>010088</t>
  </si>
  <si>
    <t>010125</t>
  </si>
  <si>
    <t>010128</t>
  </si>
  <si>
    <t>010185</t>
  </si>
  <si>
    <t>010214</t>
  </si>
  <si>
    <t>010315</t>
  </si>
  <si>
    <t>010355</t>
  </si>
  <si>
    <t>010455</t>
  </si>
  <si>
    <t>010689</t>
  </si>
  <si>
    <t>010722</t>
  </si>
  <si>
    <t>010768</t>
  </si>
  <si>
    <t>010784</t>
  </si>
  <si>
    <t>010806</t>
  </si>
  <si>
    <t>010834</t>
  </si>
  <si>
    <t>010843</t>
  </si>
  <si>
    <t>010857</t>
  </si>
  <si>
    <t>010885</t>
  </si>
  <si>
    <t>012292</t>
  </si>
  <si>
    <t>012320</t>
  </si>
  <si>
    <t>012327</t>
  </si>
  <si>
    <t>012349</t>
  </si>
  <si>
    <t>012413</t>
  </si>
  <si>
    <t>012527</t>
  </si>
  <si>
    <t>012579</t>
  </si>
  <si>
    <t>012605</t>
  </si>
  <si>
    <t>012634</t>
  </si>
  <si>
    <t>012655</t>
  </si>
  <si>
    <t>012722</t>
  </si>
  <si>
    <t>012815</t>
  </si>
  <si>
    <t>012870</t>
  </si>
  <si>
    <t>013028</t>
  </si>
  <si>
    <t>013035</t>
  </si>
  <si>
    <t>013047</t>
  </si>
  <si>
    <t>013050</t>
  </si>
  <si>
    <t>013084</t>
  </si>
  <si>
    <t>013244</t>
  </si>
  <si>
    <t>013262</t>
  </si>
  <si>
    <t>013349</t>
  </si>
  <si>
    <t>013357</t>
  </si>
  <si>
    <t>013359</t>
  </si>
  <si>
    <t>013524</t>
  </si>
  <si>
    <t>013534</t>
  </si>
  <si>
    <t>013571</t>
  </si>
  <si>
    <t>013589</t>
  </si>
  <si>
    <t>013658</t>
  </si>
  <si>
    <t>013659</t>
  </si>
  <si>
    <t>013665</t>
  </si>
  <si>
    <t>013713</t>
  </si>
  <si>
    <t>013727</t>
  </si>
  <si>
    <t>013817</t>
  </si>
  <si>
    <t>013829</t>
  </si>
  <si>
    <t>013830</t>
  </si>
  <si>
    <t>013841</t>
  </si>
  <si>
    <t>013863</t>
  </si>
  <si>
    <t>013923</t>
  </si>
  <si>
    <t>013927</t>
  </si>
  <si>
    <t>013928</t>
  </si>
  <si>
    <t>013935</t>
  </si>
  <si>
    <t>013937</t>
  </si>
  <si>
    <t>013951</t>
  </si>
  <si>
    <t>013956</t>
  </si>
  <si>
    <t>013983</t>
  </si>
  <si>
    <t>013987</t>
  </si>
  <si>
    <t>013992</t>
  </si>
  <si>
    <t>013994</t>
  </si>
  <si>
    <t>014000</t>
  </si>
  <si>
    <t>014017</t>
  </si>
  <si>
    <t>014212</t>
  </si>
  <si>
    <t>014264</t>
  </si>
  <si>
    <t>014286</t>
  </si>
  <si>
    <t>014292</t>
  </si>
  <si>
    <t>014399</t>
  </si>
  <si>
    <t>014415</t>
  </si>
  <si>
    <t>014462</t>
  </si>
  <si>
    <t>014464</t>
  </si>
  <si>
    <t>014467</t>
  </si>
  <si>
    <t>014602</t>
  </si>
  <si>
    <t>014707</t>
  </si>
  <si>
    <t>014749</t>
  </si>
  <si>
    <t>014751</t>
  </si>
  <si>
    <t>014807</t>
  </si>
  <si>
    <t>014834</t>
  </si>
  <si>
    <t>014864</t>
  </si>
  <si>
    <t>014932</t>
  </si>
  <si>
    <t>015021</t>
  </si>
  <si>
    <t>015243</t>
  </si>
  <si>
    <t>015368</t>
  </si>
  <si>
    <t>015551</t>
  </si>
  <si>
    <t>015552</t>
  </si>
  <si>
    <t>015833</t>
  </si>
  <si>
    <t>015929</t>
  </si>
  <si>
    <t>016213</t>
  </si>
  <si>
    <t>016231</t>
  </si>
  <si>
    <t>016297</t>
  </si>
  <si>
    <t>016303</t>
  </si>
  <si>
    <t>016388</t>
  </si>
  <si>
    <t>016390</t>
  </si>
  <si>
    <t>016429</t>
  </si>
  <si>
    <t>016619</t>
  </si>
  <si>
    <t>016620</t>
  </si>
  <si>
    <t>016622</t>
  </si>
  <si>
    <t>016709</t>
  </si>
  <si>
    <t>016752</t>
  </si>
  <si>
    <t>016795</t>
  </si>
  <si>
    <t>016871</t>
  </si>
  <si>
    <t>016873</t>
  </si>
  <si>
    <t>016973</t>
  </si>
  <si>
    <t>017056</t>
  </si>
  <si>
    <t>017095</t>
  </si>
  <si>
    <t>017149</t>
  </si>
  <si>
    <t>017196</t>
  </si>
  <si>
    <t>017254</t>
  </si>
  <si>
    <t>017268</t>
  </si>
  <si>
    <t>017270</t>
  </si>
  <si>
    <t>017371</t>
  </si>
  <si>
    <t>017416</t>
  </si>
  <si>
    <t>017462</t>
  </si>
  <si>
    <t>017463</t>
  </si>
  <si>
    <t>017577</t>
  </si>
  <si>
    <t>017642</t>
  </si>
  <si>
    <t>017663</t>
  </si>
  <si>
    <t>017666</t>
  </si>
  <si>
    <t>017695</t>
  </si>
  <si>
    <t>017723</t>
  </si>
  <si>
    <t>017861</t>
  </si>
  <si>
    <t>017871</t>
  </si>
  <si>
    <t>017873</t>
  </si>
  <si>
    <t>017901</t>
  </si>
  <si>
    <t>017950</t>
  </si>
  <si>
    <t>018042</t>
  </si>
  <si>
    <t>018092</t>
  </si>
  <si>
    <t>018103</t>
  </si>
  <si>
    <t>018181</t>
  </si>
  <si>
    <t>018206</t>
  </si>
  <si>
    <t>018208</t>
  </si>
  <si>
    <t>018453</t>
  </si>
  <si>
    <t>018454</t>
  </si>
  <si>
    <t>018486</t>
  </si>
  <si>
    <t>018612</t>
  </si>
  <si>
    <t>018744</t>
  </si>
  <si>
    <t>018925</t>
  </si>
  <si>
    <t>018993</t>
  </si>
  <si>
    <t>019009</t>
  </si>
  <si>
    <t>019080</t>
  </si>
  <si>
    <t>019155</t>
  </si>
  <si>
    <t>019214</t>
  </si>
  <si>
    <t>019287</t>
  </si>
  <si>
    <t>019371</t>
  </si>
  <si>
    <t>019461</t>
  </si>
  <si>
    <t>019572</t>
  </si>
  <si>
    <t>019590</t>
  </si>
  <si>
    <t>019629</t>
  </si>
  <si>
    <t>019843</t>
  </si>
  <si>
    <t>019872</t>
  </si>
  <si>
    <t>019912</t>
  </si>
  <si>
    <t>020145</t>
  </si>
  <si>
    <t>020226</t>
  </si>
  <si>
    <t>020349</t>
  </si>
  <si>
    <t>020350</t>
  </si>
  <si>
    <t>020367</t>
  </si>
  <si>
    <t>020494</t>
  </si>
  <si>
    <t>020533</t>
  </si>
  <si>
    <t>020574</t>
  </si>
  <si>
    <t>020575</t>
  </si>
  <si>
    <t>020586</t>
  </si>
  <si>
    <t>020597</t>
  </si>
  <si>
    <t>020639</t>
  </si>
  <si>
    <t>020640</t>
  </si>
  <si>
    <t>020660</t>
  </si>
  <si>
    <t>020728</t>
  </si>
  <si>
    <t>020878</t>
  </si>
  <si>
    <t>020884</t>
  </si>
  <si>
    <t>020886</t>
  </si>
  <si>
    <t>020939</t>
  </si>
  <si>
    <t>020956</t>
  </si>
  <si>
    <t>020993</t>
  </si>
  <si>
    <t>021034</t>
  </si>
  <si>
    <t>021035</t>
  </si>
  <si>
    <t>021036</t>
  </si>
  <si>
    <t>021043</t>
  </si>
  <si>
    <t>021122</t>
  </si>
  <si>
    <t>021174</t>
  </si>
  <si>
    <t>021241</t>
  </si>
  <si>
    <t>021270</t>
  </si>
  <si>
    <t>021311</t>
  </si>
  <si>
    <t>021325</t>
  </si>
  <si>
    <t>021331</t>
  </si>
  <si>
    <t>021347</t>
  </si>
  <si>
    <t>021356</t>
  </si>
  <si>
    <t>021389</t>
  </si>
  <si>
    <t>021400</t>
  </si>
  <si>
    <t>021430</t>
  </si>
  <si>
    <t>021440</t>
  </si>
  <si>
    <t>021494</t>
  </si>
  <si>
    <t>021563</t>
  </si>
  <si>
    <t>021605</t>
  </si>
  <si>
    <t>021606</t>
  </si>
  <si>
    <t>021607</t>
  </si>
  <si>
    <t>021608</t>
  </si>
  <si>
    <t>021619</t>
  </si>
  <si>
    <t>021638</t>
  </si>
  <si>
    <t>021640</t>
  </si>
  <si>
    <t>021746</t>
  </si>
  <si>
    <t>021837</t>
  </si>
  <si>
    <t>021850</t>
  </si>
  <si>
    <t>021854</t>
  </si>
  <si>
    <t>021897</t>
  </si>
  <si>
    <t>022083</t>
  </si>
  <si>
    <t>022091</t>
  </si>
  <si>
    <t>022101</t>
  </si>
  <si>
    <t>022115</t>
  </si>
  <si>
    <t>022127</t>
  </si>
  <si>
    <t>022128</t>
  </si>
  <si>
    <t>022144</t>
  </si>
  <si>
    <t>022160</t>
  </si>
  <si>
    <t>022171</t>
  </si>
  <si>
    <t>022181</t>
  </si>
  <si>
    <t>022183</t>
  </si>
  <si>
    <t>022184</t>
  </si>
  <si>
    <t>022192</t>
  </si>
  <si>
    <t>022201</t>
  </si>
  <si>
    <t>022217</t>
  </si>
  <si>
    <t>022222</t>
  </si>
  <si>
    <t>022223</t>
  </si>
  <si>
    <t>022224</t>
  </si>
  <si>
    <t>022225</t>
  </si>
  <si>
    <t>022232</t>
  </si>
  <si>
    <t>022233</t>
  </si>
  <si>
    <t>022234</t>
  </si>
  <si>
    <t>022236</t>
  </si>
  <si>
    <t>022237</t>
  </si>
  <si>
    <t>022242</t>
  </si>
  <si>
    <t>022248</t>
  </si>
  <si>
    <t>022250</t>
  </si>
  <si>
    <t>022252</t>
  </si>
  <si>
    <t>022263</t>
  </si>
  <si>
    <t>022270</t>
  </si>
  <si>
    <t>022273</t>
  </si>
  <si>
    <t>022277</t>
  </si>
  <si>
    <t>022297</t>
  </si>
  <si>
    <t>022298</t>
  </si>
  <si>
    <t>022300</t>
  </si>
  <si>
    <t>022301</t>
  </si>
  <si>
    <t>022305</t>
  </si>
  <si>
    <t>022306</t>
  </si>
  <si>
    <t>022309</t>
  </si>
  <si>
    <t>022318</t>
  </si>
  <si>
    <t>022326</t>
  </si>
  <si>
    <t>022329</t>
  </si>
  <si>
    <t>022332</t>
  </si>
  <si>
    <t>022334</t>
  </si>
  <si>
    <t>022335</t>
  </si>
  <si>
    <t>022340</t>
  </si>
  <si>
    <t>022343</t>
  </si>
  <si>
    <t>022346</t>
  </si>
  <si>
    <t>022352</t>
  </si>
  <si>
    <t>022354</t>
  </si>
  <si>
    <t>022355</t>
  </si>
  <si>
    <t>022359</t>
  </si>
  <si>
    <t>022364</t>
  </si>
  <si>
    <t>022369</t>
  </si>
  <si>
    <t>022375</t>
  </si>
  <si>
    <t>022377</t>
  </si>
  <si>
    <t>022380</t>
  </si>
  <si>
    <t>022382</t>
  </si>
  <si>
    <t>022390</t>
  </si>
  <si>
    <t>022394</t>
  </si>
  <si>
    <t>022395</t>
  </si>
  <si>
    <t>022398</t>
  </si>
  <si>
    <t>022399</t>
  </si>
  <si>
    <t>022401</t>
  </si>
  <si>
    <t>022403</t>
  </si>
  <si>
    <t>022409</t>
  </si>
  <si>
    <t>022415</t>
  </si>
  <si>
    <t>022420</t>
  </si>
  <si>
    <t>022425</t>
  </si>
  <si>
    <t>022428</t>
  </si>
  <si>
    <t>022429</t>
  </si>
  <si>
    <t>022437</t>
  </si>
  <si>
    <t>022440</t>
  </si>
  <si>
    <t>022441</t>
  </si>
  <si>
    <t>022444</t>
  </si>
  <si>
    <t>022445</t>
  </si>
  <si>
    <t>022447</t>
  </si>
  <si>
    <t>022451</t>
  </si>
  <si>
    <t>022452</t>
  </si>
  <si>
    <t>022474</t>
  </si>
  <si>
    <t>022475</t>
  </si>
  <si>
    <t>022476</t>
  </si>
  <si>
    <t>022477</t>
  </si>
  <si>
    <t>022482</t>
  </si>
  <si>
    <t>022486</t>
  </si>
  <si>
    <t>022489</t>
  </si>
  <si>
    <t>022493</t>
  </si>
  <si>
    <t>022495</t>
  </si>
  <si>
    <t>022504</t>
  </si>
  <si>
    <t>022511</t>
  </si>
  <si>
    <t>022512</t>
  </si>
  <si>
    <t>022517</t>
  </si>
  <si>
    <t>022522</t>
  </si>
  <si>
    <t>022526</t>
  </si>
  <si>
    <t>022528</t>
  </si>
  <si>
    <t>022529</t>
  </si>
  <si>
    <t>022543</t>
  </si>
  <si>
    <t>022544</t>
  </si>
  <si>
    <t>022549</t>
  </si>
  <si>
    <t>022550</t>
  </si>
  <si>
    <t>022557</t>
  </si>
  <si>
    <t>022569</t>
  </si>
  <si>
    <t>022570</t>
  </si>
  <si>
    <t>022572</t>
  </si>
  <si>
    <t>022573</t>
  </si>
  <si>
    <t>022574</t>
  </si>
  <si>
    <t>022575</t>
  </si>
  <si>
    <t>022577</t>
  </si>
  <si>
    <t>022578</t>
  </si>
  <si>
    <t>022580</t>
  </si>
  <si>
    <t>022597</t>
  </si>
  <si>
    <t>022605</t>
  </si>
  <si>
    <t>022607</t>
  </si>
  <si>
    <t>022608</t>
  </si>
  <si>
    <t>022609</t>
  </si>
  <si>
    <t>022615</t>
  </si>
  <si>
    <t>022621</t>
  </si>
  <si>
    <t>022622</t>
  </si>
  <si>
    <t>022626</t>
  </si>
  <si>
    <t>022629</t>
  </si>
  <si>
    <t>022630</t>
  </si>
  <si>
    <t>022634</t>
  </si>
  <si>
    <t>022639</t>
  </si>
  <si>
    <t>022640</t>
  </si>
  <si>
    <t>022644</t>
  </si>
  <si>
    <t>022653</t>
  </si>
  <si>
    <t>022655</t>
  </si>
  <si>
    <t>022658</t>
  </si>
  <si>
    <t>022661</t>
  </si>
  <si>
    <t>022664</t>
  </si>
  <si>
    <t>022673</t>
  </si>
  <si>
    <t>022676</t>
  </si>
  <si>
    <t>022678</t>
  </si>
  <si>
    <t>022683</t>
  </si>
  <si>
    <t>022694</t>
  </si>
  <si>
    <t>022708</t>
  </si>
  <si>
    <t>022726</t>
  </si>
  <si>
    <t>022729</t>
  </si>
  <si>
    <t>022734</t>
  </si>
  <si>
    <t>022739</t>
  </si>
  <si>
    <t>022742</t>
  </si>
  <si>
    <t>022758</t>
  </si>
  <si>
    <t>022769</t>
  </si>
  <si>
    <t>022770</t>
  </si>
  <si>
    <t>022773</t>
  </si>
  <si>
    <t>022774</t>
  </si>
  <si>
    <t>022778</t>
  </si>
  <si>
    <t>022779</t>
  </si>
  <si>
    <t>022783</t>
  </si>
  <si>
    <t>022804</t>
  </si>
  <si>
    <t>022811</t>
  </si>
  <si>
    <t>022816</t>
  </si>
  <si>
    <t>022817</t>
  </si>
  <si>
    <t>022819</t>
  </si>
  <si>
    <t>022822</t>
  </si>
  <si>
    <t>022832</t>
  </si>
  <si>
    <t>022833</t>
  </si>
  <si>
    <t>022837</t>
  </si>
  <si>
    <t>022839</t>
  </si>
  <si>
    <t>022840</t>
  </si>
  <si>
    <t>022841</t>
  </si>
  <si>
    <t>022853</t>
  </si>
  <si>
    <t>022866</t>
  </si>
  <si>
    <t>022874</t>
  </si>
  <si>
    <t>022877</t>
  </si>
  <si>
    <t>022882</t>
  </si>
  <si>
    <t>022886</t>
  </si>
  <si>
    <t>022898</t>
  </si>
  <si>
    <t>022899</t>
  </si>
  <si>
    <t>022900</t>
  </si>
  <si>
    <t>022901</t>
  </si>
  <si>
    <t>022905</t>
  </si>
  <si>
    <t>022906</t>
  </si>
  <si>
    <t>022907</t>
  </si>
  <si>
    <t>022908</t>
  </si>
  <si>
    <t>022912</t>
  </si>
  <si>
    <t>022919</t>
  </si>
  <si>
    <t>022925</t>
  </si>
  <si>
    <t>022932</t>
  </si>
  <si>
    <t>022941</t>
  </si>
  <si>
    <t>022943</t>
  </si>
  <si>
    <t>022946</t>
  </si>
  <si>
    <t>022947</t>
  </si>
  <si>
    <t>022949</t>
  </si>
  <si>
    <t>022967</t>
  </si>
  <si>
    <t>022974</t>
  </si>
  <si>
    <t>022977</t>
  </si>
  <si>
    <t>022989</t>
  </si>
  <si>
    <t>022990</t>
  </si>
  <si>
    <t>022994</t>
  </si>
  <si>
    <t>022995</t>
  </si>
  <si>
    <t>023005</t>
  </si>
  <si>
    <t>023006</t>
  </si>
  <si>
    <t>023007</t>
  </si>
  <si>
    <t>023011</t>
  </si>
  <si>
    <t>023019</t>
  </si>
  <si>
    <t>023029</t>
  </si>
  <si>
    <t>023030</t>
  </si>
  <si>
    <t>023038</t>
  </si>
  <si>
    <t>023040</t>
  </si>
  <si>
    <t>023042</t>
  </si>
  <si>
    <t>023047</t>
  </si>
  <si>
    <t>023050</t>
  </si>
  <si>
    <t>023064</t>
  </si>
  <si>
    <t>023065</t>
  </si>
  <si>
    <t>023123</t>
  </si>
  <si>
    <t>023166</t>
  </si>
  <si>
    <t>023171</t>
  </si>
  <si>
    <t>023182</t>
  </si>
  <si>
    <t>023184</t>
  </si>
  <si>
    <t>023203</t>
  </si>
  <si>
    <t>023377</t>
  </si>
  <si>
    <t>023388</t>
  </si>
  <si>
    <t>023648</t>
  </si>
  <si>
    <t>023661</t>
  </si>
  <si>
    <t>023753</t>
  </si>
  <si>
    <t>023928</t>
  </si>
  <si>
    <t>024078</t>
  </si>
  <si>
    <t>024288</t>
  </si>
  <si>
    <t>024337</t>
  </si>
  <si>
    <t>024432</t>
  </si>
  <si>
    <t>024540</t>
  </si>
  <si>
    <t>024679</t>
  </si>
  <si>
    <t>024719</t>
  </si>
  <si>
    <t>024963</t>
  </si>
  <si>
    <t>025242</t>
  </si>
  <si>
    <t>025313</t>
  </si>
  <si>
    <t>025383</t>
  </si>
  <si>
    <t>025525</t>
  </si>
  <si>
    <t>025624</t>
  </si>
  <si>
    <t>025715</t>
  </si>
  <si>
    <t>025725</t>
  </si>
  <si>
    <t>026072</t>
  </si>
  <si>
    <t>026183</t>
  </si>
  <si>
    <t>026414</t>
  </si>
  <si>
    <t>026945</t>
  </si>
  <si>
    <t>028091</t>
  </si>
  <si>
    <t>028182</t>
  </si>
  <si>
    <t>028185</t>
  </si>
  <si>
    <t>029280</t>
  </si>
  <si>
    <t>029320</t>
  </si>
  <si>
    <t>029543</t>
  </si>
  <si>
    <t>029702</t>
  </si>
  <si>
    <t>029730</t>
  </si>
  <si>
    <t>041067</t>
  </si>
  <si>
    <t>041157</t>
  </si>
  <si>
    <t>041208</t>
  </si>
  <si>
    <t>041239</t>
  </si>
  <si>
    <t>041431</t>
  </si>
  <si>
    <t>052004</t>
  </si>
  <si>
    <t>052007</t>
  </si>
  <si>
    <t>052014</t>
  </si>
  <si>
    <t>052027</t>
  </si>
  <si>
    <t>052032</t>
  </si>
  <si>
    <t>052054</t>
  </si>
  <si>
    <t>052071</t>
  </si>
  <si>
    <t>052089</t>
  </si>
  <si>
    <t>052094</t>
  </si>
  <si>
    <t>052095</t>
  </si>
  <si>
    <t>052110</t>
  </si>
  <si>
    <t>052124</t>
  </si>
  <si>
    <t>052139</t>
  </si>
  <si>
    <t>052142</t>
  </si>
  <si>
    <t>052144</t>
  </si>
  <si>
    <t>052172</t>
  </si>
  <si>
    <t>052175</t>
  </si>
  <si>
    <t>052180</t>
  </si>
  <si>
    <t>052182</t>
  </si>
  <si>
    <t>052196</t>
  </si>
  <si>
    <t>052199</t>
  </si>
  <si>
    <t>052200</t>
  </si>
  <si>
    <t>052205</t>
  </si>
  <si>
    <t>052211</t>
  </si>
  <si>
    <t>052214</t>
  </si>
  <si>
    <t>052223</t>
  </si>
  <si>
    <t>052235</t>
  </si>
  <si>
    <t>052236</t>
  </si>
  <si>
    <t>052238</t>
  </si>
  <si>
    <t>052269</t>
  </si>
  <si>
    <t>052275</t>
  </si>
  <si>
    <t>052310</t>
  </si>
  <si>
    <t>052346</t>
  </si>
  <si>
    <t>052373</t>
  </si>
  <si>
    <t>052378</t>
  </si>
  <si>
    <t>052399</t>
  </si>
  <si>
    <t>052403</t>
  </si>
  <si>
    <t>052420</t>
  </si>
  <si>
    <t>052425</t>
  </si>
  <si>
    <t>052430</t>
  </si>
  <si>
    <t>052438</t>
  </si>
  <si>
    <t>052449</t>
  </si>
  <si>
    <t>052456</t>
  </si>
  <si>
    <t>052468</t>
  </si>
  <si>
    <t>052482</t>
  </si>
  <si>
    <t>052494</t>
  </si>
  <si>
    <t>052495</t>
  </si>
  <si>
    <t>052501</t>
  </si>
  <si>
    <t>052518</t>
  </si>
  <si>
    <t>052529</t>
  </si>
  <si>
    <t>052539</t>
  </si>
  <si>
    <t>052542</t>
  </si>
  <si>
    <t>052545</t>
  </si>
  <si>
    <t>052548</t>
  </si>
  <si>
    <t>052554</t>
  </si>
  <si>
    <t>052575</t>
  </si>
  <si>
    <t>052576</t>
  </si>
  <si>
    <t>052578</t>
  </si>
  <si>
    <t>052581</t>
  </si>
  <si>
    <t>052585</t>
  </si>
  <si>
    <t>052588</t>
  </si>
  <si>
    <t>052606</t>
  </si>
  <si>
    <t>052610</t>
  </si>
  <si>
    <t>052639</t>
  </si>
  <si>
    <t>052644</t>
  </si>
  <si>
    <t>052658</t>
  </si>
  <si>
    <t>052662</t>
  </si>
  <si>
    <t>052667</t>
  </si>
  <si>
    <t>052680</t>
  </si>
  <si>
    <t>052683</t>
  </si>
  <si>
    <t>052691</t>
  </si>
  <si>
    <t>052694</t>
  </si>
  <si>
    <t>052703</t>
  </si>
  <si>
    <t>052715</t>
  </si>
  <si>
    <t>052722</t>
  </si>
  <si>
    <t>052725</t>
  </si>
  <si>
    <t>052726</t>
  </si>
  <si>
    <t>052734</t>
  </si>
  <si>
    <t>052738</t>
  </si>
  <si>
    <t>052739</t>
  </si>
  <si>
    <t>052740</t>
  </si>
  <si>
    <t>052749</t>
  </si>
  <si>
    <t>052750</t>
  </si>
  <si>
    <t>052751</t>
  </si>
  <si>
    <t>052770</t>
  </si>
  <si>
    <t>052772</t>
  </si>
  <si>
    <t>052785</t>
  </si>
  <si>
    <t>052792</t>
  </si>
  <si>
    <t>052793</t>
  </si>
  <si>
    <t>052802</t>
  </si>
  <si>
    <t>052809</t>
  </si>
  <si>
    <t>052816</t>
  </si>
  <si>
    <t>052817</t>
  </si>
  <si>
    <t>052820</t>
  </si>
  <si>
    <t>052834</t>
  </si>
  <si>
    <t>052837</t>
  </si>
  <si>
    <t>052847</t>
  </si>
  <si>
    <t>052863</t>
  </si>
  <si>
    <t>052872</t>
  </si>
  <si>
    <t>052885</t>
  </si>
  <si>
    <t>052887</t>
  </si>
  <si>
    <t>052900</t>
  </si>
  <si>
    <t>052905</t>
  </si>
  <si>
    <t>052906</t>
  </si>
  <si>
    <t>052920</t>
  </si>
  <si>
    <t>052923</t>
  </si>
  <si>
    <t>052930</t>
  </si>
  <si>
    <t>052932</t>
  </si>
  <si>
    <t>052964</t>
  </si>
  <si>
    <t>052971</t>
  </si>
  <si>
    <t>052991</t>
  </si>
  <si>
    <t>053004</t>
  </si>
  <si>
    <t>053008</t>
  </si>
  <si>
    <t>053013</t>
  </si>
  <si>
    <t>053030</t>
  </si>
  <si>
    <t>053056</t>
  </si>
  <si>
    <t>053139</t>
  </si>
  <si>
    <t>053154</t>
  </si>
  <si>
    <t>053166</t>
  </si>
  <si>
    <t>053243</t>
  </si>
  <si>
    <t>053260</t>
  </si>
  <si>
    <t>053286</t>
  </si>
  <si>
    <t>053350</t>
  </si>
  <si>
    <t>053366</t>
  </si>
  <si>
    <t>053367</t>
  </si>
  <si>
    <t>053370</t>
  </si>
  <si>
    <t>053390</t>
  </si>
  <si>
    <t>053420</t>
  </si>
  <si>
    <t>053422</t>
  </si>
  <si>
    <t>053452</t>
  </si>
  <si>
    <t>053460</t>
  </si>
  <si>
    <t>053540</t>
  </si>
  <si>
    <t>053545</t>
  </si>
  <si>
    <t>053575</t>
  </si>
  <si>
    <t>053582</t>
  </si>
  <si>
    <t>053608</t>
  </si>
  <si>
    <t>053682</t>
  </si>
  <si>
    <t>053689</t>
  </si>
  <si>
    <t>053709</t>
  </si>
  <si>
    <t>053710</t>
  </si>
  <si>
    <t>053726</t>
  </si>
  <si>
    <t>053767</t>
  </si>
  <si>
    <t>053785</t>
  </si>
  <si>
    <t>053830</t>
  </si>
  <si>
    <t>053840</t>
  </si>
  <si>
    <t>053841</t>
  </si>
  <si>
    <t>053920</t>
  </si>
  <si>
    <t>053923</t>
  </si>
  <si>
    <t>053939</t>
  </si>
  <si>
    <t>053943</t>
  </si>
  <si>
    <t>053951</t>
  </si>
  <si>
    <t>053975</t>
  </si>
  <si>
    <t>053994</t>
  </si>
  <si>
    <t>061289</t>
  </si>
  <si>
    <t>061505</t>
  </si>
  <si>
    <t>061552</t>
  </si>
  <si>
    <t>062093</t>
  </si>
  <si>
    <t>062121</t>
  </si>
  <si>
    <t>062126</t>
  </si>
  <si>
    <t>062502</t>
  </si>
  <si>
    <t>062531</t>
  </si>
  <si>
    <t>062543</t>
  </si>
  <si>
    <t>062568</t>
  </si>
  <si>
    <t>062574</t>
  </si>
  <si>
    <t>062584</t>
  </si>
  <si>
    <t>062645</t>
  </si>
  <si>
    <t>062745</t>
  </si>
  <si>
    <t>062799</t>
  </si>
  <si>
    <t>062809</t>
  </si>
  <si>
    <t>062838</t>
  </si>
  <si>
    <t>062922</t>
  </si>
  <si>
    <t>063001</t>
  </si>
  <si>
    <t>063020</t>
  </si>
  <si>
    <t>063042</t>
  </si>
  <si>
    <t>063071</t>
  </si>
  <si>
    <t>063216</t>
  </si>
  <si>
    <t>063242</t>
  </si>
  <si>
    <t>063245</t>
  </si>
  <si>
    <t>063300</t>
  </si>
  <si>
    <t>063456</t>
  </si>
  <si>
    <t>063559</t>
  </si>
  <si>
    <t>063566</t>
  </si>
  <si>
    <t>063592</t>
  </si>
  <si>
    <t>063621</t>
  </si>
  <si>
    <t>063634</t>
  </si>
  <si>
    <t>063663</t>
  </si>
  <si>
    <t>063708</t>
  </si>
  <si>
    <t>063741</t>
  </si>
  <si>
    <t>063785</t>
  </si>
  <si>
    <t>063823</t>
  </si>
  <si>
    <t>063871</t>
  </si>
  <si>
    <t>063890</t>
  </si>
  <si>
    <t>063918</t>
  </si>
  <si>
    <t>063919</t>
  </si>
  <si>
    <t>063945</t>
  </si>
  <si>
    <t>063946</t>
  </si>
  <si>
    <t>063984</t>
  </si>
  <si>
    <t>063990</t>
  </si>
  <si>
    <t>064067</t>
  </si>
  <si>
    <t>064131</t>
  </si>
  <si>
    <t>064141</t>
  </si>
  <si>
    <t>064292</t>
  </si>
  <si>
    <t>064307</t>
  </si>
  <si>
    <t>064320</t>
  </si>
  <si>
    <t>064414</t>
  </si>
  <si>
    <t>064432</t>
  </si>
  <si>
    <t>064441</t>
  </si>
  <si>
    <t>064477</t>
  </si>
  <si>
    <t>064543</t>
  </si>
  <si>
    <t>064692</t>
  </si>
  <si>
    <t>064709</t>
  </si>
  <si>
    <t>064717</t>
  </si>
  <si>
    <t>064725</t>
  </si>
  <si>
    <t>064845</t>
  </si>
  <si>
    <t>064846</t>
  </si>
  <si>
    <t>064892</t>
  </si>
  <si>
    <t>064900</t>
  </si>
  <si>
    <t>064909</t>
  </si>
  <si>
    <t>064967</t>
  </si>
  <si>
    <t>064970</t>
  </si>
  <si>
    <t>064987</t>
  </si>
  <si>
    <t>064994</t>
  </si>
  <si>
    <t>065163</t>
  </si>
  <si>
    <t>065168</t>
  </si>
  <si>
    <t>065182</t>
  </si>
  <si>
    <t>065185</t>
  </si>
  <si>
    <t>065198</t>
  </si>
  <si>
    <t>065291</t>
  </si>
  <si>
    <t>065298</t>
  </si>
  <si>
    <t>065465</t>
  </si>
  <si>
    <t>065623</t>
  </si>
  <si>
    <t>065640</t>
  </si>
  <si>
    <t>065658</t>
  </si>
  <si>
    <t>065660</t>
  </si>
  <si>
    <t>065668</t>
  </si>
  <si>
    <t>065695</t>
  </si>
  <si>
    <t>065724</t>
  </si>
  <si>
    <t>065735</t>
  </si>
  <si>
    <t>065760</t>
  </si>
  <si>
    <t>065785</t>
  </si>
  <si>
    <t>065829</t>
  </si>
  <si>
    <t>065848</t>
  </si>
  <si>
    <t>065867</t>
  </si>
  <si>
    <t>065893</t>
  </si>
  <si>
    <t>065904</t>
  </si>
  <si>
    <t>065917</t>
  </si>
  <si>
    <t>065920</t>
  </si>
  <si>
    <t>065975</t>
  </si>
  <si>
    <t>065981</t>
  </si>
  <si>
    <t>066003</t>
  </si>
  <si>
    <t>066030</t>
  </si>
  <si>
    <t>066073</t>
  </si>
  <si>
    <t>066075</t>
  </si>
  <si>
    <t>066091</t>
  </si>
  <si>
    <t>066121</t>
  </si>
  <si>
    <t>066163</t>
  </si>
  <si>
    <t>066176</t>
  </si>
  <si>
    <t>066207</t>
  </si>
  <si>
    <t>066211</t>
  </si>
  <si>
    <t>066253</t>
  </si>
  <si>
    <t>066268</t>
  </si>
  <si>
    <t>066334</t>
  </si>
  <si>
    <t>066343</t>
  </si>
  <si>
    <t>066435</t>
  </si>
  <si>
    <t>066486</t>
  </si>
  <si>
    <t>066496</t>
  </si>
  <si>
    <t>066548</t>
  </si>
  <si>
    <t>066549</t>
  </si>
  <si>
    <t>066593</t>
  </si>
  <si>
    <t>066610</t>
  </si>
  <si>
    <t>066659</t>
  </si>
  <si>
    <t>066705</t>
  </si>
  <si>
    <t>066707</t>
  </si>
  <si>
    <t>066718</t>
  </si>
  <si>
    <t>066809</t>
  </si>
  <si>
    <t>066844</t>
  </si>
  <si>
    <t>066866</t>
  </si>
  <si>
    <t>066895</t>
  </si>
  <si>
    <t>066901</t>
  </si>
  <si>
    <t>066925</t>
  </si>
  <si>
    <t>067033</t>
  </si>
  <si>
    <t>067034</t>
  </si>
  <si>
    <t>067041</t>
  </si>
  <si>
    <t>067042</t>
  </si>
  <si>
    <t>067061</t>
  </si>
  <si>
    <t>067064</t>
  </si>
  <si>
    <t>067122</t>
  </si>
  <si>
    <t>067123</t>
  </si>
  <si>
    <t>067133</t>
  </si>
  <si>
    <t>067203</t>
  </si>
  <si>
    <t>067213</t>
  </si>
  <si>
    <t>067246</t>
  </si>
  <si>
    <t>067332</t>
  </si>
  <si>
    <t>067524</t>
  </si>
  <si>
    <t>067552</t>
  </si>
  <si>
    <t>067637</t>
  </si>
  <si>
    <t>067646</t>
  </si>
  <si>
    <t>067677</t>
  </si>
  <si>
    <t>067760</t>
  </si>
  <si>
    <t>067834</t>
  </si>
  <si>
    <t>067965</t>
  </si>
  <si>
    <t>068003</t>
  </si>
  <si>
    <t>068178</t>
  </si>
  <si>
    <t>068325</t>
  </si>
  <si>
    <t>068488</t>
  </si>
  <si>
    <t>068604</t>
  </si>
  <si>
    <t>071838</t>
  </si>
  <si>
    <t>071843</t>
  </si>
  <si>
    <t>072128</t>
  </si>
  <si>
    <t>072138</t>
  </si>
  <si>
    <t>072162</t>
  </si>
  <si>
    <t>072166</t>
  </si>
  <si>
    <t>072299</t>
  </si>
  <si>
    <t>072674</t>
  </si>
  <si>
    <t>072715</t>
  </si>
  <si>
    <t>081003</t>
  </si>
  <si>
    <t>081014</t>
  </si>
  <si>
    <t>081205</t>
  </si>
  <si>
    <t>081310</t>
  </si>
  <si>
    <t>099212</t>
  </si>
  <si>
    <t>099238</t>
  </si>
  <si>
    <t>099255</t>
  </si>
  <si>
    <t>099317</t>
  </si>
  <si>
    <t>099364</t>
  </si>
  <si>
    <t>099419</t>
  </si>
  <si>
    <t>099466</t>
  </si>
  <si>
    <t>099515</t>
  </si>
  <si>
    <t>099664</t>
  </si>
  <si>
    <t>099679</t>
  </si>
  <si>
    <t>099759</t>
  </si>
  <si>
    <t>099923</t>
  </si>
  <si>
    <t>099948</t>
  </si>
  <si>
    <t>099981</t>
  </si>
  <si>
    <t>099983</t>
  </si>
  <si>
    <t>065166</t>
  </si>
  <si>
    <t>010896</t>
  </si>
  <si>
    <t>072655</t>
  </si>
  <si>
    <t>072948</t>
  </si>
  <si>
    <t>072937</t>
  </si>
  <si>
    <t>072939</t>
  </si>
  <si>
    <t>DAVID PAN</t>
  </si>
  <si>
    <t>072949</t>
  </si>
  <si>
    <t>PROCYON</t>
  </si>
  <si>
    <t>GLENN S CALDWEL</t>
  </si>
  <si>
    <t>072972</t>
  </si>
  <si>
    <t>INSURICA</t>
  </si>
  <si>
    <t>073016</t>
  </si>
  <si>
    <t>OAK CREEK</t>
  </si>
  <si>
    <t>072966</t>
  </si>
  <si>
    <t>CONNELL INS</t>
  </si>
  <si>
    <t>072995</t>
  </si>
  <si>
    <t>073011</t>
  </si>
  <si>
    <t>072959</t>
  </si>
  <si>
    <t>USI SELECT PNW</t>
  </si>
  <si>
    <t>RSC</t>
  </si>
  <si>
    <t>073013</t>
  </si>
  <si>
    <t xml:space="preserve"> HEFFERNAN ROSE</t>
  </si>
  <si>
    <t>WISSINK INSURAN</t>
  </si>
  <si>
    <t>073004</t>
  </si>
  <si>
    <t>072970</t>
  </si>
  <si>
    <t>073008</t>
  </si>
  <si>
    <t>GALLAGHER</t>
  </si>
  <si>
    <t>SANDER</t>
  </si>
  <si>
    <t>073010</t>
  </si>
  <si>
    <t>073015</t>
  </si>
  <si>
    <t>072973</t>
  </si>
  <si>
    <t>072987</t>
  </si>
  <si>
    <t>073034</t>
  </si>
  <si>
    <t>073041</t>
  </si>
  <si>
    <t>KEESECKER</t>
  </si>
  <si>
    <t>073033</t>
  </si>
  <si>
    <t>KOVR</t>
  </si>
  <si>
    <t>MANOR INSURANCE</t>
  </si>
  <si>
    <t>073087</t>
  </si>
  <si>
    <t>BURNHAM WGB</t>
  </si>
  <si>
    <t>073094</t>
  </si>
  <si>
    <t>073068</t>
  </si>
  <si>
    <t>073103</t>
  </si>
  <si>
    <t>TURNER SURETY</t>
  </si>
  <si>
    <t>073073</t>
  </si>
  <si>
    <t>MCMURTRY</t>
  </si>
  <si>
    <t>073059</t>
  </si>
  <si>
    <t>073061</t>
  </si>
  <si>
    <t>073070</t>
  </si>
  <si>
    <t>073054</t>
  </si>
  <si>
    <t>073092</t>
  </si>
  <si>
    <t>THE COVERAGE</t>
  </si>
  <si>
    <t>073088</t>
  </si>
  <si>
    <t>PROPERTY</t>
  </si>
  <si>
    <t>PROVENCE</t>
  </si>
  <si>
    <t>073055</t>
  </si>
  <si>
    <t>073091</t>
  </si>
  <si>
    <t>ALLIANT INS</t>
  </si>
  <si>
    <t>073093</t>
  </si>
  <si>
    <t>073096</t>
  </si>
  <si>
    <t>FIRSTMARK</t>
  </si>
  <si>
    <t>073052</t>
  </si>
  <si>
    <t>073115</t>
  </si>
  <si>
    <t>PETER FOY</t>
  </si>
  <si>
    <t>INSURANCE BY</t>
  </si>
  <si>
    <t>ALLIED</t>
  </si>
  <si>
    <t>073117</t>
  </si>
  <si>
    <t>073122</t>
  </si>
  <si>
    <t>073125</t>
  </si>
  <si>
    <t>073111</t>
  </si>
  <si>
    <t>SNAPP</t>
  </si>
  <si>
    <t>073112</t>
  </si>
  <si>
    <t>073121</t>
  </si>
  <si>
    <t>073127</t>
  </si>
  <si>
    <t>073129</t>
  </si>
  <si>
    <t>073133</t>
  </si>
  <si>
    <t>073136</t>
  </si>
  <si>
    <t>073135</t>
  </si>
  <si>
    <t>073140</t>
  </si>
  <si>
    <t>073123</t>
  </si>
  <si>
    <t>DANIEL CHERGEY</t>
  </si>
  <si>
    <t>073147</t>
  </si>
  <si>
    <t>ABD CRU</t>
  </si>
  <si>
    <t>073095</t>
  </si>
  <si>
    <t>073149</t>
  </si>
  <si>
    <t>073137</t>
  </si>
  <si>
    <t>073188</t>
  </si>
  <si>
    <t>SOUTH COUNTY</t>
  </si>
  <si>
    <t>073241</t>
  </si>
  <si>
    <t>FALCON INS</t>
  </si>
  <si>
    <t>MICHELETTI</t>
  </si>
  <si>
    <t>073190</t>
  </si>
  <si>
    <t>4 LESS</t>
  </si>
  <si>
    <t>073222</t>
  </si>
  <si>
    <t>073218</t>
  </si>
  <si>
    <t>073185</t>
  </si>
  <si>
    <t>CHESAPEAKE</t>
  </si>
  <si>
    <t>073180</t>
  </si>
  <si>
    <t>JBIS</t>
  </si>
  <si>
    <t>073186</t>
  </si>
  <si>
    <t>073212</t>
  </si>
  <si>
    <t>GRAND MUTUAL</t>
  </si>
  <si>
    <t>073219</t>
  </si>
  <si>
    <t>BICHLMEIER</t>
  </si>
  <si>
    <t>H &amp; S INSURANCE</t>
  </si>
  <si>
    <t>GROSSLIGHT PCF</t>
  </si>
  <si>
    <t>073189</t>
  </si>
  <si>
    <t>073214</t>
  </si>
  <si>
    <t>018083</t>
  </si>
  <si>
    <t>LAWRENCE SIPLE</t>
  </si>
  <si>
    <t>ADVANTAGE</t>
  </si>
  <si>
    <t>072659</t>
  </si>
  <si>
    <t>ANIXTER &amp; OSER</t>
  </si>
  <si>
    <t>FRANK VITALE IN</t>
  </si>
  <si>
    <t>AXIS ASSOCIATED</t>
  </si>
  <si>
    <t>TITTLE INSURANC</t>
  </si>
  <si>
    <t>LOS GATOS</t>
  </si>
  <si>
    <t>BLACK ROCK INSU</t>
  </si>
  <si>
    <t>072879</t>
  </si>
  <si>
    <t>072908</t>
  </si>
  <si>
    <t>BARBARY INS</t>
  </si>
  <si>
    <t>073240</t>
  </si>
  <si>
    <t>073233</t>
  </si>
  <si>
    <t>APEX RISK</t>
  </si>
  <si>
    <t>073239</t>
  </si>
  <si>
    <t>072916</t>
  </si>
  <si>
    <t>073199</t>
  </si>
  <si>
    <t>073220</t>
  </si>
  <si>
    <t>073266</t>
  </si>
  <si>
    <t>073264</t>
  </si>
  <si>
    <t>GASPAR</t>
  </si>
  <si>
    <t>073249</t>
  </si>
  <si>
    <t>073255</t>
  </si>
  <si>
    <t>STEARNS</t>
  </si>
  <si>
    <t>073268</t>
  </si>
  <si>
    <t>073248</t>
  </si>
  <si>
    <t>ENGLISH INSURAN</t>
  </si>
  <si>
    <t>073265</t>
  </si>
  <si>
    <t>CARLSON</t>
  </si>
  <si>
    <t>073203</t>
  </si>
  <si>
    <t>073301</t>
  </si>
  <si>
    <t>XPT PARTNERS</t>
  </si>
  <si>
    <t>073298</t>
  </si>
  <si>
    <t>JAN LOEWEN</t>
  </si>
  <si>
    <t>073304</t>
  </si>
  <si>
    <t>073300</t>
  </si>
  <si>
    <t>JACK OGREN</t>
  </si>
  <si>
    <t>073277</t>
  </si>
  <si>
    <t>RUBIN INS</t>
  </si>
  <si>
    <t>HUB NW</t>
  </si>
  <si>
    <t>073288</t>
  </si>
  <si>
    <t>073307</t>
  </si>
  <si>
    <t>073316</t>
  </si>
  <si>
    <t>073358</t>
  </si>
  <si>
    <t>VILLA INS</t>
  </si>
  <si>
    <t>073327</t>
  </si>
  <si>
    <t>FITZMAURICE</t>
  </si>
  <si>
    <t>073335</t>
  </si>
  <si>
    <t>073326</t>
  </si>
  <si>
    <t>ALKEME</t>
  </si>
  <si>
    <t>073330</t>
  </si>
  <si>
    <t>073340</t>
  </si>
  <si>
    <t>073352</t>
  </si>
  <si>
    <t>073360</t>
  </si>
  <si>
    <t>ERM</t>
  </si>
  <si>
    <t>073372</t>
  </si>
  <si>
    <t>073374</t>
  </si>
  <si>
    <t>073370</t>
  </si>
  <si>
    <t>073375</t>
  </si>
  <si>
    <t>073458</t>
  </si>
  <si>
    <t>SILVA</t>
  </si>
  <si>
    <t>072619</t>
  </si>
  <si>
    <t>RONCARATI, EMMA</t>
  </si>
  <si>
    <t>071784</t>
  </si>
  <si>
    <t>ISU MOTHER</t>
  </si>
  <si>
    <t>071900</t>
  </si>
  <si>
    <t>GHARZEDDINE</t>
  </si>
  <si>
    <t>072944</t>
  </si>
  <si>
    <t>WENDY JACKSON</t>
  </si>
  <si>
    <t>073450</t>
  </si>
  <si>
    <t>GREYHAWK BROKER</t>
  </si>
  <si>
    <t>073402</t>
  </si>
  <si>
    <t>073409</t>
  </si>
  <si>
    <t>073418</t>
  </si>
  <si>
    <t>MARK INSURANCE</t>
  </si>
  <si>
    <t>073430</t>
  </si>
  <si>
    <t>073467</t>
  </si>
  <si>
    <t>UWIB</t>
  </si>
  <si>
    <t>073472</t>
  </si>
  <si>
    <t>073474</t>
  </si>
  <si>
    <t>073396</t>
  </si>
  <si>
    <t>073436</t>
  </si>
  <si>
    <t>JEFF FOWLER</t>
  </si>
  <si>
    <t>073444</t>
  </si>
  <si>
    <t>ICE INSURANCE</t>
  </si>
  <si>
    <t>073465</t>
  </si>
  <si>
    <t>073429</t>
  </si>
  <si>
    <t>SYMPHONY RISK</t>
  </si>
  <si>
    <t>073461</t>
  </si>
  <si>
    <t>INSUREONE</t>
  </si>
  <si>
    <t>073435</t>
  </si>
  <si>
    <t>073457</t>
  </si>
  <si>
    <t>073485</t>
  </si>
  <si>
    <t>073488</t>
  </si>
  <si>
    <t>ACRISURE-CA</t>
  </si>
  <si>
    <t>073500</t>
  </si>
  <si>
    <t>073504</t>
  </si>
  <si>
    <t>GEORGE</t>
  </si>
  <si>
    <t>073507</t>
  </si>
  <si>
    <t>UNDERHILL</t>
  </si>
  <si>
    <t>073512</t>
  </si>
  <si>
    <t>073495</t>
  </si>
  <si>
    <t>LOCKTON DENVER</t>
  </si>
  <si>
    <t>FOUNDATION SIP</t>
  </si>
  <si>
    <t>073499</t>
  </si>
  <si>
    <t>PARKER</t>
  </si>
  <si>
    <t>073479</t>
  </si>
  <si>
    <t>NIELSEN PROFESS</t>
  </si>
  <si>
    <t>073502</t>
  </si>
  <si>
    <t>073516</t>
  </si>
  <si>
    <t>073509</t>
  </si>
  <si>
    <t>073487</t>
  </si>
  <si>
    <t>BOB WALLIN</t>
  </si>
  <si>
    <t>073510</t>
  </si>
  <si>
    <t>BAY AND BASIN</t>
  </si>
  <si>
    <t>073518</t>
  </si>
  <si>
    <t>DOLE</t>
  </si>
  <si>
    <t>073528</t>
  </si>
  <si>
    <t>PRINCETON</t>
  </si>
  <si>
    <t>073522</t>
  </si>
  <si>
    <t>073523</t>
  </si>
  <si>
    <t>MOUNTAIN WEST</t>
  </si>
  <si>
    <t>073544</t>
  </si>
  <si>
    <t>073533</t>
  </si>
  <si>
    <t>EPIC MAIN</t>
  </si>
  <si>
    <t>073525</t>
  </si>
  <si>
    <t>EPIC INS</t>
  </si>
  <si>
    <t>073545</t>
  </si>
  <si>
    <t>PATRIOT GROWTH</t>
  </si>
  <si>
    <t>073568</t>
  </si>
  <si>
    <t>COOPER VANTREO</t>
  </si>
  <si>
    <t>073566</t>
  </si>
  <si>
    <t>BARTLEY VANTREO</t>
  </si>
  <si>
    <t>073581</t>
  </si>
  <si>
    <t>ANNA GLOVER</t>
  </si>
  <si>
    <t>073569</t>
  </si>
  <si>
    <t>TEGNER VANTREO</t>
  </si>
  <si>
    <t>073598</t>
  </si>
  <si>
    <t>073608</t>
  </si>
  <si>
    <t>CAPITOL PROVIDE</t>
  </si>
  <si>
    <t>073606</t>
  </si>
  <si>
    <t>NW INSURANCE</t>
  </si>
  <si>
    <t>073567</t>
  </si>
  <si>
    <t>TITUS VANTREO</t>
  </si>
  <si>
    <t>073582</t>
  </si>
  <si>
    <t>GILES INSURANCE</t>
  </si>
  <si>
    <t>073599</t>
  </si>
  <si>
    <t>SEQUEL INSURANC</t>
  </si>
  <si>
    <t>073603</t>
  </si>
  <si>
    <t>073632</t>
  </si>
  <si>
    <t>MONROE-KELLY</t>
  </si>
  <si>
    <t>073620</t>
  </si>
  <si>
    <t>NEWFRONT</t>
  </si>
  <si>
    <t>073628</t>
  </si>
  <si>
    <t>NEWFRONT/ABD</t>
  </si>
  <si>
    <t>NORTH CASCADE</t>
  </si>
  <si>
    <t>073619</t>
  </si>
  <si>
    <t>073648</t>
  </si>
  <si>
    <t>HIGHSTREET INS</t>
  </si>
  <si>
    <t>073641</t>
  </si>
  <si>
    <t>INSZONE</t>
  </si>
  <si>
    <t>073636</t>
  </si>
  <si>
    <t>073639</t>
  </si>
  <si>
    <t>DJM INSURANCE</t>
  </si>
  <si>
    <t>073672</t>
  </si>
  <si>
    <t>073673</t>
  </si>
  <si>
    <t>073682</t>
  </si>
  <si>
    <t>073660</t>
  </si>
  <si>
    <t>365 INC</t>
  </si>
  <si>
    <t>BOB GABRIEL</t>
  </si>
  <si>
    <t>073667</t>
  </si>
  <si>
    <t>073670</t>
  </si>
  <si>
    <t>073671</t>
  </si>
  <si>
    <t>SCHWARTZ INS</t>
  </si>
  <si>
    <t>BARNES &amp; CO</t>
  </si>
  <si>
    <t>073642</t>
  </si>
  <si>
    <t>RAMSES</t>
  </si>
  <si>
    <t>073693</t>
  </si>
  <si>
    <t>BUSINESS</t>
  </si>
  <si>
    <t>CROSS INSURANCE</t>
  </si>
  <si>
    <t>073677</t>
  </si>
  <si>
    <t>073669</t>
  </si>
  <si>
    <t>073706</t>
  </si>
  <si>
    <t>073707</t>
  </si>
  <si>
    <t>CALIFORNIA MERI</t>
  </si>
  <si>
    <t>073717</t>
  </si>
  <si>
    <t>067599</t>
  </si>
  <si>
    <t>KHOTPANYA DALY</t>
  </si>
  <si>
    <t>073724</t>
  </si>
  <si>
    <t>CORMARC INS</t>
  </si>
  <si>
    <t>073730</t>
  </si>
  <si>
    <t>KEY CITY</t>
  </si>
  <si>
    <t>073741</t>
  </si>
  <si>
    <t>073749</t>
  </si>
  <si>
    <t>073756</t>
  </si>
  <si>
    <t>GALLAGHER-R/P</t>
  </si>
  <si>
    <t>073751</t>
  </si>
  <si>
    <t>073752</t>
  </si>
  <si>
    <t>073758</t>
  </si>
  <si>
    <t>073759</t>
  </si>
  <si>
    <t>068085</t>
  </si>
  <si>
    <t>071638</t>
  </si>
  <si>
    <t>073058</t>
  </si>
  <si>
    <t>073063</t>
  </si>
  <si>
    <t>073742</t>
  </si>
  <si>
    <t>STEPHEN</t>
  </si>
  <si>
    <t>073733</t>
  </si>
  <si>
    <t>073754</t>
  </si>
  <si>
    <t>073755</t>
  </si>
  <si>
    <t>073746</t>
  </si>
  <si>
    <t>RSG</t>
  </si>
  <si>
    <t>ARTHUR J.</t>
  </si>
  <si>
    <t>072556</t>
  </si>
  <si>
    <t>073731</t>
  </si>
  <si>
    <t>073747</t>
  </si>
  <si>
    <t>073748</t>
  </si>
  <si>
    <t>073745</t>
  </si>
  <si>
    <t>GREENFIELD</t>
  </si>
  <si>
    <t>073760</t>
  </si>
  <si>
    <t>073757</t>
  </si>
  <si>
    <t>073753</t>
  </si>
  <si>
    <t>072917</t>
  </si>
  <si>
    <t>025437</t>
  </si>
  <si>
    <t>066972</t>
  </si>
  <si>
    <t>067060</t>
  </si>
  <si>
    <t>068201</t>
  </si>
  <si>
    <t>068505</t>
  </si>
  <si>
    <t>072337</t>
  </si>
  <si>
    <t>072548</t>
  </si>
  <si>
    <t>072593</t>
  </si>
  <si>
    <t>072787</t>
  </si>
  <si>
    <t>072971</t>
  </si>
  <si>
    <t>073060</t>
  </si>
  <si>
    <t>073064</t>
  </si>
  <si>
    <t>073065</t>
  </si>
  <si>
    <t>073287</t>
  </si>
  <si>
    <t>073750</t>
  </si>
  <si>
    <t>073775</t>
  </si>
  <si>
    <t>GMGS</t>
  </si>
  <si>
    <t>073777</t>
  </si>
  <si>
    <t>073781</t>
  </si>
  <si>
    <t>073769</t>
  </si>
  <si>
    <t>073772</t>
  </si>
  <si>
    <t>ARTHUR</t>
  </si>
  <si>
    <t>DIGITAL INSURAN</t>
  </si>
  <si>
    <t>073780</t>
  </si>
  <si>
    <t>073779</t>
  </si>
  <si>
    <t>073783</t>
  </si>
  <si>
    <t>073778</t>
  </si>
  <si>
    <t>IMA</t>
  </si>
  <si>
    <t>ARTHUR J</t>
  </si>
  <si>
    <t>073774</t>
  </si>
  <si>
    <t>073799</t>
  </si>
  <si>
    <t>ACRISURE SW</t>
  </si>
  <si>
    <t>073811</t>
  </si>
  <si>
    <t>INVENSURE HUB</t>
  </si>
  <si>
    <t>EPIC SR</t>
  </si>
  <si>
    <t>GIDDINGS SPECIA</t>
  </si>
  <si>
    <t>073798</t>
  </si>
  <si>
    <t>ACRISURE GREAT</t>
  </si>
  <si>
    <t>073814</t>
  </si>
  <si>
    <t>020405</t>
  </si>
  <si>
    <t>073688</t>
  </si>
  <si>
    <t>073834</t>
  </si>
  <si>
    <t>CARUSO INS</t>
  </si>
  <si>
    <t>073858</t>
  </si>
  <si>
    <t>INSURECAL</t>
  </si>
  <si>
    <t>073866</t>
  </si>
  <si>
    <t>WOODRUFF</t>
  </si>
  <si>
    <t>073863</t>
  </si>
  <si>
    <t>ATP &amp; ASSOCIATE</t>
  </si>
  <si>
    <t>HUB ALBUQUERQUE</t>
  </si>
  <si>
    <t>073839</t>
  </si>
  <si>
    <t>073837</t>
  </si>
  <si>
    <t>ANDREINI</t>
  </si>
  <si>
    <t>073847</t>
  </si>
  <si>
    <t>NOCERO</t>
  </si>
  <si>
    <t>073830</t>
  </si>
  <si>
    <t>073857</t>
  </si>
  <si>
    <t>073873</t>
  </si>
  <si>
    <t>073880</t>
  </si>
  <si>
    <t>LEAVITT PACIFIC</t>
  </si>
  <si>
    <t>073879</t>
  </si>
  <si>
    <t>M&amp;G</t>
  </si>
  <si>
    <t>073871</t>
  </si>
  <si>
    <t>073887</t>
  </si>
  <si>
    <t>PECK</t>
  </si>
  <si>
    <t>073894</t>
  </si>
  <si>
    <t>CW PHILLIPS</t>
  </si>
  <si>
    <t>073897</t>
  </si>
  <si>
    <t>FOROUZAN</t>
  </si>
  <si>
    <t>MACKIE INSURANC</t>
  </si>
  <si>
    <t>VALLEY CENTER</t>
  </si>
  <si>
    <t>073919</t>
  </si>
  <si>
    <t>ALKEME PAULI</t>
  </si>
  <si>
    <t>073927</t>
  </si>
  <si>
    <t>073918</t>
  </si>
  <si>
    <t>BROWN &amp; BROWN I</t>
  </si>
  <si>
    <t>073916</t>
  </si>
  <si>
    <t>073915</t>
  </si>
  <si>
    <t>SIGNET GROUP</t>
  </si>
  <si>
    <t>073925</t>
  </si>
  <si>
    <t>STANLEY WONG</t>
  </si>
  <si>
    <t>073941</t>
  </si>
  <si>
    <t>073931</t>
  </si>
  <si>
    <t>073937</t>
  </si>
  <si>
    <t>073939</t>
  </si>
  <si>
    <t>ISU</t>
  </si>
  <si>
    <t>073932</t>
  </si>
  <si>
    <t>MJ HALL &amp; CO</t>
  </si>
  <si>
    <t>073936</t>
  </si>
  <si>
    <t>SUMMIT INS</t>
  </si>
  <si>
    <t>RISK STRATEGIES</t>
  </si>
  <si>
    <t>LAPORTE &amp; ASSOC</t>
  </si>
  <si>
    <t>TRUEX</t>
  </si>
  <si>
    <t>ASSURED PARTNER</t>
  </si>
  <si>
    <t>073951</t>
  </si>
  <si>
    <t>073962</t>
  </si>
  <si>
    <t>073948</t>
  </si>
  <si>
    <t>GLENN GOODWIN</t>
  </si>
  <si>
    <t>073971</t>
  </si>
  <si>
    <t>MCKENZIE</t>
  </si>
  <si>
    <t>3-YR+ LR</t>
  </si>
  <si>
    <t>073996</t>
  </si>
  <si>
    <t>HASLAM</t>
  </si>
  <si>
    <t>HIGHSTREET INSU</t>
  </si>
  <si>
    <t>074003</t>
  </si>
  <si>
    <t>071787</t>
  </si>
  <si>
    <t>KEMJOY CORP.</t>
  </si>
  <si>
    <t>074011</t>
  </si>
  <si>
    <t>ARCHER INS</t>
  </si>
  <si>
    <t>073994</t>
  </si>
  <si>
    <t>INSURANCE SERV</t>
  </si>
  <si>
    <t>LVS</t>
  </si>
  <si>
    <t>KAERCHER INSURA</t>
  </si>
  <si>
    <t>DISTINCTIVE INS</t>
  </si>
  <si>
    <t>014853</t>
  </si>
  <si>
    <t>DIK JIM</t>
  </si>
  <si>
    <t>015268</t>
  </si>
  <si>
    <t>LIC: GANNON, MA</t>
  </si>
  <si>
    <t>015271</t>
  </si>
  <si>
    <t>LIC: BERGDALE</t>
  </si>
  <si>
    <t>019422</t>
  </si>
  <si>
    <t>LIC: SMITH, ROB</t>
  </si>
  <si>
    <t>CRAGIN &amp; PIKE I</t>
  </si>
  <si>
    <t>HARRIS INSURANC</t>
  </si>
  <si>
    <t>065793</t>
  </si>
  <si>
    <t>LIC: BOWMAN, JI</t>
  </si>
  <si>
    <t>065799</t>
  </si>
  <si>
    <t>LIC: WALSTON, N</t>
  </si>
  <si>
    <t>065900</t>
  </si>
  <si>
    <t>LIC: WEST, BRAD</t>
  </si>
  <si>
    <t>L/P LAS VEGAS</t>
  </si>
  <si>
    <t>066889</t>
  </si>
  <si>
    <t>LIC: XANTHOS, D</t>
  </si>
  <si>
    <t>BRANCH BENEFITS</t>
  </si>
  <si>
    <t>067366</t>
  </si>
  <si>
    <t>LIC: ZIMINSKY</t>
  </si>
  <si>
    <t>067571</t>
  </si>
  <si>
    <t>LIC: TIPTON, RA</t>
  </si>
  <si>
    <t>067708</t>
  </si>
  <si>
    <t>LIC: YORKE, BRI</t>
  </si>
  <si>
    <t>067712</t>
  </si>
  <si>
    <t>LIC: DAVIS, SCO</t>
  </si>
  <si>
    <t>067726</t>
  </si>
  <si>
    <t>LIC: LEWIS, DAV</t>
  </si>
  <si>
    <t>067970</t>
  </si>
  <si>
    <t>LIC: LAPEYROUSE</t>
  </si>
  <si>
    <t>068099</t>
  </si>
  <si>
    <t>LIC: WARGINS, E</t>
  </si>
  <si>
    <t>068145</t>
  </si>
  <si>
    <t>LIC: MCCREDIE</t>
  </si>
  <si>
    <t>068304</t>
  </si>
  <si>
    <t>LIC: MAIR, KATH</t>
  </si>
  <si>
    <t>068349</t>
  </si>
  <si>
    <t>LIC: MARTELLA E</t>
  </si>
  <si>
    <t>068397</t>
  </si>
  <si>
    <t>LIC: MORRIS, MA</t>
  </si>
  <si>
    <t>068605</t>
  </si>
  <si>
    <t>LIC: PISCOPO, J</t>
  </si>
  <si>
    <t>071577</t>
  </si>
  <si>
    <t>LIC: STEINFELD</t>
  </si>
  <si>
    <t>GLB INSURANCE G</t>
  </si>
  <si>
    <t>071913</t>
  </si>
  <si>
    <t>LIC: CILENTE, W</t>
  </si>
  <si>
    <t>071956</t>
  </si>
  <si>
    <t>ORBORN RYAN</t>
  </si>
  <si>
    <t>360 INSURANCE</t>
  </si>
  <si>
    <t>LANDINI &amp; ASSOC</t>
  </si>
  <si>
    <t>072229</t>
  </si>
  <si>
    <t>LAMOUREUX, JESS</t>
  </si>
  <si>
    <t>USI LAS VEGAS</t>
  </si>
  <si>
    <t>072304</t>
  </si>
  <si>
    <t>BRIAN J BELL</t>
  </si>
  <si>
    <t>072366</t>
  </si>
  <si>
    <t>WENDY FRENCH</t>
  </si>
  <si>
    <t>072416</t>
  </si>
  <si>
    <t>LIC: BRANSON</t>
  </si>
  <si>
    <t>072436</t>
  </si>
  <si>
    <t>NEUMAN DUSTIN</t>
  </si>
  <si>
    <t>PERLAS INSURANC</t>
  </si>
  <si>
    <t>WAFD INSURANCE</t>
  </si>
  <si>
    <t>072562</t>
  </si>
  <si>
    <t>BENES WILLIAM</t>
  </si>
  <si>
    <t>072563</t>
  </si>
  <si>
    <t>CONNER BETH</t>
  </si>
  <si>
    <t>072621</t>
  </si>
  <si>
    <t>GUPTA</t>
  </si>
  <si>
    <t>BALSIGER</t>
  </si>
  <si>
    <t>072699</t>
  </si>
  <si>
    <t>SCHNEIDER MARK</t>
  </si>
  <si>
    <t>072716</t>
  </si>
  <si>
    <t>KANE MELISSA</t>
  </si>
  <si>
    <t>072725</t>
  </si>
  <si>
    <t>072726</t>
  </si>
  <si>
    <t>NISBET PHILIP</t>
  </si>
  <si>
    <t>072727</t>
  </si>
  <si>
    <t>PARRA WILLIAM</t>
  </si>
  <si>
    <t>072741</t>
  </si>
  <si>
    <t>KATZ BRENDA</t>
  </si>
  <si>
    <t>072809</t>
  </si>
  <si>
    <t>MICHAEL RHOADS</t>
  </si>
  <si>
    <t>072849</t>
  </si>
  <si>
    <t>HIGHT, ROBERT</t>
  </si>
  <si>
    <t>072882</t>
  </si>
  <si>
    <t>072927</t>
  </si>
  <si>
    <t>DAN HORTON</t>
  </si>
  <si>
    <t>072950</t>
  </si>
  <si>
    <t>MBG BROKERAGE</t>
  </si>
  <si>
    <t>072983</t>
  </si>
  <si>
    <t>WARD</t>
  </si>
  <si>
    <t>073072</t>
  </si>
  <si>
    <t>BOR TEMPORARY</t>
  </si>
  <si>
    <t>073074</t>
  </si>
  <si>
    <t>MANN</t>
  </si>
  <si>
    <t>073242</t>
  </si>
  <si>
    <t>CALVIN ROBERTS</t>
  </si>
  <si>
    <t>073311</t>
  </si>
  <si>
    <t>STANLEY PAYNE</t>
  </si>
  <si>
    <t>073328</t>
  </si>
  <si>
    <t>DAVID KAPLAN</t>
  </si>
  <si>
    <t>073394</t>
  </si>
  <si>
    <t>DANA K</t>
  </si>
  <si>
    <t>073431</t>
  </si>
  <si>
    <t>ASHLEY</t>
  </si>
  <si>
    <t>073496</t>
  </si>
  <si>
    <t>BRADY JAMES HIL</t>
  </si>
  <si>
    <t>073497</t>
  </si>
  <si>
    <t>SANCHEZ, JOSE</t>
  </si>
  <si>
    <t>AJG ACCOUNTING</t>
  </si>
  <si>
    <t>073534</t>
  </si>
  <si>
    <t>073546</t>
  </si>
  <si>
    <t>BROWN, KEVIN</t>
  </si>
  <si>
    <t>073621</t>
  </si>
  <si>
    <t>DH ADJUSTING</t>
  </si>
  <si>
    <t>073625</t>
  </si>
  <si>
    <t>JOSE SANCHEZ</t>
  </si>
  <si>
    <t>073687</t>
  </si>
  <si>
    <t>ACRISURE MASTER</t>
  </si>
  <si>
    <t>ACRISURE REGION</t>
  </si>
  <si>
    <t>073768</t>
  </si>
  <si>
    <t>DEMPSEY KIERAN</t>
  </si>
  <si>
    <t>073782</t>
  </si>
  <si>
    <t>HUB ALB</t>
  </si>
  <si>
    <t>073929</t>
  </si>
  <si>
    <t>GERMANOS GREGG</t>
  </si>
  <si>
    <t>073973</t>
  </si>
  <si>
    <t>TODD HUNT</t>
  </si>
  <si>
    <t>073950</t>
  </si>
  <si>
    <t>orangecounty@deanshomer.com</t>
  </si>
  <si>
    <t>fresno@deanshomer.com; deb@deanshomer.com</t>
  </si>
  <si>
    <t>lafayette@deanshomer.com; deb@deanshomer.com</t>
  </si>
  <si>
    <t>reno@deanshomer.com;deb@deanshomer.com;deb@deanshomer.com</t>
  </si>
  <si>
    <t>roseville@deanshomer.com;deb@deanshomer.com</t>
  </si>
  <si>
    <t>danc@deanshomer.com;matthew@deanshomer.com;deb@deanshomer.com</t>
  </si>
  <si>
    <t>PNW@deanshomer.com;deb@deanshomer.com</t>
  </si>
  <si>
    <t>phoenixuw@deanshomer.com;deb@deanshomer.com</t>
  </si>
  <si>
    <t>074027</t>
  </si>
  <si>
    <t>074024</t>
  </si>
  <si>
    <t>WRIGHT</t>
  </si>
  <si>
    <t>074028</t>
  </si>
  <si>
    <t>074039</t>
  </si>
  <si>
    <t>074032</t>
  </si>
  <si>
    <t>074048</t>
  </si>
  <si>
    <t>DEJ INSURANCE</t>
  </si>
  <si>
    <t>KPD</t>
  </si>
  <si>
    <t>LBW INSURANCE</t>
  </si>
  <si>
    <t>074052</t>
  </si>
  <si>
    <t>074067</t>
  </si>
  <si>
    <t>MCGOWAN</t>
  </si>
  <si>
    <t>074064</t>
  </si>
  <si>
    <t>074056</t>
  </si>
  <si>
    <t>074065</t>
  </si>
  <si>
    <t>074083</t>
  </si>
  <si>
    <t>074081</t>
  </si>
  <si>
    <t>BONEK</t>
  </si>
  <si>
    <t>074080</t>
  </si>
  <si>
    <t>CALROSE</t>
  </si>
  <si>
    <t>074103</t>
  </si>
  <si>
    <t>041316</t>
  </si>
  <si>
    <t>PARKER, SMITH &amp;</t>
  </si>
  <si>
    <t>074100</t>
  </si>
  <si>
    <t>021812</t>
  </si>
  <si>
    <t>YZETTE RUDIN</t>
  </si>
  <si>
    <t>NFP SBU</t>
  </si>
  <si>
    <t>WALTER MORTENSE</t>
  </si>
  <si>
    <t>074112</t>
  </si>
  <si>
    <t>074115</t>
  </si>
  <si>
    <t>074122</t>
  </si>
  <si>
    <t>LEWIS INSURANCE</t>
  </si>
  <si>
    <t>074109</t>
  </si>
  <si>
    <t>074110</t>
  </si>
  <si>
    <t>DUKAR</t>
  </si>
  <si>
    <t>MARSH</t>
  </si>
  <si>
    <t>074116</t>
  </si>
  <si>
    <t>074126</t>
  </si>
  <si>
    <t>074114</t>
  </si>
  <si>
    <t>074113</t>
  </si>
  <si>
    <t>074135</t>
  </si>
  <si>
    <t>ARTHUR GALLAGHE</t>
  </si>
  <si>
    <t>074134</t>
  </si>
  <si>
    <t>WILLIAMS CO</t>
  </si>
  <si>
    <t>CRIST, FRITSCHI</t>
  </si>
  <si>
    <t>JAYLEEN</t>
  </si>
  <si>
    <t>074138</t>
  </si>
  <si>
    <t>HAMADANI</t>
  </si>
  <si>
    <t>074143</t>
  </si>
  <si>
    <t>BALDWIN WEST IN</t>
  </si>
  <si>
    <t>BALDWIN</t>
  </si>
  <si>
    <t>074144</t>
  </si>
  <si>
    <t>BALDWIN GROUP</t>
  </si>
  <si>
    <t>074137</t>
  </si>
  <si>
    <t>074148</t>
  </si>
  <si>
    <t>074149</t>
  </si>
  <si>
    <t>074151</t>
  </si>
  <si>
    <t>074153</t>
  </si>
  <si>
    <t>067854</t>
  </si>
  <si>
    <t>SHAWN</t>
  </si>
  <si>
    <t>074154</t>
  </si>
  <si>
    <t>CHARLES</t>
  </si>
  <si>
    <t>ARCWELL</t>
  </si>
  <si>
    <t>074146</t>
  </si>
  <si>
    <t>074152</t>
  </si>
  <si>
    <t>074147</t>
  </si>
  <si>
    <t>074166</t>
  </si>
  <si>
    <t>SHANA INS</t>
  </si>
  <si>
    <t>074168</t>
  </si>
  <si>
    <t>TAYLOR</t>
  </si>
  <si>
    <t>074170</t>
  </si>
  <si>
    <t>CRC</t>
  </si>
  <si>
    <t>074180</t>
  </si>
  <si>
    <t>PIZZOLA</t>
  </si>
  <si>
    <t>074178</t>
  </si>
  <si>
    <t>074177</t>
  </si>
  <si>
    <t>SCOTT HELD</t>
  </si>
  <si>
    <t>074175</t>
  </si>
  <si>
    <t>074179</t>
  </si>
  <si>
    <t>USE COE</t>
  </si>
  <si>
    <t>063026</t>
  </si>
  <si>
    <t>February</t>
  </si>
  <si>
    <t>ACRISURE ONTARI</t>
  </si>
  <si>
    <t>074193</t>
  </si>
  <si>
    <t>074194</t>
  </si>
  <si>
    <t>074196</t>
  </si>
  <si>
    <t>074197</t>
  </si>
  <si>
    <t>074198</t>
  </si>
  <si>
    <t>074200</t>
  </si>
  <si>
    <t>074210</t>
  </si>
  <si>
    <t>074201</t>
  </si>
  <si>
    <t>HOFFMAN BROWN C</t>
  </si>
  <si>
    <t>074195</t>
  </si>
  <si>
    <t>074203</t>
  </si>
  <si>
    <t>074192</t>
  </si>
  <si>
    <t>DSG</t>
  </si>
  <si>
    <t>074218</t>
  </si>
  <si>
    <t>OLSON</t>
  </si>
  <si>
    <t>074202</t>
  </si>
  <si>
    <t>074199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</si>
</sst>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theme="4"/>
      </bottom>
      <diagonal/>
    </border>
    <border>
      <left style="medium">
        <color auto="1"/>
      </left>
      <right/>
      <top style="medium">
        <color auto="1"/>
      </top>
      <bottom style="thin">
        <color theme="4"/>
      </bottom>
      <diagonal/>
    </border>
    <border>
      <left/>
      <right/>
      <top style="medium">
        <color auto="1"/>
      </top>
      <bottom style="thin">
        <color theme="4"/>
      </bottom>
      <diagonal/>
    </border>
    <border>
      <left style="medium">
        <color auto="1"/>
      </left>
      <right/>
      <top/>
      <bottom/>
      <diagonal/>
    </border>
    <border>
      <left style="thin">
        <color theme="4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left"/>
    </xf>
    <xf numFmtId="10" fontId="1" fillId="2" borderId="1" xfId="0" applyNumberFormat="1" applyFont="1" applyFill="1" applyBorder="1" applyAlignment="1">
      <alignment horizontal="center"/>
    </xf>
    <xf numFmtId="42" fontId="0" fillId="0" borderId="0" xfId="0" applyNumberFormat="1"/>
    <xf numFmtId="42" fontId="1" fillId="2" borderId="1" xfId="0" applyNumberFormat="1" applyFont="1" applyFill="1" applyBorder="1" applyAlignment="1">
      <alignment horizontal="center"/>
    </xf>
    <xf numFmtId="9" fontId="1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 applyAlignment="1">
      <alignment horizontal="center"/>
    </xf>
    <xf numFmtId="1" fontId="1" fillId="0" borderId="0" xfId="0" applyNumberFormat="1" applyFont="1" applyAlignment="1">
      <alignment horizontal="center"/>
    </xf>
    <xf numFmtId="0" fontId="0" fillId="0" borderId="0" xfId="0" applyFont="1" applyAlignment="1">
      <alignment horizontal="center" wrapText="1"/>
    </xf>
    <xf numFmtId="0" fontId="4" fillId="0" borderId="0" xfId="1"/>
    <xf numFmtId="42" fontId="3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Fill="1"/>
    <xf numFmtId="0" fontId="3" fillId="0" borderId="8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42" fontId="3" fillId="0" borderId="8" xfId="0" applyNumberFormat="1" applyFont="1" applyFill="1" applyBorder="1" applyAlignment="1">
      <alignment horizontal="center" vertical="center" wrapText="1"/>
    </xf>
    <xf numFmtId="9" fontId="3" fillId="0" borderId="8" xfId="0" applyNumberFormat="1" applyFont="1" applyFill="1" applyBorder="1" applyAlignment="1">
      <alignment horizontal="center" vertical="center" wrapText="1"/>
    </xf>
    <xf numFmtId="49" fontId="3" fillId="0" borderId="8" xfId="0" applyNumberFormat="1" applyFont="1" applyFill="1" applyBorder="1" applyAlignment="1">
      <alignment horizontal="center" vertical="center" wrapText="1"/>
    </xf>
    <xf numFmtId="9" fontId="3" fillId="0" borderId="10" xfId="0" applyNumberFormat="1" applyFont="1" applyFill="1" applyBorder="1" applyAlignment="1">
      <alignment horizontal="center" vertical="center" wrapText="1"/>
    </xf>
    <xf numFmtId="9" fontId="1" fillId="2" borderId="1" xfId="0" applyNumberFormat="1" applyFont="1" applyFill="1" applyBorder="1" applyAlignment="1">
      <alignment horizontal="center" wrapText="1"/>
    </xf>
    <xf numFmtId="0" fontId="3" fillId="0" borderId="1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49" fontId="1" fillId="2" borderId="6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/>
    <xf numFmtId="0" fontId="1" fillId="2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808"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numFmt numFmtId="13" formatCode="0%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numFmt numFmtId="32" formatCode="_(&quot;$&quot;* #,##0_);_(&quot;$&quot;* \(#,##0\);_(&quot;$&quot;* &quot;-&quot;_);_(@_)"/>
      <alignment horizontal="center" textRotation="0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55</xdr:col>
          <xdr:colOff>266700</xdr:colOff>
          <xdr:row>0</xdr:row>
          <xdr:rowOff>161925</xdr:rowOff>
        </xdr:from>
        <xdr:to>
          <xdr:col>62</xdr:col>
          <xdr:colOff>161925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304800</xdr:colOff>
          <xdr:row>0</xdr:row>
          <xdr:rowOff>171450</xdr:rowOff>
        </xdr:from>
        <xdr:to>
          <xdr:col>43</xdr:col>
          <xdr:colOff>466725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44</xdr:col>
          <xdr:colOff>114300</xdr:colOff>
          <xdr:row>0</xdr:row>
          <xdr:rowOff>171450</xdr:rowOff>
        </xdr:from>
        <xdr:to>
          <xdr:col>54</xdr:col>
          <xdr:colOff>600075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66</xdr:col>
          <xdr:colOff>285750</xdr:colOff>
          <xdr:row>0</xdr:row>
          <xdr:rowOff>57150</xdr:rowOff>
        </xdr:from>
        <xdr:to>
          <xdr:col>68</xdr:col>
          <xdr:colOff>342900</xdr:colOff>
          <xdr:row>2</xdr:row>
          <xdr:rowOff>85725</xdr:rowOff>
        </xdr:to>
        <xdr:sp macro="" textlink="">
          <xdr:nvSpPr>
            <xdr:cNvPr id="1032" name="Check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eclines" headers="0" removeDataOnSave="1" preserveFormatting="0" adjustColumnWidth="0" connectionId="55" xr16:uid="{CEDE5E1E-3738-4721-9DDD-50711887783E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tio1" headers="0" removeDataOnSave="1" preserveFormatting="0" adjustColumnWidth="0" connectionId="56" xr16:uid="{04740E88-F8DA-4594-8959-5B862431866A}" autoFormatId="0" applyNumberFormats="0" applyBorderFormats="0" applyFontFormats="1" applyPatternFormats="1" applyAlignmentFormats="0" applyWidthHeightFormats="0">
  <queryTableRefresh preserveSortFilterLayout="0" headersInLastRefresh="0" nextId="6">
    <queryTableFields count="4">
      <queryTableField id="1" name="FOB1CD"/>
      <queryTableField id="4" name="FODNTT"/>
      <queryTableField id="3" dataBound="0" fillFormulas="1"/>
      <queryTableField id="2" dataBound="0" fillFormulas="1"/>
    </queryTableFields>
    <queryTableDeletedFields count="2">
      <deletedField name="FOA7CD"/>
      <deletedField name="BUA0DT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TD NB Surplus" headers="0" removeDataOnSave="1" preserveFormatting="0" adjustColumnWidth="0" connectionId="54" xr16:uid="{2F487E48-EF5C-4FDF-800C-831008C547E0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TD NB Standard" headers="0" removeDataOnSave="1" preserveFormatting="0" adjustColumnWidth="0" connectionId="53" xr16:uid="{89D1EE35-26B1-4DEA-802E-4DC33167999D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 NB Surplus" headers="0" removeDataOnSave="1" preserveFormatting="0" adjustColumnWidth="0" connectionId="52" xr16:uid="{4525A533-ECB3-4FDA-B2F4-62DAC575DA57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 NB Standard" headers="0" removeDataOnSave="1" preserveFormatting="0" adjustColumnWidth="0" connectionId="51" xr16:uid="{49A22B98-818C-419F-9EBA-4C88715A001A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YTD NB Surplus" headers="0" removeDataOnSave="1" preserveFormatting="0" adjustColumnWidth="0" connectionId="47" xr16:uid="{F6D05079-5DFA-4102-A083-EB0416855989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YTD NB Standard" headers="0" removeDataOnSave="1" preserveFormatting="0" adjustColumnWidth="0" connectionId="45" xr16:uid="{E3BD26F8-94DB-438D-B3CF-2F4C8D313249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FOB1CD"/>
      <queryTableField id="2" name="0000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TD WP Surplus" headers="0" removeDataOnSave="1" preserveFormatting="0" adjustColumnWidth="0" connectionId="44" xr16:uid="{B4BDF29F-343B-43E7-9ABC-B3B96B978F76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COB1CD"/>
      <queryTableField id="2" name="0000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TD WP Standard" headers="0" removeDataOnSave="1" preserveFormatting="0" adjustColumnWidth="0" connectionId="43" xr16:uid="{049AB4F2-EC61-487C-A6D8-DB2DE0DE03BF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COB1CD"/>
      <queryTableField id="2" name="0000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YTD Loss Ratio" headers="0" removeDataOnSave="1" preserveFormatting="0" adjustColumnWidth="0" connectionId="38" xr16:uid="{7532B848-4883-4437-91C3-476779402E79}" autoFormatId="0" applyNumberFormats="0" applyBorderFormats="0" applyFontFormats="1" applyPatternFormats="1" applyAlignmentFormats="0" applyWidthHeightFormats="0">
  <queryTableRefresh preserveSortFilterLayout="0" headersInLastRefresh="0" nextId="4">
    <queryTableFields count="3">
      <queryTableField id="1" name="FRB1CD"/>
      <queryTableField id="2" name="00002"/>
      <queryTableField id="3" name="0000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YTD WP Surplus" headers="0" removeDataOnSave="1" preserveFormatting="0" adjustColumnWidth="0" connectionId="37" xr16:uid="{410B8826-763B-4538-BDAF-80B3447C016F}" autoFormatId="0" applyNumberFormats="0" applyBorderFormats="0" applyFontFormats="1" applyPatternFormats="1" applyAlignmentFormats="0" applyWidthHeightFormats="0">
  <queryTableRefresh preserveSortFilterLayout="0" headersInLastRefresh="0" nextId="4">
    <queryTableFields count="3">
      <queryTableField id="1" name="H1B1CD"/>
      <queryTableField id="2" name="H1AGST"/>
      <queryTableField id="3" name="0000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YTD WP Standard" headers="0" removeDataOnSave="1" preserveFormatting="0" adjustColumnWidth="0" connectionId="36" xr16:uid="{082DC958-11D9-4573-A4FD-1CFB4D6F2356}" autoFormatId="0" applyNumberFormats="0" applyBorderFormats="0" applyFontFormats="1" applyPatternFormats="1" applyAlignmentFormats="0" applyWidthHeightFormats="0">
  <queryTableRefresh preserveSortFilterLayout="0" headersInLastRefresh="0" nextId="4">
    <queryTableFields count="3">
      <queryTableField id="1" name="H1B1CD"/>
      <queryTableField id="2" name="H1AGST"/>
      <queryTableField id="3" name="00003"/>
    </queryTableFields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19ED4FF-34D7-4C2A-8C57-50DE4A20FEAC}" name="Table_All" displayName="Table_All" ref="A6:Z938" totalsRowCount="1" headerRowDxfId="46" tableBorderDxfId="51">
  <autoFilter ref="A6:Z937" xr:uid="{119ED4FF-34D7-4C2A-8C57-50DE4A20FEAC}"/>
  <tableColumns count="26">
    <tableColumn id="1" xr3:uid="{A660CA81-FBD6-44FE-BA80-B181688514FA}" name="Code" totalsRowLabel="Total" dataDxfId="50" totalsRowDxfId="45"/>
    <tableColumn id="2" xr3:uid="{564E7714-F0CC-4EA4-82A7-F7900FC8F851}" name="Affiliated Code" dataDxfId="49" totalsRowDxfId="44"/>
    <tableColumn id="3" xr3:uid="{8D9DBBE9-3B4E-4CF7-8C90-9A92A84560E7}" name="Agency" dataDxfId="48" totalsRowDxfId="43"/>
    <tableColumn id="4" xr3:uid="{902BB230-7AD8-4FA0-8477-E5F44BB201D2}" name="Active?" dataDxfId="47" totalsRowDxfId="42"/>
    <tableColumn id="5" xr3:uid="{25DC4BD7-EFEC-4BDA-9F00-4208C2A826F5}" name="YTD WP" totalsRowFunction="sum" dataDxfId="39" totalsRowDxfId="38"/>
    <tableColumn id="6" xr3:uid="{CD4AF28B-7C7C-421E-95F2-A0DFF5ED5DE3}" name="YTD NB #" totalsRowFunction="sum" dataDxfId="37" totalsRowDxfId="36"/>
    <tableColumn id="7" xr3:uid="{32CA76BA-7055-48C0-BDAC-2CCD83CE0806}" name="YTD WP " totalsRowFunction="sum" dataDxfId="35" totalsRowDxfId="34"/>
    <tableColumn id="8" xr3:uid="{9E31910D-0074-49DB-ACD6-6BA8BC0E54AD}" name="YTD NB # " totalsRowFunction="sum" dataDxfId="33" totalsRowDxfId="32"/>
    <tableColumn id="9" xr3:uid="{B7F11B4A-712B-4C0F-BF70-B6C1B55C8311}" name="YTD WP  " totalsRowFunction="sum" dataDxfId="31" totalsRowDxfId="30">
      <calculatedColumnFormula>E7+G7</calculatedColumnFormula>
    </tableColumn>
    <tableColumn id="10" xr3:uid="{A7264E83-0C04-42E8-A27A-FC14E314BDDC}" name="YTD NB #  " totalsRowFunction="sum" dataDxfId="29" totalsRowDxfId="28">
      <calculatedColumnFormula>F7+H7</calculatedColumnFormula>
    </tableColumn>
    <tableColumn id="11" xr3:uid="{E7BB311D-B495-486B-B92F-A19BF8B29365}" name="PYTD WP" totalsRowFunction="sum" dataDxfId="27" totalsRowDxfId="26"/>
    <tableColumn id="12" xr3:uid="{B278AD77-C5E6-44E7-BF94-EFBF0B1678A1}" name="PYTD NB #" totalsRowFunction="sum" dataDxfId="25" totalsRowDxfId="24"/>
    <tableColumn id="13" xr3:uid="{3E80B5FF-2DC0-487B-85DF-341CF4101DBB}" name="PY Total NB #" totalsRowFunction="sum" dataDxfId="23" totalsRowDxfId="22"/>
    <tableColumn id="14" xr3:uid="{A88F1270-88F6-40ED-A7BC-E02865C17CF5}" name="PYTD WP " totalsRowFunction="sum" dataDxfId="21" totalsRowDxfId="20"/>
    <tableColumn id="15" xr3:uid="{43064999-7AEE-46AF-91D7-C8CE2E6856EC}" name="PYTD NB # " totalsRowFunction="sum" dataDxfId="19" totalsRowDxfId="18"/>
    <tableColumn id="16" xr3:uid="{5521A07A-3179-4A77-82CA-B9EE66B6FC04}" name="PY Total NB # " totalsRowFunction="sum" dataDxfId="17" totalsRowDxfId="16"/>
    <tableColumn id="17" xr3:uid="{F340B2BB-51C4-4634-9CA3-515D9E2D12F5}" name="PYTD WP  " totalsRowFunction="sum" dataDxfId="15" totalsRowDxfId="14">
      <calculatedColumnFormula>K7+N7</calculatedColumnFormula>
    </tableColumn>
    <tableColumn id="18" xr3:uid="{4E3621AE-1992-41F0-A049-B48104A99393}" name="PYTD NB #  " totalsRowFunction="sum" dataDxfId="13" totalsRowDxfId="12">
      <calculatedColumnFormula>L7+O7</calculatedColumnFormula>
    </tableColumn>
    <tableColumn id="19" xr3:uid="{D443FCF7-48AA-4B08-A5EF-43642E7630AE}" name="PY Total NB #  " totalsRowFunction="sum" dataDxfId="11" totalsRowDxfId="10">
      <calculatedColumnFormula>M7+P7</calculatedColumnFormula>
    </tableColumn>
    <tableColumn id="20" xr3:uid="{CBA06157-049E-4F42-8240-3367D735C290}" name="Premium Change" totalsRowFunction="sum" dataDxfId="41" totalsRowDxfId="40">
      <calculatedColumnFormula>I7-Q7</calculatedColumnFormula>
    </tableColumn>
    <tableColumn id="21" xr3:uid="{649DB765-BB6F-4F4B-B806-187A1F9D06EB}" name="3-YR+ LR" dataDxfId="9" totalsRowDxfId="8"/>
    <tableColumn id="22" xr3:uid="{108B1CD2-F0CC-4136-A946-050ABE5C2A5B}" name="12 Mo Bind Ratio" totalsRowFunction="custom" dataDxfId="7" totalsRowDxfId="6">
      <totalsRowFormula>ROUND(SUM(Table_All[12 Mo Bound])/SUM(Table_All[12 Mo Quoted]), 2)</totalsRowFormula>
    </tableColumn>
    <tableColumn id="23" xr3:uid="{B56C2094-938C-4BAB-9D9F-5EA8B114FCF7}" name="12 Mo Bound" totalsRowFunction="sum" dataDxfId="5" totalsRowDxfId="4"/>
    <tableColumn id="24" xr3:uid="{300DD05F-B0A1-496B-9CEB-066E818F9A93}" name="12 Mo Quoted" totalsRowFunction="sum" dataDxfId="3" totalsRowDxfId="2"/>
    <tableColumn id="25" xr3:uid="{CE7684F2-2ECE-4AFF-9B8C-9055DDACB514}" name="12 Mo Declined" totalsRowFunction="sum" dataDxfId="1" totalsRowDxfId="0"/>
    <tableColumn id="26" xr3:uid="{272B5B83-EA17-487F-84D4-C0CC2F73CDD9}" name="Branch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465042-BEC8-40BB-AE1A-A353D46DCDBF}" name="TableBRA" displayName="TableBRA" ref="A6:Z88" totalsRowCount="1" headerRowDxfId="802" tableBorderDxfId="807">
  <autoFilter ref="A6:Z87" xr:uid="{CA465042-BEC8-40BB-AE1A-A353D46DCDBF}"/>
  <tableColumns count="26">
    <tableColumn id="1" xr3:uid="{0ABFA849-EDDE-4121-80AB-51318CA85483}" name="Code" totalsRowLabel="Total" dataDxfId="806" totalsRowDxfId="801"/>
    <tableColumn id="2" xr3:uid="{D1CC853A-EC91-4E3B-AA3C-EADFA695119E}" name="Affiliated Code" dataDxfId="805" totalsRowDxfId="800"/>
    <tableColumn id="3" xr3:uid="{3263F15A-84C7-43E6-965F-C2C0DF4BCA04}" name="Agency" dataDxfId="804" totalsRowDxfId="799"/>
    <tableColumn id="4" xr3:uid="{D3892A12-8A93-4FE5-A366-511DEC1ACF26}" name="Active?" dataDxfId="803" totalsRowDxfId="798"/>
    <tableColumn id="5" xr3:uid="{B88ECF0A-15AA-40E7-8F3E-90255165D295}" name="YTD WP" totalsRowFunction="sum" dataDxfId="793" totalsRowDxfId="792"/>
    <tableColumn id="6" xr3:uid="{BE5449A3-B66C-4E34-8B4A-509A5805DD6A}" name="YTD NB #" totalsRowFunction="sum" dataDxfId="791" totalsRowDxfId="790"/>
    <tableColumn id="7" xr3:uid="{05B80A67-A2F0-41D4-AA4F-11E15D4A8E0A}" name="YTD WP " totalsRowFunction="sum" dataDxfId="789" totalsRowDxfId="788"/>
    <tableColumn id="8" xr3:uid="{90A9631D-66AB-418E-93B3-9803B981B72E}" name="YTD NB # " totalsRowFunction="sum" dataDxfId="787" totalsRowDxfId="786"/>
    <tableColumn id="9" xr3:uid="{87F93CBC-6EA7-4736-8EF3-9FB840D874DE}" name="YTD WP  " totalsRowFunction="sum" dataDxfId="785" totalsRowDxfId="784">
      <calculatedColumnFormula>E7+G7</calculatedColumnFormula>
    </tableColumn>
    <tableColumn id="10" xr3:uid="{0A4C0BE9-F37B-4F88-8D84-A4945CC9B535}" name="YTD NB #  " totalsRowFunction="sum" dataDxfId="783" totalsRowDxfId="782">
      <calculatedColumnFormula>F7+H7</calculatedColumnFormula>
    </tableColumn>
    <tableColumn id="11" xr3:uid="{FED93B09-BB0A-4E4F-A79A-0CA001874F75}" name="PYTD WP" totalsRowFunction="sum" dataDxfId="781" totalsRowDxfId="780"/>
    <tableColumn id="12" xr3:uid="{B7F1BB0C-36D8-4D57-8835-7EBFDA198DBA}" name="PYTD NB #" totalsRowFunction="sum" dataDxfId="779" totalsRowDxfId="778"/>
    <tableColumn id="13" xr3:uid="{BA330AD5-AC52-4681-A59E-6E33D646BBF5}" name="PY Total NB #" totalsRowFunction="sum" dataDxfId="777" totalsRowDxfId="776"/>
    <tableColumn id="14" xr3:uid="{9202E45A-A0EA-4FD0-ACCA-98DE48844C6F}" name="PYTD WP " totalsRowFunction="sum" dataDxfId="775" totalsRowDxfId="774"/>
    <tableColumn id="15" xr3:uid="{9AFE71C9-4384-414C-B16A-557DACE2F14F}" name="PYTD NB # " totalsRowFunction="sum" dataDxfId="773" totalsRowDxfId="772"/>
    <tableColumn id="16" xr3:uid="{C1A65F0B-77AD-4752-B19B-5E352C7027A3}" name="PY Total NB # " totalsRowFunction="sum" dataDxfId="771" totalsRowDxfId="770"/>
    <tableColumn id="17" xr3:uid="{B2279FC0-83BD-434E-B4E7-45559447BFB1}" name="PYTD WP  " totalsRowFunction="sum" dataDxfId="769" totalsRowDxfId="768">
      <calculatedColumnFormula>K7+N7</calculatedColumnFormula>
    </tableColumn>
    <tableColumn id="18" xr3:uid="{81DF09C8-7A1A-482D-84BC-064B4CC21428}" name="PYTD NB #  " totalsRowFunction="sum" dataDxfId="767" totalsRowDxfId="766">
      <calculatedColumnFormula>L7+O7</calculatedColumnFormula>
    </tableColumn>
    <tableColumn id="19" xr3:uid="{F49C76D7-EB8B-4161-80CF-DC0A8216E0E1}" name="PY Total NB #  " totalsRowFunction="sum" dataDxfId="765" totalsRowDxfId="764">
      <calculatedColumnFormula>M7+P7</calculatedColumnFormula>
    </tableColumn>
    <tableColumn id="20" xr3:uid="{5B1F25A5-E6CE-497B-8C97-19C7462E72CB}" name="Premium Change" totalsRowFunction="sum" dataDxfId="797" totalsRowDxfId="796">
      <calculatedColumnFormula>I7-Q7</calculatedColumnFormula>
    </tableColumn>
    <tableColumn id="21" xr3:uid="{4B548F1E-3E25-4272-96E6-DD1273A7056B}" name="3-YR+ LR" dataDxfId="763" totalsRowDxfId="762"/>
    <tableColumn id="22" xr3:uid="{44B053F5-8B16-412E-A985-E13CCA1B24A5}" name="12 Mo Bind Ratio" totalsRowFunction="custom" dataDxfId="761" totalsRowDxfId="760">
      <totalsRowFormula>ROUND(SUM(TableBRA[12 Mo Bound])/SUM(TableBRA[12 Mo Quoted])+ SUM(TableBRA[12 Mo Bound]), 2)</totalsRowFormula>
    </tableColumn>
    <tableColumn id="23" xr3:uid="{9887A3D6-6DD6-44BC-AA44-CFF8CE12D0F1}" name="12 Mo Bound" totalsRowFunction="sum" dataDxfId="759" totalsRowDxfId="758"/>
    <tableColumn id="24" xr3:uid="{204D5EBD-66A6-479C-9031-7F93A6E7D09F}" name="12 Mo Quoted" totalsRowFunction="sum" dataDxfId="757" totalsRowDxfId="756"/>
    <tableColumn id="25" xr3:uid="{211D7B9E-F68B-4656-98E4-DBB9667AA9EF}" name="12 Mo Declined" totalsRowFunction="sum" dataDxfId="755" totalsRowDxfId="754"/>
    <tableColumn id="26" xr3:uid="{920FA7FE-B681-46D8-AAC3-B314B1CCE3CD}" name="Comments" dataDxfId="795" totalsRowDxfId="79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511686-62F5-4559-A379-DDBD039A982B}" name="TableFNO" displayName="TableFNO" ref="A6:Z102" totalsRowCount="1" headerRowDxfId="748" tableBorderDxfId="753">
  <autoFilter ref="A6:Z101" xr:uid="{A4511686-62F5-4559-A379-DDBD039A982B}"/>
  <tableColumns count="26">
    <tableColumn id="1" xr3:uid="{937E4C2B-BE19-4C9E-87C8-EABB65DC2175}" name="Code" totalsRowLabel="Total" dataDxfId="752" totalsRowDxfId="747"/>
    <tableColumn id="2" xr3:uid="{E96378F7-892F-4281-9B19-ABA2850856A2}" name="Affiliated Code" dataDxfId="751" totalsRowDxfId="746"/>
    <tableColumn id="3" xr3:uid="{308FD42F-8DC1-48C9-9367-7188DDDA36EE}" name="Agency" dataDxfId="750" totalsRowDxfId="745"/>
    <tableColumn id="4" xr3:uid="{CF6C9B27-3D93-41E2-B5B5-208C9705603F}" name="Active?" dataDxfId="749" totalsRowDxfId="744"/>
    <tableColumn id="5" xr3:uid="{DAFD3B25-F729-44A7-8834-FBD1A19962E5}" name="YTD WP" totalsRowFunction="sum" dataDxfId="739" totalsRowDxfId="738"/>
    <tableColumn id="6" xr3:uid="{96EB1CA5-C17F-478C-A168-523B1BEAE817}" name="YTD NB #" totalsRowFunction="sum" dataDxfId="737" totalsRowDxfId="736"/>
    <tableColumn id="7" xr3:uid="{EB6AF71B-EEBE-4819-B268-328670926023}" name="YTD WP " totalsRowFunction="sum" dataDxfId="735" totalsRowDxfId="734"/>
    <tableColumn id="8" xr3:uid="{579653BD-60C2-488E-9D7F-064E2D816FDC}" name="YTD NB # " totalsRowFunction="sum" dataDxfId="733" totalsRowDxfId="732"/>
    <tableColumn id="9" xr3:uid="{ABB1BF44-30F0-48CE-9B54-910524237EB5}" name="YTD WP  " totalsRowFunction="sum" dataDxfId="731" totalsRowDxfId="730">
      <calculatedColumnFormula>E7+G7</calculatedColumnFormula>
    </tableColumn>
    <tableColumn id="10" xr3:uid="{4A27BDA3-2FE8-42C1-B67A-EBBA36FD1859}" name="YTD NB #  " totalsRowFunction="sum" dataDxfId="729" totalsRowDxfId="728">
      <calculatedColumnFormula>F7+H7</calculatedColumnFormula>
    </tableColumn>
    <tableColumn id="11" xr3:uid="{515E074F-598C-42F6-BAEA-2D7D062AE0E1}" name="PYTD WP" totalsRowFunction="sum" dataDxfId="727" totalsRowDxfId="726"/>
    <tableColumn id="12" xr3:uid="{D929AA82-D620-4ACE-A8CB-A02C575AEAD5}" name="PYTD NB #" totalsRowFunction="sum" dataDxfId="725" totalsRowDxfId="724"/>
    <tableColumn id="13" xr3:uid="{2026BE54-AE09-43A0-8D21-637ADE8664CF}" name="PY Total NB #" totalsRowFunction="sum" dataDxfId="723" totalsRowDxfId="722"/>
    <tableColumn id="14" xr3:uid="{49E47ED4-A059-4920-B9B7-3723F721B91D}" name="PYTD WP " totalsRowFunction="sum" dataDxfId="721" totalsRowDxfId="720"/>
    <tableColumn id="15" xr3:uid="{4DD837CE-A0F2-43D9-8A89-43052F1F143B}" name="PYTD NB # " totalsRowFunction="sum" dataDxfId="719" totalsRowDxfId="718"/>
    <tableColumn id="16" xr3:uid="{D266D1E3-FF2A-46F3-B917-83F679A7EDEA}" name="PY Total NB # " totalsRowFunction="sum" dataDxfId="717" totalsRowDxfId="716"/>
    <tableColumn id="17" xr3:uid="{BBB90886-979C-46DF-A142-C2C5991C7DC3}" name="PYTD WP  " totalsRowFunction="sum" dataDxfId="715" totalsRowDxfId="714">
      <calculatedColumnFormula>K7+N7</calculatedColumnFormula>
    </tableColumn>
    <tableColumn id="18" xr3:uid="{CFEE9B8F-1E84-4619-AAA8-1C858EDF6250}" name="PYTD NB #  " totalsRowFunction="sum" dataDxfId="713" totalsRowDxfId="712">
      <calculatedColumnFormula>L7+O7</calculatedColumnFormula>
    </tableColumn>
    <tableColumn id="19" xr3:uid="{010B5EDF-2E10-4B54-8F21-7A9EFB3B632D}" name="PY Total NB #  " totalsRowFunction="sum" dataDxfId="711" totalsRowDxfId="710">
      <calculatedColumnFormula>M7+P7</calculatedColumnFormula>
    </tableColumn>
    <tableColumn id="20" xr3:uid="{D40E761F-8556-49AE-B6F8-BB3A0619FA80}" name="Premium Change" totalsRowFunction="sum" dataDxfId="743" totalsRowDxfId="742">
      <calculatedColumnFormula>I7-Q7</calculatedColumnFormula>
    </tableColumn>
    <tableColumn id="21" xr3:uid="{2C961D1D-E37C-478A-BA57-2C0ED32F51A1}" name="3-YR+ LR" dataDxfId="709" totalsRowDxfId="708"/>
    <tableColumn id="22" xr3:uid="{7CDD5BED-AEA3-487E-A7EA-29B19DF43095}" name="12 Mo Bind Ratio" totalsRowFunction="custom" dataDxfId="707" totalsRowDxfId="706">
      <totalsRowFormula>ROUND(SUM(TableFNO[12 Mo Bound])/SUM(TableFNO[12 Mo Quoted])+ SUM(TableFNO[12 Mo Bound]), 2)</totalsRowFormula>
    </tableColumn>
    <tableColumn id="23" xr3:uid="{8F1C26D4-C85C-4120-A9E4-974DE4927389}" name="12 Mo Bound" totalsRowFunction="sum" dataDxfId="705" totalsRowDxfId="704"/>
    <tableColumn id="24" xr3:uid="{940E6BAB-0961-4348-9030-6C321CB8D917}" name="12 Mo Quoted" totalsRowFunction="sum" dataDxfId="703" totalsRowDxfId="702"/>
    <tableColumn id="25" xr3:uid="{2351C250-AA22-4820-9338-DBBBAE487D7F}" name="12 Mo Declined" totalsRowFunction="sum" dataDxfId="701" totalsRowDxfId="700"/>
    <tableColumn id="26" xr3:uid="{21AF1943-FA60-462B-91E2-AFC0802DE5B7}" name="Comments" dataDxfId="741" totalsRowDxfId="740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38B61-9017-424E-AB6E-089007E07720}" name="TableLAF" displayName="TableLAF" ref="A6:Z91" totalsRowCount="1" headerRowDxfId="694" tableBorderDxfId="699">
  <autoFilter ref="A6:Z90" xr:uid="{49238B61-9017-424E-AB6E-089007E07720}"/>
  <tableColumns count="26">
    <tableColumn id="1" xr3:uid="{8A75F00E-2BF2-4926-97F3-EEF7B50E1F4E}" name="Code" totalsRowLabel="Total" dataDxfId="698" totalsRowDxfId="693"/>
    <tableColumn id="2" xr3:uid="{8B47E82D-2B44-4379-B139-A277516085C7}" name="Affiliated Code" dataDxfId="697" totalsRowDxfId="692"/>
    <tableColumn id="3" xr3:uid="{7FFA4A38-2664-46BA-851E-7F526B4D1381}" name="Agency" dataDxfId="696" totalsRowDxfId="691"/>
    <tableColumn id="4" xr3:uid="{B2D3E1F0-C678-4043-A147-D6339B95830C}" name="Active?" dataDxfId="695" totalsRowDxfId="690"/>
    <tableColumn id="5" xr3:uid="{31E0113D-5BDA-4B95-B94A-408300FF1A1D}" name="YTD WP" totalsRowFunction="sum" dataDxfId="685" totalsRowDxfId="684"/>
    <tableColumn id="6" xr3:uid="{10214845-06C1-43EF-AD84-471D49BDC7A3}" name="YTD NB #" totalsRowFunction="sum" dataDxfId="683" totalsRowDxfId="682"/>
    <tableColumn id="7" xr3:uid="{18AD53D9-64E7-49D3-8F77-C26EF0E458AE}" name="YTD WP " totalsRowFunction="sum" dataDxfId="681" totalsRowDxfId="680"/>
    <tableColumn id="8" xr3:uid="{3A038E3A-6459-45D1-8930-A2200C2FD3C1}" name="YTD NB # " totalsRowFunction="sum" dataDxfId="679" totalsRowDxfId="678"/>
    <tableColumn id="9" xr3:uid="{A6C69376-D1B6-40B8-9299-FDB871B73E4A}" name="YTD WP  " totalsRowFunction="sum" dataDxfId="677" totalsRowDxfId="676">
      <calculatedColumnFormula>E7+G7</calculatedColumnFormula>
    </tableColumn>
    <tableColumn id="10" xr3:uid="{167EAE79-F7FB-4D83-BAB8-03C619AD3075}" name="YTD NB #  " totalsRowFunction="sum" dataDxfId="675" totalsRowDxfId="674">
      <calculatedColumnFormula>F7+H7</calculatedColumnFormula>
    </tableColumn>
    <tableColumn id="11" xr3:uid="{8E86DCF5-37BE-4B27-A7FE-9DDEED74A204}" name="PYTD WP" totalsRowFunction="sum" dataDxfId="673" totalsRowDxfId="672"/>
    <tableColumn id="12" xr3:uid="{39CC1CD2-ACBE-4351-B139-99E73E449760}" name="PYTD NB #" totalsRowFunction="sum" dataDxfId="671" totalsRowDxfId="670"/>
    <tableColumn id="13" xr3:uid="{B1ACBA3F-0712-4A3A-954F-33F543EBCB3E}" name="PY Total NB #" totalsRowFunction="sum" dataDxfId="669" totalsRowDxfId="668"/>
    <tableColumn id="14" xr3:uid="{5013D7C0-11F9-46EB-BD1A-E89CCDF93ED3}" name="PYTD WP " totalsRowFunction="sum" dataDxfId="667" totalsRowDxfId="666"/>
    <tableColumn id="15" xr3:uid="{C67D471C-9575-40B1-823F-9FD4F235218C}" name="PYTD NB # " totalsRowFunction="sum" dataDxfId="665" totalsRowDxfId="664"/>
    <tableColumn id="16" xr3:uid="{9E730939-00C3-4BF0-BB17-CB338704BA25}" name="PY Total NB # " totalsRowFunction="sum" dataDxfId="663" totalsRowDxfId="662"/>
    <tableColumn id="17" xr3:uid="{81776EA8-76EE-4390-BF88-B9C850B36875}" name="PYTD WP  " totalsRowFunction="sum" dataDxfId="661" totalsRowDxfId="660">
      <calculatedColumnFormula>K7+N7</calculatedColumnFormula>
    </tableColumn>
    <tableColumn id="18" xr3:uid="{01769155-F1A7-4983-B2F9-F522717C9FA8}" name="PYTD NB #  " totalsRowFunction="sum" dataDxfId="659" totalsRowDxfId="658">
      <calculatedColumnFormula>L7+O7</calculatedColumnFormula>
    </tableColumn>
    <tableColumn id="19" xr3:uid="{7B1BC7CB-496D-4BCE-8A43-4B4286A9949C}" name="PY Total NB #  " totalsRowFunction="sum" dataDxfId="657" totalsRowDxfId="656">
      <calculatedColumnFormula>M7+P7</calculatedColumnFormula>
    </tableColumn>
    <tableColumn id="20" xr3:uid="{BDF577F7-FAA0-4BB1-93FF-9D2D239DDD9B}" name="Premium Change" totalsRowFunction="sum" dataDxfId="689" totalsRowDxfId="688">
      <calculatedColumnFormula>I7-Q7</calculatedColumnFormula>
    </tableColumn>
    <tableColumn id="21" xr3:uid="{FF39C676-B82D-4A6E-B640-851610A04CB0}" name="3-YR+ LR" dataDxfId="655" totalsRowDxfId="654"/>
    <tableColumn id="22" xr3:uid="{4BF92062-9F90-4BAD-B32C-D3C0A5C91F1D}" name="12 Mo Bind Ratio" totalsRowFunction="custom" dataDxfId="653" totalsRowDxfId="652">
      <totalsRowFormula>ROUND(SUM(TableLAF[12 Mo Bound])/SUM(TableLAF[12 Mo Quoted])+ SUM(TableLAF[12 Mo Bound]), 2)</totalsRowFormula>
    </tableColumn>
    <tableColumn id="23" xr3:uid="{5F5380A4-BB72-40E7-9BF2-D2F9AA493CD2}" name="12 Mo Bound" totalsRowFunction="sum" dataDxfId="651" totalsRowDxfId="650"/>
    <tableColumn id="24" xr3:uid="{B7631555-7F46-4EC2-A243-5C3DF2E0A892}" name="12 Mo Quoted" totalsRowFunction="sum" dataDxfId="649" totalsRowDxfId="648"/>
    <tableColumn id="25" xr3:uid="{B7CCB49D-1EAE-4F1C-BAAA-23DF17617B90}" name="12 Mo Declined" totalsRowFunction="sum" dataDxfId="647" totalsRowDxfId="646"/>
    <tableColumn id="26" xr3:uid="{B22AB7F2-AC26-4A1D-94E8-281B70FF900E}" name="Comments" dataDxfId="687" totalsRowDxfId="68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077B527-E00C-49E2-8D39-40BC4987AF57}" name="TableLKO" displayName="TableLKO" ref="A6:Z56" totalsRowCount="1" headerRowDxfId="640" tableBorderDxfId="645">
  <autoFilter ref="A6:Z55" xr:uid="{E077B527-E00C-49E2-8D39-40BC4987AF57}"/>
  <tableColumns count="26">
    <tableColumn id="1" xr3:uid="{226F318E-1E12-4BDC-A6A9-BD1C553CD2C3}" name="Code" totalsRowLabel="Total" dataDxfId="644" totalsRowDxfId="639"/>
    <tableColumn id="2" xr3:uid="{F69A1E9D-2464-4AE8-8DC5-5C35DAF9DA94}" name="Affiliated Code" dataDxfId="643" totalsRowDxfId="638"/>
    <tableColumn id="3" xr3:uid="{C02920DA-33D4-425D-9B93-0EBAD16E8568}" name="Agency" dataDxfId="642" totalsRowDxfId="637"/>
    <tableColumn id="4" xr3:uid="{8B895619-337B-4FC6-8627-756C75D4233F}" name="Active?" dataDxfId="641" totalsRowDxfId="636"/>
    <tableColumn id="5" xr3:uid="{1DD3377A-B8C6-4F33-A739-94841A827F92}" name="YTD WP" totalsRowFunction="sum" dataDxfId="631" totalsRowDxfId="630"/>
    <tableColumn id="6" xr3:uid="{9B12A9EA-7D81-45CE-8E0F-C544B45120CB}" name="YTD NB #" totalsRowFunction="sum" dataDxfId="629" totalsRowDxfId="628"/>
    <tableColumn id="7" xr3:uid="{DA2DBD7D-3C1F-4748-BC5E-E43A01B33F9C}" name="YTD WP " totalsRowFunction="sum" dataDxfId="627" totalsRowDxfId="626"/>
    <tableColumn id="8" xr3:uid="{BFD2F032-50A1-48D8-BEBD-C02331FB9F8B}" name="YTD NB # " totalsRowFunction="sum" dataDxfId="625" totalsRowDxfId="624"/>
    <tableColumn id="9" xr3:uid="{CB1A4FEE-B320-4424-BA3E-4D14F2D15189}" name="YTD WP  " totalsRowFunction="sum" dataDxfId="623" totalsRowDxfId="622">
      <calculatedColumnFormula>E7+G7</calculatedColumnFormula>
    </tableColumn>
    <tableColumn id="10" xr3:uid="{8120E1FB-87ED-426E-BE2C-EFC967EA5807}" name="YTD NB #  " totalsRowFunction="sum" dataDxfId="621" totalsRowDxfId="620">
      <calculatedColumnFormula>F7+H7</calculatedColumnFormula>
    </tableColumn>
    <tableColumn id="11" xr3:uid="{D789896A-5A06-48BE-A0F7-1A6D90D153D2}" name="PYTD WP" totalsRowFunction="sum" dataDxfId="619" totalsRowDxfId="618"/>
    <tableColumn id="12" xr3:uid="{D7B39034-F48B-44D6-A51C-2D83A1231D1E}" name="PYTD NB #" totalsRowFunction="sum" dataDxfId="617" totalsRowDxfId="616"/>
    <tableColumn id="13" xr3:uid="{D12F65AC-F071-4F1C-8F8C-5F0BBD6BC8F0}" name="PY Total NB #" totalsRowFunction="sum" dataDxfId="615" totalsRowDxfId="614"/>
    <tableColumn id="14" xr3:uid="{547AA54C-340C-438B-BA19-C30779BDF096}" name="PYTD WP " totalsRowFunction="sum" dataDxfId="613" totalsRowDxfId="612"/>
    <tableColumn id="15" xr3:uid="{FC539195-CCA4-42E3-BDA4-AB3C0915B9EE}" name="PYTD NB # " totalsRowFunction="sum" dataDxfId="611" totalsRowDxfId="610"/>
    <tableColumn id="16" xr3:uid="{1B454EF5-74DE-4E51-BEDE-2AF47B11FABE}" name="PY Total NB # " totalsRowFunction="sum" dataDxfId="609" totalsRowDxfId="608"/>
    <tableColumn id="17" xr3:uid="{7BFF9243-AEA4-4400-BCAF-10858D009664}" name="PYTD WP  " totalsRowFunction="sum" dataDxfId="607" totalsRowDxfId="606">
      <calculatedColumnFormula>K7+N7</calculatedColumnFormula>
    </tableColumn>
    <tableColumn id="18" xr3:uid="{2256048D-395B-435A-8650-D8F6EE7AA401}" name="PYTD NB #  " totalsRowFunction="sum" dataDxfId="605" totalsRowDxfId="604">
      <calculatedColumnFormula>L7+O7</calculatedColumnFormula>
    </tableColumn>
    <tableColumn id="19" xr3:uid="{C9E6259E-D2DA-4EEB-8573-E17CD50D3E8E}" name="PY Total NB #  " totalsRowFunction="sum" dataDxfId="603" totalsRowDxfId="602">
      <calculatedColumnFormula>M7+P7</calculatedColumnFormula>
    </tableColumn>
    <tableColumn id="20" xr3:uid="{CA18D1B5-FA45-428E-A50D-4585C7B9E72A}" name="Premium Change" totalsRowFunction="sum" dataDxfId="635" totalsRowDxfId="634">
      <calculatedColumnFormula>I7-Q7</calculatedColumnFormula>
    </tableColumn>
    <tableColumn id="21" xr3:uid="{113C7D39-9674-4F0C-B647-45B4C06B9D6B}" name="3-YR+ LR" dataDxfId="601" totalsRowDxfId="600"/>
    <tableColumn id="22" xr3:uid="{ACAFBE80-D8A5-414C-B3AD-C7824F670726}" name="12 Mo Bind Ratio" totalsRowFunction="custom" dataDxfId="599" totalsRowDxfId="598">
      <totalsRowFormula>ROUND(SUM(TableLKO[12 Mo Bound])/SUM(TableLKO[12 Mo Quoted])+ SUM(TableLKO[12 Mo Bound]), 2)</totalsRowFormula>
    </tableColumn>
    <tableColumn id="23" xr3:uid="{431D96C7-4E2B-4400-B77A-D1D3E728DD89}" name="12 Mo Bound" totalsRowFunction="sum" dataDxfId="597" totalsRowDxfId="596"/>
    <tableColumn id="24" xr3:uid="{14F0A702-C0F5-438F-BBB0-0C1F2959BB67}" name="12 Mo Quoted" totalsRowFunction="sum" dataDxfId="595" totalsRowDxfId="594"/>
    <tableColumn id="25" xr3:uid="{BDDA3E43-9226-4912-8D09-57D826751F63}" name="12 Mo Declined" totalsRowFunction="sum" dataDxfId="593" totalsRowDxfId="592"/>
    <tableColumn id="26" xr3:uid="{20FB8912-B129-42ED-A01E-3D1178C3623A}" name="Comments" dataDxfId="633" totalsRowDxfId="63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C560A-D37C-49AF-9800-3955DF442AE7}" name="TableLVS" displayName="TableLVS" ref="A6:Z98" totalsRowCount="1" headerRowDxfId="586" tableBorderDxfId="591">
  <autoFilter ref="A6:Z97" xr:uid="{84BC560A-D37C-49AF-9800-3955DF442AE7}"/>
  <tableColumns count="26">
    <tableColumn id="1" xr3:uid="{F8D68FE8-8E8B-49FB-8B1D-E8EA74C5135C}" name="Code" totalsRowLabel="Total" dataDxfId="590" totalsRowDxfId="585"/>
    <tableColumn id="2" xr3:uid="{CBF0F4B0-382A-4C4F-B363-A2211CE982E2}" name="Affiliated Code" dataDxfId="589" totalsRowDxfId="584"/>
    <tableColumn id="3" xr3:uid="{CCB02324-2CF5-4043-9AAA-008C83D9B6DC}" name="Agency" dataDxfId="588" totalsRowDxfId="583"/>
    <tableColumn id="4" xr3:uid="{CD45EDF9-49F7-4CEE-969A-E0DA76F8053A}" name="Active?" dataDxfId="587" totalsRowDxfId="582"/>
    <tableColumn id="5" xr3:uid="{C4CF0E8A-5647-486F-A146-E00009D1118F}" name="YTD WP" totalsRowFunction="sum" dataDxfId="577" totalsRowDxfId="576"/>
    <tableColumn id="6" xr3:uid="{D8676238-B513-48CB-8BA0-289685387979}" name="YTD NB #" totalsRowFunction="sum" dataDxfId="575" totalsRowDxfId="574"/>
    <tableColumn id="7" xr3:uid="{098501A9-7D24-4ED4-A5CF-69B004BA5EEC}" name="YTD WP " totalsRowFunction="sum" dataDxfId="573" totalsRowDxfId="572"/>
    <tableColumn id="8" xr3:uid="{6AB57E7C-25D9-49E8-9EDB-B82FFA9CBDE0}" name="YTD NB # " totalsRowFunction="sum" dataDxfId="571" totalsRowDxfId="570"/>
    <tableColumn id="9" xr3:uid="{A7392C29-FEC6-4FA0-A3E6-F491DBB676BF}" name="YTD WP  " totalsRowFunction="sum" dataDxfId="569" totalsRowDxfId="568">
      <calculatedColumnFormula>E7+G7</calculatedColumnFormula>
    </tableColumn>
    <tableColumn id="10" xr3:uid="{9994497A-5FAE-4D8D-AF57-EC288792C32F}" name="YTD NB #  " totalsRowFunction="sum" dataDxfId="567" totalsRowDxfId="566">
      <calculatedColumnFormula>F7+H7</calculatedColumnFormula>
    </tableColumn>
    <tableColumn id="11" xr3:uid="{9CB55B28-28FF-479A-99FD-3D84218D1B25}" name="PYTD WP" totalsRowFunction="sum" dataDxfId="565" totalsRowDxfId="564"/>
    <tableColumn id="12" xr3:uid="{AFD22B39-1348-4CCE-B212-69FE0A2067CA}" name="PYTD NB #" totalsRowFunction="sum" dataDxfId="563" totalsRowDxfId="562"/>
    <tableColumn id="13" xr3:uid="{22428C56-EDE8-4F9B-8A03-90D87D95BCBB}" name="PY Total NB #" totalsRowFunction="sum" dataDxfId="561" totalsRowDxfId="560"/>
    <tableColumn id="14" xr3:uid="{A0921B6D-3FF1-4E70-B399-C2CE64BA444B}" name="PYTD WP " totalsRowFunction="sum" dataDxfId="559" totalsRowDxfId="558"/>
    <tableColumn id="15" xr3:uid="{29CE61D4-F029-4B39-BD5D-31369852D5A7}" name="PYTD NB # " totalsRowFunction="sum" dataDxfId="557" totalsRowDxfId="556"/>
    <tableColumn id="16" xr3:uid="{8C92263D-A137-4CD8-8029-AFF3E923A053}" name="PY Total NB # " totalsRowFunction="sum" dataDxfId="555" totalsRowDxfId="554"/>
    <tableColumn id="17" xr3:uid="{EACD7E38-36E6-4055-8BE6-2F79CAB20F01}" name="PYTD WP  " totalsRowFunction="sum" dataDxfId="553" totalsRowDxfId="552">
      <calculatedColumnFormula>K7+N7</calculatedColumnFormula>
    </tableColumn>
    <tableColumn id="18" xr3:uid="{87A51763-375B-40C7-A79D-54152F39AE01}" name="PYTD NB #  " totalsRowFunction="sum" dataDxfId="551" totalsRowDxfId="550">
      <calculatedColumnFormula>L7+O7</calculatedColumnFormula>
    </tableColumn>
    <tableColumn id="19" xr3:uid="{C7C8F611-54DB-4F52-97C7-BC38017C42D5}" name="PY Total NB #  " totalsRowFunction="sum" dataDxfId="549" totalsRowDxfId="548">
      <calculatedColumnFormula>M7+P7</calculatedColumnFormula>
    </tableColumn>
    <tableColumn id="20" xr3:uid="{23C9CB9D-7F08-4D4C-BFB1-D7A552CD78FD}" name="Premium Change" totalsRowFunction="sum" dataDxfId="581" totalsRowDxfId="580">
      <calculatedColumnFormula>I7-Q7</calculatedColumnFormula>
    </tableColumn>
    <tableColumn id="21" xr3:uid="{7CB1B4C8-863E-47DA-B3E2-20F35135AC79}" name="3-YR+ LR" dataDxfId="547" totalsRowDxfId="546"/>
    <tableColumn id="22" xr3:uid="{C066A24E-4E40-41F2-BFA2-5E8BA2C344D5}" name="12 Mo Bind Ratio" totalsRowFunction="custom" dataDxfId="545" totalsRowDxfId="544">
      <totalsRowFormula>ROUND(SUM(TableLVS[12 Mo Bound])/SUM(TableLVS[12 Mo Quoted])+ SUM(TableLVS[12 Mo Bound]), 2)</totalsRowFormula>
    </tableColumn>
    <tableColumn id="23" xr3:uid="{D8CB2BA5-65D6-46B9-B48B-797DD659771D}" name="12 Mo Bound" totalsRowFunction="sum" dataDxfId="543" totalsRowDxfId="542"/>
    <tableColumn id="24" xr3:uid="{0B97914A-CF03-41BA-A490-9C5A911E6BDD}" name="12 Mo Quoted" totalsRowFunction="sum" dataDxfId="541" totalsRowDxfId="540"/>
    <tableColumn id="25" xr3:uid="{A15966A2-11FA-4F8F-B4F4-C4C69365726E}" name="12 Mo Declined" totalsRowFunction="sum" dataDxfId="539" totalsRowDxfId="538"/>
    <tableColumn id="26" xr3:uid="{8EF78B73-F142-4535-88DE-7D10A5028220}" name="Comments" dataDxfId="579" totalsRowDxfId="578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78C836-0209-42BB-9C8B-5083B2E437A4}" name="TableMHL" displayName="TableMHL" ref="A6:Z92" totalsRowCount="1" headerRowDxfId="532" tableBorderDxfId="537">
  <autoFilter ref="A6:Z91" xr:uid="{4678C836-0209-42BB-9C8B-5083B2E437A4}"/>
  <tableColumns count="26">
    <tableColumn id="1" xr3:uid="{7204B05E-37DA-42C8-B179-68A0DC843BE7}" name="Code" totalsRowLabel="Total" dataDxfId="536" totalsRowDxfId="531"/>
    <tableColumn id="2" xr3:uid="{64AC181D-179B-4BC0-8B08-59CC6241EB4F}" name="Affiliated Code" dataDxfId="535" totalsRowDxfId="530"/>
    <tableColumn id="3" xr3:uid="{B048359F-4D51-4BD9-80D4-1B05B3CE536D}" name="Agency" dataDxfId="534" totalsRowDxfId="529"/>
    <tableColumn id="4" xr3:uid="{E83CB9E0-DEA8-484B-A24D-6DE253E55005}" name="Active?" dataDxfId="533" totalsRowDxfId="528"/>
    <tableColumn id="5" xr3:uid="{E3214422-9563-4B6F-969B-1CD6191DF7E3}" name="YTD WP" totalsRowFunction="sum" dataDxfId="523" totalsRowDxfId="522"/>
    <tableColumn id="6" xr3:uid="{8DAD5381-1AD3-47AD-BB57-743A5652F139}" name="YTD NB #" totalsRowFunction="sum" dataDxfId="521" totalsRowDxfId="520"/>
    <tableColumn id="7" xr3:uid="{B32F8956-EAD7-42E9-8B2A-48C3DC2D14D1}" name="YTD WP " totalsRowFunction="sum" dataDxfId="519" totalsRowDxfId="518"/>
    <tableColumn id="8" xr3:uid="{5D7F45D1-5EF4-4B68-BFC4-1F127271B083}" name="YTD NB # " totalsRowFunction="sum" dataDxfId="517" totalsRowDxfId="516"/>
    <tableColumn id="9" xr3:uid="{D78BE367-B084-4054-A34B-827A6623186C}" name="YTD WP  " totalsRowFunction="sum" dataDxfId="515" totalsRowDxfId="514">
      <calculatedColumnFormula>E7+G7</calculatedColumnFormula>
    </tableColumn>
    <tableColumn id="10" xr3:uid="{1701993E-154C-4354-9564-F1D16967C52D}" name="YTD NB #  " totalsRowFunction="sum" dataDxfId="513" totalsRowDxfId="512">
      <calculatedColumnFormula>F7+H7</calculatedColumnFormula>
    </tableColumn>
    <tableColumn id="11" xr3:uid="{E1566233-C1C6-41F7-BB89-4CBDB1F71C7D}" name="PYTD WP" totalsRowFunction="sum" dataDxfId="511" totalsRowDxfId="510"/>
    <tableColumn id="12" xr3:uid="{6EA334F5-4A04-4689-8A9F-B4C3E59308C0}" name="PYTD NB #" totalsRowFunction="sum" dataDxfId="509" totalsRowDxfId="508"/>
    <tableColumn id="13" xr3:uid="{4AC9F9B6-7502-4609-8735-453749453E6C}" name="PY Total NB #" totalsRowFunction="sum" dataDxfId="507" totalsRowDxfId="506"/>
    <tableColumn id="14" xr3:uid="{2F0FC911-C70F-4F7E-90A8-938795C834BC}" name="PYTD WP " totalsRowFunction="sum" dataDxfId="505" totalsRowDxfId="504"/>
    <tableColumn id="15" xr3:uid="{EB25E876-E024-47BA-9F2E-A72A7DCBB2FA}" name="PYTD NB # " totalsRowFunction="sum" dataDxfId="503" totalsRowDxfId="502"/>
    <tableColumn id="16" xr3:uid="{24545A3F-AA59-48C8-9BB9-AC84206002BF}" name="PY Total NB # " totalsRowFunction="sum" dataDxfId="501" totalsRowDxfId="500"/>
    <tableColumn id="17" xr3:uid="{DC8C61B9-142A-4C6B-B5F0-DBFDDDA29DCA}" name="PYTD WP  " totalsRowFunction="sum" dataDxfId="499" totalsRowDxfId="498">
      <calculatedColumnFormula>K7+N7</calculatedColumnFormula>
    </tableColumn>
    <tableColumn id="18" xr3:uid="{9B422C15-EBEC-464E-A278-3AC52765C9C3}" name="PYTD NB #  " totalsRowFunction="sum" dataDxfId="497" totalsRowDxfId="496">
      <calculatedColumnFormula>L7+O7</calculatedColumnFormula>
    </tableColumn>
    <tableColumn id="19" xr3:uid="{DE8E4B06-0A4D-4712-A55C-A9C8F5F31E4D}" name="PY Total NB #  " totalsRowFunction="sum" dataDxfId="495" totalsRowDxfId="494">
      <calculatedColumnFormula>M7+P7</calculatedColumnFormula>
    </tableColumn>
    <tableColumn id="20" xr3:uid="{DA916987-BB63-4319-A0A6-3AC6FA666CCB}" name="Premium Change" totalsRowFunction="sum" dataDxfId="527" totalsRowDxfId="526">
      <calculatedColumnFormula>I7-Q7</calculatedColumnFormula>
    </tableColumn>
    <tableColumn id="21" xr3:uid="{75C02594-5F6C-48AB-98C9-85BA1ED8D8E9}" name="3-YR+ LR" dataDxfId="493" totalsRowDxfId="492"/>
    <tableColumn id="22" xr3:uid="{84775129-AEA8-417F-B99B-623A9EB2035B}" name="12 Mo Bind Ratio" totalsRowFunction="custom" dataDxfId="491" totalsRowDxfId="490">
      <totalsRowFormula>ROUND(SUM(TableMHL[12 Mo Bound])/SUM(TableMHL[12 Mo Quoted])+ SUM(TableMHL[12 Mo Bound]), 2)</totalsRowFormula>
    </tableColumn>
    <tableColumn id="23" xr3:uid="{A3B91BEA-CF91-4803-B4DA-42E8AC92F5C6}" name="12 Mo Bound" totalsRowFunction="sum" dataDxfId="489" totalsRowDxfId="488"/>
    <tableColumn id="24" xr3:uid="{3248454B-2335-4909-98F4-58A8DC8A7932}" name="12 Mo Quoted" totalsRowFunction="sum" dataDxfId="487" totalsRowDxfId="486"/>
    <tableColumn id="25" xr3:uid="{C50553A5-A89F-4820-8A38-583CDD328EF8}" name="12 Mo Declined" totalsRowFunction="sum" dataDxfId="485" totalsRowDxfId="484"/>
    <tableColumn id="26" xr3:uid="{D077B90C-49A6-45AD-9EAC-F1BB2CC922BC}" name="Comments" dataDxfId="525" totalsRowDxfId="524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B39664-913C-4101-97FA-355D1305856B}" name="TableMID" displayName="TableMID" ref="A6:Z39" totalsRowCount="1" headerRowDxfId="478" tableBorderDxfId="483">
  <autoFilter ref="A6:Z38" xr:uid="{FCB39664-913C-4101-97FA-355D1305856B}"/>
  <tableColumns count="26">
    <tableColumn id="1" xr3:uid="{46760CEE-9468-4BE8-AE40-8B7F3391F04E}" name="Code" totalsRowLabel="Total" dataDxfId="482" totalsRowDxfId="477"/>
    <tableColumn id="2" xr3:uid="{6FF7A38B-EAC9-4267-9C7C-5307172124EE}" name="Affiliated Code" dataDxfId="481" totalsRowDxfId="476"/>
    <tableColumn id="3" xr3:uid="{A062B456-BA56-45EB-B617-5348630A6BE7}" name="Agency" dataDxfId="480" totalsRowDxfId="475"/>
    <tableColumn id="4" xr3:uid="{61208B7D-F556-4DBA-A8CF-E85A09BB062F}" name="Active?" dataDxfId="479" totalsRowDxfId="474"/>
    <tableColumn id="5" xr3:uid="{0784485B-48D7-4C06-980A-F39A00400930}" name="YTD WP" totalsRowFunction="sum" dataDxfId="469" totalsRowDxfId="468"/>
    <tableColumn id="6" xr3:uid="{4F87F421-8096-4C41-934B-9DCF45A3B97F}" name="YTD NB #" totalsRowFunction="sum" dataDxfId="467" totalsRowDxfId="466"/>
    <tableColumn id="7" xr3:uid="{D5073B21-69E3-4447-B805-D9D9E5A205E1}" name="YTD WP " totalsRowFunction="sum" dataDxfId="465" totalsRowDxfId="464"/>
    <tableColumn id="8" xr3:uid="{D735645E-550A-47A7-96EA-D60161782C90}" name="YTD NB # " totalsRowFunction="sum" dataDxfId="463" totalsRowDxfId="462"/>
    <tableColumn id="9" xr3:uid="{B6937B56-49C2-4E1C-A451-5C1997AE71F3}" name="YTD WP  " totalsRowFunction="sum" dataDxfId="461" totalsRowDxfId="460">
      <calculatedColumnFormula>E7+G7</calculatedColumnFormula>
    </tableColumn>
    <tableColumn id="10" xr3:uid="{11CE1978-EE0A-4981-B440-8F102C863FFD}" name="YTD NB #  " totalsRowFunction="sum" dataDxfId="459" totalsRowDxfId="458">
      <calculatedColumnFormula>F7+H7</calculatedColumnFormula>
    </tableColumn>
    <tableColumn id="11" xr3:uid="{6E1ECB41-63F4-484F-88AB-50DA01F8A5D3}" name="PYTD WP" totalsRowFunction="sum" dataDxfId="457" totalsRowDxfId="456"/>
    <tableColumn id="12" xr3:uid="{B7285565-000A-43BB-849F-4EE8ECE2E1D3}" name="PYTD NB #" totalsRowFunction="sum" dataDxfId="455" totalsRowDxfId="454"/>
    <tableColumn id="13" xr3:uid="{35FFC214-E3E6-44A2-9443-F5D720A76EDB}" name="PY Total NB #" totalsRowFunction="sum" dataDxfId="453" totalsRowDxfId="452"/>
    <tableColumn id="14" xr3:uid="{25D9B33E-450E-4B09-A92D-D1C26A01CF7B}" name="PYTD WP " totalsRowFunction="sum" dataDxfId="451" totalsRowDxfId="450"/>
    <tableColumn id="15" xr3:uid="{D00D95BD-8D03-4D23-B90D-FDF776B1F120}" name="PYTD NB # " totalsRowFunction="sum" dataDxfId="449" totalsRowDxfId="448"/>
    <tableColumn id="16" xr3:uid="{02E64281-588F-46DD-8913-0208BA88E011}" name="PY Total NB # " totalsRowFunction="sum" dataDxfId="447" totalsRowDxfId="446"/>
    <tableColumn id="17" xr3:uid="{2A20A9AC-3BE3-40F4-BDEF-34CBD566DB9B}" name="PYTD WP  " totalsRowFunction="sum" dataDxfId="445" totalsRowDxfId="444">
      <calculatedColumnFormula>K7+N7</calculatedColumnFormula>
    </tableColumn>
    <tableColumn id="18" xr3:uid="{BCFE8864-F060-4288-9AD1-79CCE15706FE}" name="PYTD NB #  " totalsRowFunction="sum" dataDxfId="443" totalsRowDxfId="442">
      <calculatedColumnFormula>L7+O7</calculatedColumnFormula>
    </tableColumn>
    <tableColumn id="19" xr3:uid="{367949C3-E2F6-49A8-8C8D-5B46128E47D6}" name="PY Total NB #  " totalsRowFunction="sum" dataDxfId="441" totalsRowDxfId="440">
      <calculatedColumnFormula>M7+P7</calculatedColumnFormula>
    </tableColumn>
    <tableColumn id="20" xr3:uid="{D5EB6E73-72C5-43AE-A5AA-DE850CAD1BDE}" name="Premium Change" totalsRowFunction="sum" dataDxfId="473" totalsRowDxfId="472">
      <calculatedColumnFormula>I7-Q7</calculatedColumnFormula>
    </tableColumn>
    <tableColumn id="21" xr3:uid="{3F304AA7-43D6-4D27-9611-BE3C436E1615}" name="3-YR+ LR" dataDxfId="439" totalsRowDxfId="438"/>
    <tableColumn id="22" xr3:uid="{4656FF45-538A-4E61-80EA-A32C0E0B9886}" name="12 Mo Bind Ratio" totalsRowFunction="custom" dataDxfId="437" totalsRowDxfId="436">
      <totalsRowFormula>ROUND(SUM(TableMID[12 Mo Bound])/SUM(TableMID[12 Mo Quoted])+ SUM(TableMID[12 Mo Bound]), 2)</totalsRowFormula>
    </tableColumn>
    <tableColumn id="23" xr3:uid="{5872AEB5-50B4-4E0D-8B2F-24A69A229B15}" name="12 Mo Bound" totalsRowFunction="sum" dataDxfId="435" totalsRowDxfId="434"/>
    <tableColumn id="24" xr3:uid="{9B2C41D1-0F39-4C23-BA20-7772B194D833}" name="12 Mo Quoted" totalsRowFunction="sum" dataDxfId="433" totalsRowDxfId="432"/>
    <tableColumn id="25" xr3:uid="{5741BC66-9647-4A67-8B17-F81DE9B6115F}" name="12 Mo Declined" totalsRowFunction="sum" dataDxfId="431" totalsRowDxfId="430"/>
    <tableColumn id="26" xr3:uid="{503B145D-E054-492C-951C-91C439E82A6F}" name="Comments" dataDxfId="471" totalsRowDxfId="470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558B37-DF28-4EDB-B7B6-BE623B68F33C}" name="TablePAS" displayName="TablePAS" ref="A6:Z92" totalsRowCount="1" headerRowDxfId="424" tableBorderDxfId="429">
  <autoFilter ref="A6:Z91" xr:uid="{C3558B37-DF28-4EDB-B7B6-BE623B68F33C}"/>
  <tableColumns count="26">
    <tableColumn id="1" xr3:uid="{63C5C377-3CE0-40C2-ACE1-8C7D5A99B0F1}" name="Code" totalsRowLabel="Total" dataDxfId="428" totalsRowDxfId="423"/>
    <tableColumn id="2" xr3:uid="{7FEA2583-835A-4F6A-A9D2-68FDEB22068F}" name="Affiliated Code" dataDxfId="427" totalsRowDxfId="422"/>
    <tableColumn id="3" xr3:uid="{36D9EFEB-6812-4FE7-A529-52D887281891}" name="Agency" dataDxfId="426" totalsRowDxfId="421"/>
    <tableColumn id="4" xr3:uid="{F230727F-BE8D-4161-B8F7-6EC49078BC3F}" name="Active?" dataDxfId="425" totalsRowDxfId="420"/>
    <tableColumn id="5" xr3:uid="{8EE95B6A-C3D1-4CFC-A564-2BCFB696D8AE}" name="YTD WP" totalsRowFunction="sum" dataDxfId="415" totalsRowDxfId="414"/>
    <tableColumn id="6" xr3:uid="{2ED6A04A-84AA-483A-8183-AB7940362E0A}" name="YTD NB #" totalsRowFunction="sum" dataDxfId="413" totalsRowDxfId="412"/>
    <tableColumn id="7" xr3:uid="{1EADCDAF-0231-4E0D-8BF0-A0ED6D60B2ED}" name="YTD WP " totalsRowFunction="sum" dataDxfId="411" totalsRowDxfId="410"/>
    <tableColumn id="8" xr3:uid="{C2BCF3F5-E8AB-4180-908D-74011E520C72}" name="YTD NB # " totalsRowFunction="sum" dataDxfId="409" totalsRowDxfId="408"/>
    <tableColumn id="9" xr3:uid="{A2537DB2-0A6F-4884-8FB8-663221B89C1F}" name="YTD WP  " totalsRowFunction="sum" dataDxfId="407" totalsRowDxfId="406">
      <calculatedColumnFormula>E7+G7</calculatedColumnFormula>
    </tableColumn>
    <tableColumn id="10" xr3:uid="{72C55028-8754-4225-BB61-5A010310C0CB}" name="YTD NB #  " totalsRowFunction="sum" dataDxfId="405" totalsRowDxfId="404">
      <calculatedColumnFormula>F7+H7</calculatedColumnFormula>
    </tableColumn>
    <tableColumn id="11" xr3:uid="{E569696D-29C5-45A0-863F-33D8274293AA}" name="PYTD WP" totalsRowFunction="sum" dataDxfId="403" totalsRowDxfId="402"/>
    <tableColumn id="12" xr3:uid="{0C57EF50-59FC-494C-9D8F-2D3AE273B7D9}" name="PYTD NB #" totalsRowFunction="sum" dataDxfId="401" totalsRowDxfId="400"/>
    <tableColumn id="13" xr3:uid="{90515BE6-51B1-45A1-B631-312FA41FA820}" name="PY Total NB #" totalsRowFunction="sum" dataDxfId="399" totalsRowDxfId="398"/>
    <tableColumn id="14" xr3:uid="{FE3297FB-8B41-4962-9791-DA714CC898DD}" name="PYTD WP " totalsRowFunction="sum" dataDxfId="397" totalsRowDxfId="396"/>
    <tableColumn id="15" xr3:uid="{A3830CC0-1604-46E1-ADDD-C04F6D947AEB}" name="PYTD NB # " totalsRowFunction="sum" dataDxfId="395" totalsRowDxfId="394"/>
    <tableColumn id="16" xr3:uid="{13D941DA-D6FB-435E-AD04-52B731DD21E6}" name="PY Total NB # " totalsRowFunction="sum" dataDxfId="393" totalsRowDxfId="392"/>
    <tableColumn id="17" xr3:uid="{5A626B33-B62F-4CF4-8A5B-1A1D740B7A1A}" name="PYTD WP  " totalsRowFunction="sum" dataDxfId="391" totalsRowDxfId="390">
      <calculatedColumnFormula>K7+N7</calculatedColumnFormula>
    </tableColumn>
    <tableColumn id="18" xr3:uid="{BDB2B579-8F58-401A-880D-0E1CDAF50E98}" name="PYTD NB #  " totalsRowFunction="sum" dataDxfId="389" totalsRowDxfId="388">
      <calculatedColumnFormula>L7+O7</calculatedColumnFormula>
    </tableColumn>
    <tableColumn id="19" xr3:uid="{938E8CD2-C00F-4F9B-AF9E-40A46B895D7F}" name="PY Total NB #  " totalsRowFunction="sum" dataDxfId="387" totalsRowDxfId="386">
      <calculatedColumnFormula>M7+P7</calculatedColumnFormula>
    </tableColumn>
    <tableColumn id="20" xr3:uid="{C4C3AEB9-9FFA-4446-AC41-01B12022FD60}" name="Premium Change" totalsRowFunction="sum" dataDxfId="419" totalsRowDxfId="418">
      <calculatedColumnFormula>I7-Q7</calculatedColumnFormula>
    </tableColumn>
    <tableColumn id="21" xr3:uid="{2F375EC5-EABF-4414-8F50-F4831F7D7620}" name="3-YR+ LR" dataDxfId="385" totalsRowDxfId="384"/>
    <tableColumn id="22" xr3:uid="{8B71584A-7197-4274-BEE8-02C83A09F905}" name="12 Mo Bind Ratio" totalsRowFunction="custom" dataDxfId="383" totalsRowDxfId="382">
      <totalsRowFormula>ROUND(SUM(TablePAS[12 Mo Bound])/SUM(TablePAS[12 Mo Quoted])+ SUM(TablePAS[12 Mo Bound]), 2)</totalsRowFormula>
    </tableColumn>
    <tableColumn id="23" xr3:uid="{25343286-2D74-4E21-8B41-E5F3CF520DE8}" name="12 Mo Bound" totalsRowFunction="sum" dataDxfId="381" totalsRowDxfId="380"/>
    <tableColumn id="24" xr3:uid="{69841BAE-563A-4D0B-A852-5CD0C8031F69}" name="12 Mo Quoted" totalsRowFunction="sum" dataDxfId="379" totalsRowDxfId="378"/>
    <tableColumn id="25" xr3:uid="{91A48E26-30B7-403B-AD61-C0271E1A5E52}" name="12 Mo Declined" totalsRowFunction="sum" dataDxfId="377" totalsRowDxfId="376"/>
    <tableColumn id="26" xr3:uid="{F0408FF6-E15A-4134-8C9F-99A95745C950}" name="Comments" dataDxfId="417" totalsRowDxfId="416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CE7FE95-D475-40D3-B4F8-9196539702D8}" name="TablePHX" displayName="TablePHX" ref="A6:Z46" totalsRowCount="1" headerRowDxfId="370" tableBorderDxfId="375">
  <autoFilter ref="A6:Z45" xr:uid="{7CE7FE95-D475-40D3-B4F8-9196539702D8}"/>
  <tableColumns count="26">
    <tableColumn id="1" xr3:uid="{334228AA-F0FD-423C-9328-624F013E1CEA}" name="Code" totalsRowLabel="Total" dataDxfId="374" totalsRowDxfId="369"/>
    <tableColumn id="2" xr3:uid="{9A5729C7-03A5-40CD-975C-1662413798C6}" name="Affiliated Code" dataDxfId="373" totalsRowDxfId="368"/>
    <tableColumn id="3" xr3:uid="{4EBD2E8E-F3E1-4F47-80F6-F773E0E11A68}" name="Agency" dataDxfId="372" totalsRowDxfId="367"/>
    <tableColumn id="4" xr3:uid="{9733FC40-1E9A-4C16-8CAB-AF952ACDA815}" name="Active?" dataDxfId="371" totalsRowDxfId="366"/>
    <tableColumn id="5" xr3:uid="{4B054E92-AE52-4816-A10B-3B72B597D4C4}" name="YTD WP" totalsRowFunction="sum" dataDxfId="361" totalsRowDxfId="360"/>
    <tableColumn id="6" xr3:uid="{5A881385-DCFC-43C9-97EB-59E7B93F3F35}" name="YTD NB #" totalsRowFunction="sum" dataDxfId="359" totalsRowDxfId="358"/>
    <tableColumn id="7" xr3:uid="{285D5914-B3F1-4D7A-AE05-3F2D69726B79}" name="YTD WP " totalsRowFunction="sum" dataDxfId="357" totalsRowDxfId="356"/>
    <tableColumn id="8" xr3:uid="{D8BFB81D-E8C5-422E-8263-AD43827312CF}" name="YTD NB # " totalsRowFunction="sum" dataDxfId="355" totalsRowDxfId="354"/>
    <tableColumn id="9" xr3:uid="{9CE62661-92E5-4C3C-9002-A59163BF9AAB}" name="YTD WP  " totalsRowFunction="sum" dataDxfId="353" totalsRowDxfId="352">
      <calculatedColumnFormula>E7+G7</calculatedColumnFormula>
    </tableColumn>
    <tableColumn id="10" xr3:uid="{8FBDED8F-6765-43C2-A3C7-E581500C8582}" name="YTD NB #  " totalsRowFunction="sum" dataDxfId="351" totalsRowDxfId="350">
      <calculatedColumnFormula>F7+H7</calculatedColumnFormula>
    </tableColumn>
    <tableColumn id="11" xr3:uid="{C19B4FEC-B5B1-4E28-8608-9D70A1000682}" name="PYTD WP" totalsRowFunction="sum" dataDxfId="349" totalsRowDxfId="348"/>
    <tableColumn id="12" xr3:uid="{A3E9FB83-3687-495F-A0E4-6925251E7EF9}" name="PYTD NB #" totalsRowFunction="sum" dataDxfId="347" totalsRowDxfId="346"/>
    <tableColumn id="13" xr3:uid="{806A6246-AE44-496A-A958-B97D83CF1279}" name="PY Total NB #" totalsRowFunction="sum" dataDxfId="345" totalsRowDxfId="344"/>
    <tableColumn id="14" xr3:uid="{2DDB5CF1-99F5-4225-87BB-D169E0F0B0A4}" name="PYTD WP " totalsRowFunction="sum" dataDxfId="343" totalsRowDxfId="342"/>
    <tableColumn id="15" xr3:uid="{CCF2034B-1EB7-4ED3-ABBD-162F29ADEAAB}" name="PYTD NB # " totalsRowFunction="sum" dataDxfId="341" totalsRowDxfId="340"/>
    <tableColumn id="16" xr3:uid="{DDAA28E5-89AA-419E-870B-95356D1F6684}" name="PY Total NB # " totalsRowFunction="sum" dataDxfId="339" totalsRowDxfId="338"/>
    <tableColumn id="17" xr3:uid="{7426F95F-6150-4B7B-B71F-D95FD4669897}" name="PYTD WP  " totalsRowFunction="sum" dataDxfId="337" totalsRowDxfId="336">
      <calculatedColumnFormula>K7+N7</calculatedColumnFormula>
    </tableColumn>
    <tableColumn id="18" xr3:uid="{33A50A5D-F951-4FDE-8DB4-B82738E6CA6D}" name="PYTD NB #  " totalsRowFunction="sum" dataDxfId="335" totalsRowDxfId="334">
      <calculatedColumnFormula>L7+O7</calculatedColumnFormula>
    </tableColumn>
    <tableColumn id="19" xr3:uid="{F044139F-33A1-4614-8A82-48304358B10C}" name="PY Total NB #  " totalsRowFunction="sum" dataDxfId="333" totalsRowDxfId="332">
      <calculatedColumnFormula>M7+P7</calculatedColumnFormula>
    </tableColumn>
    <tableColumn id="20" xr3:uid="{454356AC-E440-4D84-9C2E-1C8D36FB23DF}" name="Premium Change" totalsRowFunction="sum" dataDxfId="365" totalsRowDxfId="364">
      <calculatedColumnFormula>I7-Q7</calculatedColumnFormula>
    </tableColumn>
    <tableColumn id="21" xr3:uid="{71B85269-2D82-415A-85FE-384D423AD4F3}" name="3-YR+ LR" dataDxfId="331" totalsRowDxfId="330"/>
    <tableColumn id="22" xr3:uid="{47D310F6-CB5D-4B53-90B9-850833CA43C3}" name="12 Mo Bind Ratio" totalsRowFunction="custom" dataDxfId="329" totalsRowDxfId="328">
      <totalsRowFormula>ROUND(SUM(TablePHX[12 Mo Bound])/SUM(TablePHX[12 Mo Quoted])+ SUM(TablePHX[12 Mo Bound]), 2)</totalsRowFormula>
    </tableColumn>
    <tableColumn id="23" xr3:uid="{C67AEC81-79E5-4587-9DB2-8806D6D97EC7}" name="12 Mo Bound" totalsRowFunction="sum" dataDxfId="327" totalsRowDxfId="326"/>
    <tableColumn id="24" xr3:uid="{B54668FE-5B8B-4448-ADEE-B8A2181BE397}" name="12 Mo Quoted" totalsRowFunction="sum" dataDxfId="325" totalsRowDxfId="324"/>
    <tableColumn id="25" xr3:uid="{134F50C1-B74A-41E3-95C2-8778C059E7AB}" name="12 Mo Declined" totalsRowFunction="sum" dataDxfId="323" totalsRowDxfId="322"/>
    <tableColumn id="26" xr3:uid="{D078B9CB-15D6-40AB-B48A-577FBA5850AC}" name="Comments" dataDxfId="363" totalsRowDxfId="362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0F87215-85AA-4D5F-938E-4C45FAA744C9}" name="TableRCH" displayName="TableRCH" ref="A6:Z82" totalsRowCount="1" headerRowDxfId="316" tableBorderDxfId="321">
  <autoFilter ref="A6:Z81" xr:uid="{90F87215-85AA-4D5F-938E-4C45FAA744C9}"/>
  <tableColumns count="26">
    <tableColumn id="1" xr3:uid="{21668EFE-ECBF-404E-820F-C47571E58B89}" name="Code" totalsRowLabel="Total" dataDxfId="320" totalsRowDxfId="315"/>
    <tableColumn id="2" xr3:uid="{1ED41BB7-6199-4316-9708-92E9648F96A5}" name="Affiliated Code" dataDxfId="319" totalsRowDxfId="314"/>
    <tableColumn id="3" xr3:uid="{6CAC739D-8BAE-4CF4-90D3-B5DA56CB0B1D}" name="Agency" dataDxfId="318" totalsRowDxfId="313"/>
    <tableColumn id="4" xr3:uid="{FECD5893-2B2E-4B61-89D8-F6030F0B38E5}" name="Active?" dataDxfId="317" totalsRowDxfId="312"/>
    <tableColumn id="5" xr3:uid="{A2704413-A0E3-4B4A-8490-21339E53417A}" name="YTD WP" totalsRowFunction="sum" dataDxfId="307" totalsRowDxfId="306"/>
    <tableColumn id="6" xr3:uid="{68F826AC-E18C-4B58-957F-F1A9EE1876CB}" name="YTD NB #" totalsRowFunction="sum" dataDxfId="305" totalsRowDxfId="304"/>
    <tableColumn id="7" xr3:uid="{089B8DB8-FBE6-4B66-81E8-FA29FB258792}" name="YTD WP " totalsRowFunction="sum" dataDxfId="303" totalsRowDxfId="302"/>
    <tableColumn id="8" xr3:uid="{2752C807-77C2-4B33-A4A7-C5036892FB3C}" name="YTD NB # " totalsRowFunction="sum" dataDxfId="301" totalsRowDxfId="300"/>
    <tableColumn id="9" xr3:uid="{14A5E5D6-99CD-419B-9665-98A884545D15}" name="YTD WP  " totalsRowFunction="sum" dataDxfId="299" totalsRowDxfId="298">
      <calculatedColumnFormula>E7+G7</calculatedColumnFormula>
    </tableColumn>
    <tableColumn id="10" xr3:uid="{886B3DA2-56BA-48F2-B9E8-69BE484BBFE6}" name="YTD NB #  " totalsRowFunction="sum" dataDxfId="297" totalsRowDxfId="296">
      <calculatedColumnFormula>F7+H7</calculatedColumnFormula>
    </tableColumn>
    <tableColumn id="11" xr3:uid="{3E909680-4B93-458D-80F1-FF2A26D6F93E}" name="PYTD WP" totalsRowFunction="sum" dataDxfId="295" totalsRowDxfId="294"/>
    <tableColumn id="12" xr3:uid="{471D23F7-ACE0-423C-8E17-5D26015AA15F}" name="PYTD NB #" totalsRowFunction="sum" dataDxfId="293" totalsRowDxfId="292"/>
    <tableColumn id="13" xr3:uid="{21A06404-C2A0-4C1C-BA9D-AE3D0593A230}" name="PY Total NB #" totalsRowFunction="sum" dataDxfId="291" totalsRowDxfId="290"/>
    <tableColumn id="14" xr3:uid="{49DB7D52-C228-436C-8BB7-24EFB995B776}" name="PYTD WP " totalsRowFunction="sum" dataDxfId="289" totalsRowDxfId="288"/>
    <tableColumn id="15" xr3:uid="{46127B56-CB5A-40FD-8EEC-AFC3F83A7591}" name="PYTD NB # " totalsRowFunction="sum" dataDxfId="287" totalsRowDxfId="286"/>
    <tableColumn id="16" xr3:uid="{4F609134-1C88-47D1-837A-C4EAB4DFA8E9}" name="PY Total NB # " totalsRowFunction="sum" dataDxfId="285" totalsRowDxfId="284"/>
    <tableColumn id="17" xr3:uid="{24E28F98-8921-4385-9083-C3452DA27895}" name="PYTD WP  " totalsRowFunction="sum" dataDxfId="283" totalsRowDxfId="282">
      <calculatedColumnFormula>K7+N7</calculatedColumnFormula>
    </tableColumn>
    <tableColumn id="18" xr3:uid="{FBEC14E5-43F3-40D0-91C8-EB10D119CBD6}" name="PYTD NB #  " totalsRowFunction="sum" dataDxfId="281" totalsRowDxfId="280">
      <calculatedColumnFormula>L7+O7</calculatedColumnFormula>
    </tableColumn>
    <tableColumn id="19" xr3:uid="{7473A3C1-0174-472E-AA82-8B0CE6F28387}" name="PY Total NB #  " totalsRowFunction="sum" dataDxfId="279" totalsRowDxfId="278">
      <calculatedColumnFormula>M7+P7</calculatedColumnFormula>
    </tableColumn>
    <tableColumn id="20" xr3:uid="{6AA2723B-BF22-4840-A3DB-4C96D6DA5CFE}" name="Premium Change" totalsRowFunction="sum" dataDxfId="311" totalsRowDxfId="310">
      <calculatedColumnFormula>I7-Q7</calculatedColumnFormula>
    </tableColumn>
    <tableColumn id="21" xr3:uid="{AD09F5D5-C14B-4113-9B55-121845B755FD}" name="3-YR+ LR" dataDxfId="277" totalsRowDxfId="276"/>
    <tableColumn id="22" xr3:uid="{24F99F89-53B7-4896-B52B-3D57506BC4D7}" name="12 Mo Bind Ratio" totalsRowFunction="custom" dataDxfId="275" totalsRowDxfId="274">
      <totalsRowFormula>ROUND(SUM(TableRCH[12 Mo Bound])/SUM(TableRCH[12 Mo Quoted])+ SUM(TableRCH[12 Mo Bound]), 2)</totalsRowFormula>
    </tableColumn>
    <tableColumn id="23" xr3:uid="{038C30C8-3918-4622-8EE1-D11B4C3303AC}" name="12 Mo Bound" totalsRowFunction="sum" dataDxfId="273" totalsRowDxfId="272"/>
    <tableColumn id="24" xr3:uid="{03780F69-77C8-46AE-9EC6-828D65CB7DB7}" name="12 Mo Quoted" totalsRowFunction="sum" dataDxfId="271" totalsRowDxfId="270"/>
    <tableColumn id="25" xr3:uid="{571D9A8A-172E-400A-9E1E-EC3CBEFD6765}" name="12 Mo Declined" totalsRowFunction="sum" dataDxfId="269" totalsRowDxfId="268"/>
    <tableColumn id="26" xr3:uid="{CE70170F-F8A9-499D-8DB4-D6718DB6B9C2}" name="Comments" dataDxfId="309" totalsRowDxfId="308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717C523-50B1-4C0F-B46A-C64B3B538C57}" name="TableREN" displayName="TableREN" ref="A6:Z33" totalsRowCount="1" headerRowDxfId="262" tableBorderDxfId="267">
  <autoFilter ref="A6:Z32" xr:uid="{C717C523-50B1-4C0F-B46A-C64B3B538C57}"/>
  <tableColumns count="26">
    <tableColumn id="1" xr3:uid="{16158F1D-4E0E-4020-9614-C8E79B9A2905}" name="Code" totalsRowLabel="Total" dataDxfId="266" totalsRowDxfId="261"/>
    <tableColumn id="2" xr3:uid="{969F2EF0-783B-454C-A908-0BDE9E7353C2}" name="Affiliated Code" dataDxfId="265" totalsRowDxfId="260"/>
    <tableColumn id="3" xr3:uid="{B4EB126E-7423-477A-B46B-AF7D6F57728B}" name="Agency" dataDxfId="264" totalsRowDxfId="259"/>
    <tableColumn id="4" xr3:uid="{B1846E1F-04EF-490D-A005-6E856141A9AB}" name="Active?" dataDxfId="263" totalsRowDxfId="258"/>
    <tableColumn id="5" xr3:uid="{8C4A1313-10B8-4CB2-9FDE-A623982D18BD}" name="YTD WP" totalsRowFunction="sum" dataDxfId="253" totalsRowDxfId="252"/>
    <tableColumn id="6" xr3:uid="{1D6BA55D-4EF5-44C3-9900-190277D72EAE}" name="YTD NB #" totalsRowFunction="sum" dataDxfId="251" totalsRowDxfId="250"/>
    <tableColumn id="7" xr3:uid="{06059C9B-0630-4873-907F-B1661B625D66}" name="YTD WP " totalsRowFunction="sum" dataDxfId="249" totalsRowDxfId="248"/>
    <tableColumn id="8" xr3:uid="{2EC1BE2C-3CEA-4F87-9AE2-7FB0D98259D2}" name="YTD NB # " totalsRowFunction="sum" dataDxfId="247" totalsRowDxfId="246"/>
    <tableColumn id="9" xr3:uid="{7D3F0B2F-64BF-4C0A-837E-F005CDA14370}" name="YTD WP  " totalsRowFunction="sum" dataDxfId="245" totalsRowDxfId="244">
      <calculatedColumnFormula>E7+G7</calculatedColumnFormula>
    </tableColumn>
    <tableColumn id="10" xr3:uid="{2C092ABD-F94E-4AC7-BFCF-6C183C800C53}" name="YTD NB #  " totalsRowFunction="sum" dataDxfId="243" totalsRowDxfId="242">
      <calculatedColumnFormula>F7+H7</calculatedColumnFormula>
    </tableColumn>
    <tableColumn id="11" xr3:uid="{C7D22D76-A2C4-49AE-9472-0214519F9B4D}" name="PYTD WP" totalsRowFunction="sum" dataDxfId="241" totalsRowDxfId="240"/>
    <tableColumn id="12" xr3:uid="{C23D2A2C-8A99-4003-8938-332354A1AE1F}" name="PYTD NB #" totalsRowFunction="sum" dataDxfId="239" totalsRowDxfId="238"/>
    <tableColumn id="13" xr3:uid="{24182A4C-B11B-40CA-9543-AC78FEF52632}" name="PY Total NB #" totalsRowFunction="sum" dataDxfId="237" totalsRowDxfId="236"/>
    <tableColumn id="14" xr3:uid="{B60B8CBA-EFEB-4612-B157-E3A688A0CC7D}" name="PYTD WP " totalsRowFunction="sum" dataDxfId="235" totalsRowDxfId="234"/>
    <tableColumn id="15" xr3:uid="{7BFAAB99-98F6-4917-9E16-5CF18F7E3FFB}" name="PYTD NB # " totalsRowFunction="sum" dataDxfId="233" totalsRowDxfId="232"/>
    <tableColumn id="16" xr3:uid="{5DA828E3-0337-40DC-AF0B-D47A8D0E351C}" name="PY Total NB # " totalsRowFunction="sum" dataDxfId="231" totalsRowDxfId="230"/>
    <tableColumn id="17" xr3:uid="{C16152F4-FDF8-4F57-A1B8-5364D4B5F423}" name="PYTD WP  " totalsRowFunction="sum" dataDxfId="229" totalsRowDxfId="228">
      <calculatedColumnFormula>K7+N7</calculatedColumnFormula>
    </tableColumn>
    <tableColumn id="18" xr3:uid="{E89522A0-660A-4E05-8118-E66139B9BE8C}" name="PYTD NB #  " totalsRowFunction="sum" dataDxfId="227" totalsRowDxfId="226">
      <calculatedColumnFormula>L7+O7</calculatedColumnFormula>
    </tableColumn>
    <tableColumn id="19" xr3:uid="{0BE7F366-0D31-4E67-9EBD-D668A9DAF172}" name="PY Total NB #  " totalsRowFunction="sum" dataDxfId="225" totalsRowDxfId="224">
      <calculatedColumnFormula>M7+P7</calculatedColumnFormula>
    </tableColumn>
    <tableColumn id="20" xr3:uid="{67517D0E-27E4-4903-AC8E-BDED19EC3C2D}" name="Premium Change" totalsRowFunction="sum" dataDxfId="257" totalsRowDxfId="256">
      <calculatedColumnFormula>I7-Q7</calculatedColumnFormula>
    </tableColumn>
    <tableColumn id="21" xr3:uid="{5048D218-C867-43EF-8760-8FC012E002CF}" name="3-YR+ LR" dataDxfId="223" totalsRowDxfId="222"/>
    <tableColumn id="22" xr3:uid="{5C6F8139-BD40-4B59-A3AB-1881769A4833}" name="12 Mo Bind Ratio" totalsRowFunction="custom" dataDxfId="221" totalsRowDxfId="220">
      <totalsRowFormula>ROUND(SUM(TableREN[12 Mo Bound])/SUM(TableREN[12 Mo Quoted])+ SUM(TableREN[12 Mo Bound]), 2)</totalsRowFormula>
    </tableColumn>
    <tableColumn id="23" xr3:uid="{042CAEAA-6A61-40C0-A618-03B194362DBC}" name="12 Mo Bound" totalsRowFunction="sum" dataDxfId="219" totalsRowDxfId="218"/>
    <tableColumn id="24" xr3:uid="{8AB26F65-9B95-4AAA-8D0E-84E8A30278B0}" name="12 Mo Quoted" totalsRowFunction="sum" dataDxfId="217" totalsRowDxfId="216"/>
    <tableColumn id="25" xr3:uid="{2F196DE3-32DE-4AD2-AB1F-61271D6ABD2E}" name="12 Mo Declined" totalsRowFunction="sum" dataDxfId="215" totalsRowDxfId="214"/>
    <tableColumn id="26" xr3:uid="{BF18F055-9CB4-4207-A4C4-F931ACAFAF65}" name="Comments" dataDxfId="255" totalsRowDxfId="254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5C708A4-4BEC-46DF-9388-D6D8E4991399}" name="TableSBO" displayName="TableSBO" ref="A6:Z89" totalsRowCount="1" headerRowDxfId="208" tableBorderDxfId="213">
  <autoFilter ref="A6:Z88" xr:uid="{75C708A4-4BEC-46DF-9388-D6D8E4991399}"/>
  <tableColumns count="26">
    <tableColumn id="1" xr3:uid="{86BC246C-456E-4C5A-BEFF-899BCDB5FAB7}" name="Code" totalsRowLabel="Total" dataDxfId="212" totalsRowDxfId="207"/>
    <tableColumn id="2" xr3:uid="{FE2A5B65-5A9D-4F04-8455-D50196EAD64A}" name="Affiliated Code" dataDxfId="211" totalsRowDxfId="206"/>
    <tableColumn id="3" xr3:uid="{04D19D6D-FBBF-42E1-B25B-DDE0EE8BEEF7}" name="Agency" dataDxfId="210" totalsRowDxfId="205"/>
    <tableColumn id="4" xr3:uid="{8C901F5A-6A15-4EE7-8263-D6ED8EC06076}" name="Active?" dataDxfId="209" totalsRowDxfId="204"/>
    <tableColumn id="5" xr3:uid="{C09479AD-CF27-4151-8D69-D0E7BD30CD23}" name="YTD WP" totalsRowFunction="sum" dataDxfId="199" totalsRowDxfId="198"/>
    <tableColumn id="6" xr3:uid="{3FE7849A-AC6A-4E92-AAED-C88034239EFA}" name="YTD NB #" totalsRowFunction="sum" dataDxfId="197" totalsRowDxfId="196"/>
    <tableColumn id="7" xr3:uid="{9FCA618A-778C-45CB-BB00-B1C8872FF06B}" name="YTD WP " totalsRowFunction="sum" dataDxfId="195" totalsRowDxfId="194"/>
    <tableColumn id="8" xr3:uid="{BAB53AF1-7485-4F78-B68C-E008A3580C40}" name="YTD NB # " totalsRowFunction="sum" dataDxfId="193" totalsRowDxfId="192"/>
    <tableColumn id="9" xr3:uid="{3BC7AEB3-4470-4FF8-AFDF-04C6243454B4}" name="YTD WP  " totalsRowFunction="sum" dataDxfId="191" totalsRowDxfId="190">
      <calculatedColumnFormula>E7+G7</calculatedColumnFormula>
    </tableColumn>
    <tableColumn id="10" xr3:uid="{53EC7541-D8E5-418A-ABCF-98B574723FF7}" name="YTD NB #  " totalsRowFunction="sum" dataDxfId="189" totalsRowDxfId="188">
      <calculatedColumnFormula>F7+H7</calculatedColumnFormula>
    </tableColumn>
    <tableColumn id="11" xr3:uid="{DD719922-696E-49F8-BDE2-558060DA8D9C}" name="PYTD WP" totalsRowFunction="sum" dataDxfId="187" totalsRowDxfId="186"/>
    <tableColumn id="12" xr3:uid="{758DED2E-1DED-4B47-823A-2675676E088C}" name="PYTD NB #" totalsRowFunction="sum" dataDxfId="185" totalsRowDxfId="184"/>
    <tableColumn id="13" xr3:uid="{B6B33DFD-4A5F-4BFC-AE11-590C1D7EAF0B}" name="PY Total NB #" totalsRowFunction="sum" dataDxfId="183" totalsRowDxfId="182"/>
    <tableColumn id="14" xr3:uid="{A7EEBD7B-EF81-4D2E-A955-85FB120B6D76}" name="PYTD WP " totalsRowFunction="sum" dataDxfId="181" totalsRowDxfId="180"/>
    <tableColumn id="15" xr3:uid="{58F9C185-872B-4112-A457-B1F7CD1988A8}" name="PYTD NB # " totalsRowFunction="sum" dataDxfId="179" totalsRowDxfId="178"/>
    <tableColumn id="16" xr3:uid="{07FD7307-6BA7-417F-ABFB-249982E979B1}" name="PY Total NB # " totalsRowFunction="sum" dataDxfId="177" totalsRowDxfId="176"/>
    <tableColumn id="17" xr3:uid="{A3F1E4B9-A03C-4263-9B45-3441AE956DF8}" name="PYTD WP  " totalsRowFunction="sum" dataDxfId="175" totalsRowDxfId="174">
      <calculatedColumnFormula>K7+N7</calculatedColumnFormula>
    </tableColumn>
    <tableColumn id="18" xr3:uid="{12B3FD71-E0BD-4628-BE94-545878A01439}" name="PYTD NB #  " totalsRowFunction="sum" dataDxfId="173" totalsRowDxfId="172">
      <calculatedColumnFormula>L7+O7</calculatedColumnFormula>
    </tableColumn>
    <tableColumn id="19" xr3:uid="{44AA67A7-DCE8-451F-AC03-DC17F1EE19D6}" name="PY Total NB #  " totalsRowFunction="sum" dataDxfId="171" totalsRowDxfId="170">
      <calculatedColumnFormula>M7+P7</calculatedColumnFormula>
    </tableColumn>
    <tableColumn id="20" xr3:uid="{1476251D-8DDE-4732-A116-696F7F7DA4CC}" name="Premium Change" totalsRowFunction="sum" dataDxfId="203" totalsRowDxfId="202">
      <calculatedColumnFormula>I7-Q7</calculatedColumnFormula>
    </tableColumn>
    <tableColumn id="21" xr3:uid="{0F7B1FB7-3F43-4049-8A7A-C7085F40C9F4}" name="3-YR+ LR" dataDxfId="169" totalsRowDxfId="168"/>
    <tableColumn id="22" xr3:uid="{BE7B9564-A581-4490-B959-9E1310E96ED3}" name="12 Mo Bind Ratio" totalsRowFunction="custom" dataDxfId="167" totalsRowDxfId="166">
      <totalsRowFormula>ROUND(SUM(TableSBO[12 Mo Bound])/SUM(TableSBO[12 Mo Quoted])+ SUM(TableSBO[12 Mo Bound]), 2)</totalsRowFormula>
    </tableColumn>
    <tableColumn id="23" xr3:uid="{17B5EBDE-1098-4AFE-BACB-7956C46772BF}" name="12 Mo Bound" totalsRowFunction="sum" dataDxfId="165" totalsRowDxfId="164"/>
    <tableColumn id="24" xr3:uid="{8B92622E-2D8F-4856-8C0A-72ED9CAC2D2B}" name="12 Mo Quoted" totalsRowFunction="sum" dataDxfId="163" totalsRowDxfId="162"/>
    <tableColumn id="25" xr3:uid="{4BA1200E-E751-446F-9886-2B96606AF0FD}" name="12 Mo Declined" totalsRowFunction="sum" dataDxfId="161" totalsRowDxfId="160"/>
    <tableColumn id="26" xr3:uid="{1D1B19EA-DDB7-44C1-AC47-04081CCF3BA6}" name="Comments" dataDxfId="201" totalsRowDxfId="200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BDDC6B-7E20-43DD-8299-CAA685BC25DC}" name="TableSDO" displayName="TableSDO" ref="A6:Z66" totalsRowCount="1" headerRowDxfId="154" tableBorderDxfId="159">
  <autoFilter ref="A6:Z65" xr:uid="{6FBDDC6B-7E20-43DD-8299-CAA685BC25DC}"/>
  <tableColumns count="26">
    <tableColumn id="1" xr3:uid="{5AE5ADB1-518C-43DC-B08B-2F3221A49B1E}" name="Code" totalsRowLabel="Total" dataDxfId="158" totalsRowDxfId="153"/>
    <tableColumn id="2" xr3:uid="{B009426C-DADD-4734-95A4-F2FEF94F7F76}" name="Affiliated Code" dataDxfId="157" totalsRowDxfId="152"/>
    <tableColumn id="3" xr3:uid="{C3C59A66-6E9A-4BE8-985F-2E9CA55BD209}" name="Agency" dataDxfId="156" totalsRowDxfId="151"/>
    <tableColumn id="4" xr3:uid="{2DCDEDB8-C45C-4B21-B237-FEB109B574BF}" name="Active?" dataDxfId="155" totalsRowDxfId="150"/>
    <tableColumn id="5" xr3:uid="{2EF1D83F-D77D-4B51-BBAC-BF349DFF2FA4}" name="YTD WP" totalsRowFunction="sum" dataDxfId="145" totalsRowDxfId="144"/>
    <tableColumn id="6" xr3:uid="{DE17AAC5-C30D-416D-8AE0-28BF828148CD}" name="YTD NB #" totalsRowFunction="sum" dataDxfId="143" totalsRowDxfId="142"/>
    <tableColumn id="7" xr3:uid="{6EA10B0F-D004-411F-8E39-F44A2EE10BF0}" name="YTD WP " totalsRowFunction="sum" dataDxfId="141" totalsRowDxfId="140"/>
    <tableColumn id="8" xr3:uid="{8CE6FFCD-0387-4A4D-B672-C17D1756DD77}" name="YTD NB # " totalsRowFunction="sum" dataDxfId="139" totalsRowDxfId="138"/>
    <tableColumn id="9" xr3:uid="{D364D943-440A-4DC1-B93B-D83DD6C53868}" name="YTD WP  " totalsRowFunction="sum" dataDxfId="137" totalsRowDxfId="136">
      <calculatedColumnFormula>E7+G7</calculatedColumnFormula>
    </tableColumn>
    <tableColumn id="10" xr3:uid="{43BF488E-922E-44A7-8EE7-F10F887333E4}" name="YTD NB #  " totalsRowFunction="sum" dataDxfId="135" totalsRowDxfId="134">
      <calculatedColumnFormula>F7+H7</calculatedColumnFormula>
    </tableColumn>
    <tableColumn id="11" xr3:uid="{BB72A13D-3B8A-46C4-8B57-0E949CEE0409}" name="PYTD WP" totalsRowFunction="sum" dataDxfId="133" totalsRowDxfId="132"/>
    <tableColumn id="12" xr3:uid="{C12C6C5C-B27E-44F4-ACB6-6F0C00517DC8}" name="PYTD NB #" totalsRowFunction="sum" dataDxfId="131" totalsRowDxfId="130"/>
    <tableColumn id="13" xr3:uid="{7129FA10-9587-4C79-A99B-A3BD0A750531}" name="PY Total NB #" totalsRowFunction="sum" dataDxfId="129" totalsRowDxfId="128"/>
    <tableColumn id="14" xr3:uid="{9A8C6D69-1914-409F-87A8-7DC8272A31C4}" name="PYTD WP " totalsRowFunction="sum" dataDxfId="127" totalsRowDxfId="126"/>
    <tableColumn id="15" xr3:uid="{C3E84FBF-F6B0-4C68-9BBC-BEE51EFF01FC}" name="PYTD NB # " totalsRowFunction="sum" dataDxfId="125" totalsRowDxfId="124"/>
    <tableColumn id="16" xr3:uid="{101A2CE8-BE1F-44AE-8198-01FDE0F5A903}" name="PY Total NB # " totalsRowFunction="sum" dataDxfId="123" totalsRowDxfId="122"/>
    <tableColumn id="17" xr3:uid="{27E552F2-2585-458A-9847-FFEAE99A43A6}" name="PYTD WP  " totalsRowFunction="sum" dataDxfId="121" totalsRowDxfId="120">
      <calculatedColumnFormula>K7+N7</calculatedColumnFormula>
    </tableColumn>
    <tableColumn id="18" xr3:uid="{F15F8AC2-4B16-4B69-8EF0-B497396EA0E6}" name="PYTD NB #  " totalsRowFunction="sum" dataDxfId="119" totalsRowDxfId="118">
      <calculatedColumnFormula>L7+O7</calculatedColumnFormula>
    </tableColumn>
    <tableColumn id="19" xr3:uid="{696AE229-C697-40F2-A846-8D333966B0B4}" name="PY Total NB #  " totalsRowFunction="sum" dataDxfId="117" totalsRowDxfId="116">
      <calculatedColumnFormula>M7+P7</calculatedColumnFormula>
    </tableColumn>
    <tableColumn id="20" xr3:uid="{748ECCFC-4119-4E99-B6B3-2F018DD7755A}" name="Premium Change" totalsRowFunction="sum" dataDxfId="149" totalsRowDxfId="148">
      <calculatedColumnFormula>I7-Q7</calculatedColumnFormula>
    </tableColumn>
    <tableColumn id="21" xr3:uid="{0EBB096A-356A-459F-BC50-D7C99D5D1B89}" name="3-YR+ LR" dataDxfId="115" totalsRowDxfId="114"/>
    <tableColumn id="22" xr3:uid="{389ECC8E-15CA-4848-B99A-B796F9A7B39C}" name="12 Mo Bind Ratio" totalsRowFunction="custom" dataDxfId="113" totalsRowDxfId="112">
      <totalsRowFormula>ROUND(SUM(TableSDO[12 Mo Bound])/SUM(TableSDO[12 Mo Quoted])+ SUM(TableSDO[12 Mo Bound]), 2)</totalsRowFormula>
    </tableColumn>
    <tableColumn id="23" xr3:uid="{7BACE1B5-C586-4D8F-83A1-A3524E98E0A2}" name="12 Mo Bound" totalsRowFunction="sum" dataDxfId="111" totalsRowDxfId="110"/>
    <tableColumn id="24" xr3:uid="{4F6FE1CE-86A6-4333-AEB4-8A664AD774B0}" name="12 Mo Quoted" totalsRowFunction="sum" dataDxfId="109" totalsRowDxfId="108"/>
    <tableColumn id="25" xr3:uid="{E35A655D-FFA9-4CB0-AF19-5EFF7F827776}" name="12 Mo Declined" totalsRowFunction="sum" dataDxfId="107" totalsRowDxfId="106"/>
    <tableColumn id="26" xr3:uid="{C291082F-75FB-489B-B9F0-8CDD4705CC0D}" name="Comments" dataDxfId="147" totalsRowDxfId="146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14D7354-C181-4783-9638-FB5538C0868F}" name="TableSEA" displayName="TableSEA" ref="A6:Z55" totalsRowCount="1" headerRowDxfId="100" tableBorderDxfId="105">
  <autoFilter ref="A6:Z54" xr:uid="{414D7354-C181-4783-9638-FB5538C0868F}"/>
  <tableColumns count="26">
    <tableColumn id="1" xr3:uid="{44839BDD-E078-44C9-97C0-1B793C03EE08}" name="Code" totalsRowLabel="Total" dataDxfId="104" totalsRowDxfId="99"/>
    <tableColumn id="2" xr3:uid="{00AB0534-4A09-4F29-88DC-1EEBE7B5117F}" name="Affiliated Code" dataDxfId="103" totalsRowDxfId="98"/>
    <tableColumn id="3" xr3:uid="{4F2FA564-BD50-4CEF-952C-29D9BADD2821}" name="Agency" dataDxfId="102" totalsRowDxfId="97"/>
    <tableColumn id="4" xr3:uid="{8AA4DA88-4851-4018-BDEC-831FA7AAA3BD}" name="Active?" dataDxfId="101" totalsRowDxfId="96"/>
    <tableColumn id="5" xr3:uid="{875C5DCC-D013-4D70-9701-EBEF8EA8FAE8}" name="YTD WP" totalsRowFunction="sum" dataDxfId="91" totalsRowDxfId="90"/>
    <tableColumn id="6" xr3:uid="{3BC67022-CC97-45FF-8E0C-628ED103E01D}" name="YTD NB #" totalsRowFunction="sum" dataDxfId="89" totalsRowDxfId="88"/>
    <tableColumn id="7" xr3:uid="{4F72CBAC-0D2E-48FF-A9D9-124CE270A144}" name="YTD WP " totalsRowFunction="sum" dataDxfId="87" totalsRowDxfId="86"/>
    <tableColumn id="8" xr3:uid="{239C5BFC-0FF9-41A2-BB55-25EFA88AD2F3}" name="YTD NB # " totalsRowFunction="sum" dataDxfId="85" totalsRowDxfId="84"/>
    <tableColumn id="9" xr3:uid="{E7101D29-5BDC-4A69-9144-9480E3D0954C}" name="YTD WP  " totalsRowFunction="sum" dataDxfId="83" totalsRowDxfId="82">
      <calculatedColumnFormula>E7+G7</calculatedColumnFormula>
    </tableColumn>
    <tableColumn id="10" xr3:uid="{3CD98506-B623-4642-A53E-2FDDCD8E0F3A}" name="YTD NB #  " totalsRowFunction="sum" dataDxfId="81" totalsRowDxfId="80">
      <calculatedColumnFormula>F7+H7</calculatedColumnFormula>
    </tableColumn>
    <tableColumn id="11" xr3:uid="{42B32467-3BBF-4823-9162-2E0AA42C40EF}" name="PYTD WP" totalsRowFunction="sum" dataDxfId="79" totalsRowDxfId="78"/>
    <tableColumn id="12" xr3:uid="{30C690E2-FBA1-49E7-ABAD-533D4D607C2E}" name="PYTD NB #" totalsRowFunction="sum" dataDxfId="77" totalsRowDxfId="76"/>
    <tableColumn id="13" xr3:uid="{07AD886B-4895-4653-9770-8DEB944049FE}" name="PY Total NB #" totalsRowFunction="sum" dataDxfId="75" totalsRowDxfId="74"/>
    <tableColumn id="14" xr3:uid="{1D9E69D9-EB52-47D1-AE1C-7F6F947A5CA8}" name="PYTD WP " totalsRowFunction="sum" dataDxfId="73" totalsRowDxfId="72"/>
    <tableColumn id="15" xr3:uid="{4407E8A5-2134-4508-9AD2-5BE32FDBF122}" name="PYTD NB # " totalsRowFunction="sum" dataDxfId="71" totalsRowDxfId="70"/>
    <tableColumn id="16" xr3:uid="{71C3C452-3833-4D42-92CE-CEBFBD20EFF0}" name="PY Total NB # " totalsRowFunction="sum" dataDxfId="69" totalsRowDxfId="68"/>
    <tableColumn id="17" xr3:uid="{E165D98F-1853-40C8-A686-D7F8E109B3F1}" name="PYTD WP  " totalsRowFunction="sum" dataDxfId="67" totalsRowDxfId="66">
      <calculatedColumnFormula>K7+N7</calculatedColumnFormula>
    </tableColumn>
    <tableColumn id="18" xr3:uid="{526E90D2-44D9-4423-B9C2-D9A27D64E000}" name="PYTD NB #  " totalsRowFunction="sum" dataDxfId="65" totalsRowDxfId="64">
      <calculatedColumnFormula>L7+O7</calculatedColumnFormula>
    </tableColumn>
    <tableColumn id="19" xr3:uid="{DB343E18-58E3-4101-846D-67C47044DBFE}" name="PY Total NB #  " totalsRowFunction="sum" dataDxfId="63" totalsRowDxfId="62">
      <calculatedColumnFormula>M7+P7</calculatedColumnFormula>
    </tableColumn>
    <tableColumn id="20" xr3:uid="{66E0F72D-118E-41F2-A8C8-5727E9CD9356}" name="Premium Change" totalsRowFunction="sum" dataDxfId="95" totalsRowDxfId="94">
      <calculatedColumnFormula>I7-Q7</calculatedColumnFormula>
    </tableColumn>
    <tableColumn id="21" xr3:uid="{8FD90375-5111-40E6-B36A-D63ADF0ACDAE}" name="3-YR+ LR" dataDxfId="61" totalsRowDxfId="60"/>
    <tableColumn id="22" xr3:uid="{2B84EA48-09D2-48B3-ACD4-A5DD7CE9189B}" name="12 Mo Bind Ratio" totalsRowFunction="custom" dataDxfId="59" totalsRowDxfId="58">
      <totalsRowFormula>ROUND(SUM(TableSEA[12 Mo Bound])/SUM(TableSEA[12 Mo Quoted])+ SUM(TableSEA[12 Mo Bound]), 2)</totalsRowFormula>
    </tableColumn>
    <tableColumn id="23" xr3:uid="{29921151-DB72-49D5-9631-0BF180242ED5}" name="12 Mo Bound" totalsRowFunction="sum" dataDxfId="57" totalsRowDxfId="56"/>
    <tableColumn id="24" xr3:uid="{4B55E39E-3597-4401-892A-B3B4DCF7F15E}" name="12 Mo Quoted" totalsRowFunction="sum" dataDxfId="55" totalsRowDxfId="54"/>
    <tableColumn id="25" xr3:uid="{1929B854-B7CD-4BAA-BB80-AA8693C9FDFA}" name="12 Mo Declined" totalsRowFunction="sum" dataDxfId="53" totalsRowDxfId="52"/>
    <tableColumn id="26" xr3:uid="{4111FF68-BD7B-4DB1-8E3B-C21718A8B561}" name="Comments" dataDxfId="93" totalsRowDxfId="92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hoenixuw@deanshomer.com;deb@deanshomer.com" TargetMode="External"/><Relationship Id="rId3" Type="http://schemas.openxmlformats.org/officeDocument/2006/relationships/hyperlink" Target="mailto:sandiego@deanshomer.com" TargetMode="External"/><Relationship Id="rId7" Type="http://schemas.openxmlformats.org/officeDocument/2006/relationships/hyperlink" Target="mailto:roseville@deanshomer.com;deb@deanshomer.com" TargetMode="External"/><Relationship Id="rId2" Type="http://schemas.openxmlformats.org/officeDocument/2006/relationships/hyperlink" Target="mailto:lafayette@deanshomer.com" TargetMode="External"/><Relationship Id="rId1" Type="http://schemas.openxmlformats.org/officeDocument/2006/relationships/hyperlink" Target="mailto:reno@deanshomer.com;deb@deanshomer.com;deb@deanshomer.com" TargetMode="External"/><Relationship Id="rId6" Type="http://schemas.openxmlformats.org/officeDocument/2006/relationships/hyperlink" Target="mailto:PNW@deanshomer.com;deb@deanshomer.com" TargetMode="External"/><Relationship Id="rId5" Type="http://schemas.openxmlformats.org/officeDocument/2006/relationships/hyperlink" Target="mailto:PNW@deanshomer.com;deb@deanshomer.com" TargetMode="External"/><Relationship Id="rId4" Type="http://schemas.openxmlformats.org/officeDocument/2006/relationships/hyperlink" Target="mailto:orangecounty@deanshomer.com" TargetMode="External"/><Relationship Id="rId9" Type="http://schemas.openxmlformats.org/officeDocument/2006/relationships/hyperlink" Target="mailto:danc@deanshomer.com;matthew@deanshomer.com;deb@deanshomer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134"/>
  <sheetViews>
    <sheetView tabSelected="1" zoomScaleNormal="100" workbookViewId="0">
      <pane ySplit="6" topLeftCell="A7" activePane="bottomLeft" state="frozen"/>
      <selection pane="bottomLeft" activeCell="L9" sqref="L9"/>
    </sheetView>
  </sheetViews>
  <sheetFormatPr defaultRowHeight="15" x14ac:dyDescent="0.25"/>
  <cols>
    <col min="1" max="1" width="7.28515625" style="4" customWidth="1"/>
    <col min="2" max="2" width="9.7109375" customWidth="1"/>
    <col min="3" max="3" width="19.85546875" bestFit="1" customWidth="1"/>
    <col min="4" max="4" width="9.7109375" style="13" customWidth="1"/>
    <col min="5" max="5" width="13" style="13" bestFit="1" customWidth="1"/>
    <col min="6" max="6" width="10.7109375" style="13" customWidth="1"/>
    <col min="7" max="7" width="13" style="13" bestFit="1" customWidth="1"/>
    <col min="8" max="8" width="6.7109375" style="13" customWidth="1"/>
    <col min="9" max="9" width="13" style="13" bestFit="1" customWidth="1"/>
    <col min="10" max="10" width="7.28515625" style="13" customWidth="1"/>
    <col min="11" max="11" width="14.140625" style="13" bestFit="1" customWidth="1"/>
    <col min="12" max="12" width="12.140625" style="11" customWidth="1"/>
    <col min="13" max="13" width="8.7109375" style="13" customWidth="1"/>
    <col min="14" max="14" width="14.140625" style="13" bestFit="1" customWidth="1"/>
    <col min="15" max="15" width="12.5703125" style="13" customWidth="1"/>
    <col min="16" max="16" width="8.7109375" style="11" customWidth="1"/>
    <col min="17" max="17" width="14.140625" style="13" bestFit="1" customWidth="1"/>
    <col min="18" max="18" width="13" style="18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8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</row>
    <row r="2" spans="1:26" x14ac:dyDescent="0.25">
      <c r="A2" s="3"/>
    </row>
    <row r="4" spans="1:26" ht="15.75" thickBot="1" x14ac:dyDescent="0.3">
      <c r="A4" s="6"/>
    </row>
    <row r="5" spans="1:26" s="2" customFormat="1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7"/>
    </row>
    <row r="6" spans="1:26" s="15" customFormat="1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8" t="s">
        <v>29</v>
      </c>
    </row>
    <row r="7" spans="1:26" x14ac:dyDescent="0.25">
      <c r="A7" s="20" t="s">
        <v>64</v>
      </c>
      <c r="B7" s="20" t="s">
        <v>60</v>
      </c>
      <c r="C7" s="20" t="s">
        <v>65</v>
      </c>
      <c r="D7" s="20" t="s">
        <v>216</v>
      </c>
      <c r="E7" s="13">
        <v>26660.37</v>
      </c>
      <c r="F7" s="11">
        <v>0</v>
      </c>
      <c r="G7" s="13">
        <v>0</v>
      </c>
      <c r="H7" s="11">
        <v>0</v>
      </c>
      <c r="I7" s="13">
        <f>E7+G7</f>
        <v>26660.37</v>
      </c>
      <c r="J7" s="11">
        <f>F7+H7</f>
        <v>0</v>
      </c>
      <c r="K7" s="13">
        <v>18144</v>
      </c>
      <c r="L7" s="11">
        <v>0</v>
      </c>
      <c r="M7" s="11">
        <v>1</v>
      </c>
      <c r="N7" s="13">
        <v>0</v>
      </c>
      <c r="O7" s="11">
        <v>0</v>
      </c>
      <c r="P7" s="11">
        <v>0</v>
      </c>
      <c r="Q7" s="13">
        <f>K7+N7</f>
        <v>18144</v>
      </c>
      <c r="R7" s="11">
        <f>L7+O7</f>
        <v>0</v>
      </c>
      <c r="S7" s="11">
        <f>M7+P7</f>
        <v>1</v>
      </c>
      <c r="T7" s="8">
        <f>I7-Q7</f>
        <v>8516.369999999999</v>
      </c>
      <c r="U7" s="18">
        <v>4.8826965650296629E-2</v>
      </c>
      <c r="V7" s="11">
        <v>0.33</v>
      </c>
      <c r="W7" s="11">
        <v>1</v>
      </c>
      <c r="X7" s="11">
        <v>2</v>
      </c>
      <c r="Y7" s="11">
        <v>1</v>
      </c>
      <c r="Z7" t="s">
        <v>6</v>
      </c>
    </row>
    <row r="8" spans="1:26" x14ac:dyDescent="0.25">
      <c r="A8" s="20" t="s">
        <v>66</v>
      </c>
      <c r="B8" s="20" t="s">
        <v>60</v>
      </c>
      <c r="C8" s="20" t="s">
        <v>67</v>
      </c>
      <c r="D8" s="20" t="s">
        <v>216</v>
      </c>
      <c r="E8" s="13">
        <v>18931</v>
      </c>
      <c r="F8" s="11">
        <v>0</v>
      </c>
      <c r="G8" s="13">
        <v>33361</v>
      </c>
      <c r="H8" s="11">
        <v>0</v>
      </c>
      <c r="I8" s="13">
        <f>E8+G8</f>
        <v>52292</v>
      </c>
      <c r="J8" s="11">
        <f>F8+H8</f>
        <v>0</v>
      </c>
      <c r="K8" s="13">
        <v>23529</v>
      </c>
      <c r="L8" s="11">
        <v>2</v>
      </c>
      <c r="M8" s="11">
        <v>3</v>
      </c>
      <c r="N8" s="13">
        <v>58831.25</v>
      </c>
      <c r="O8" s="11">
        <v>1</v>
      </c>
      <c r="P8" s="11">
        <v>6</v>
      </c>
      <c r="Q8" s="13">
        <f>K8+N8</f>
        <v>82360.25</v>
      </c>
      <c r="R8" s="11">
        <f>L8+O8</f>
        <v>3</v>
      </c>
      <c r="S8" s="11">
        <f>M8+P8</f>
        <v>9</v>
      </c>
      <c r="T8" s="8">
        <f>I8-Q8</f>
        <v>-30068.25</v>
      </c>
      <c r="U8" s="18">
        <v>4.1349662231406799E-2</v>
      </c>
      <c r="V8" s="11">
        <v>0.47</v>
      </c>
      <c r="W8" s="11">
        <v>7</v>
      </c>
      <c r="X8" s="11">
        <v>8</v>
      </c>
      <c r="Y8" s="11">
        <v>0</v>
      </c>
      <c r="Z8" t="s">
        <v>6</v>
      </c>
    </row>
    <row r="9" spans="1:26" x14ac:dyDescent="0.25">
      <c r="A9" s="20" t="s">
        <v>68</v>
      </c>
      <c r="B9" s="20" t="s">
        <v>901</v>
      </c>
      <c r="C9" s="20" t="s">
        <v>902</v>
      </c>
      <c r="D9" s="20" t="s">
        <v>215</v>
      </c>
      <c r="E9" s="13">
        <v>0</v>
      </c>
      <c r="F9" s="11">
        <v>0</v>
      </c>
      <c r="G9" s="13">
        <v>-674.41</v>
      </c>
      <c r="H9" s="11">
        <v>0</v>
      </c>
      <c r="I9" s="13">
        <f>E9+G9</f>
        <v>-674.41</v>
      </c>
      <c r="J9" s="11">
        <f>F9+H9</f>
        <v>0</v>
      </c>
      <c r="K9" s="13">
        <v>31685.01</v>
      </c>
      <c r="L9" s="11">
        <v>0</v>
      </c>
      <c r="M9" s="11">
        <v>1</v>
      </c>
      <c r="N9" s="13">
        <v>159626.5</v>
      </c>
      <c r="O9" s="11">
        <v>0</v>
      </c>
      <c r="P9" s="11">
        <v>1</v>
      </c>
      <c r="Q9" s="13">
        <f>K9+N9</f>
        <v>191311.51</v>
      </c>
      <c r="R9" s="11">
        <f>L9+O9</f>
        <v>0</v>
      </c>
      <c r="S9" s="11">
        <f>M9+P9</f>
        <v>2</v>
      </c>
      <c r="T9" s="8">
        <f>I9-Q9</f>
        <v>-191985.92000000001</v>
      </c>
      <c r="U9" s="18" t="s">
        <v>1803</v>
      </c>
      <c r="V9" s="11">
        <v>0.33</v>
      </c>
      <c r="W9" s="11">
        <v>2</v>
      </c>
      <c r="X9" s="11">
        <v>4</v>
      </c>
      <c r="Y9" s="11">
        <v>0</v>
      </c>
      <c r="Z9" t="s">
        <v>6</v>
      </c>
    </row>
    <row r="10" spans="1:26" x14ac:dyDescent="0.25">
      <c r="A10" s="20" t="s">
        <v>69</v>
      </c>
      <c r="B10" s="20" t="s">
        <v>60</v>
      </c>
      <c r="C10" s="20" t="s">
        <v>70</v>
      </c>
      <c r="D10" s="20" t="s">
        <v>216</v>
      </c>
      <c r="E10" s="13">
        <v>3715</v>
      </c>
      <c r="F10" s="11">
        <v>1</v>
      </c>
      <c r="G10" s="13">
        <v>0</v>
      </c>
      <c r="H10" s="11">
        <v>0</v>
      </c>
      <c r="I10" s="13">
        <f>E10+G10</f>
        <v>3715</v>
      </c>
      <c r="J10" s="11">
        <f>F10+H10</f>
        <v>1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1</v>
      </c>
      <c r="Q10" s="13">
        <f>K10+N10</f>
        <v>0</v>
      </c>
      <c r="R10" s="11">
        <f>L10+O10</f>
        <v>0</v>
      </c>
      <c r="S10" s="11">
        <f>M10+P10</f>
        <v>1</v>
      </c>
      <c r="T10" s="8">
        <f>I10-Q10</f>
        <v>3715</v>
      </c>
      <c r="U10" s="18">
        <v>0.86225077273487494</v>
      </c>
      <c r="V10" s="11">
        <v>0.33</v>
      </c>
      <c r="W10" s="11">
        <v>2</v>
      </c>
      <c r="X10" s="11">
        <v>4</v>
      </c>
      <c r="Y10" s="11">
        <v>2</v>
      </c>
      <c r="Z10" t="s">
        <v>6</v>
      </c>
    </row>
    <row r="11" spans="1:26" s="20" customFormat="1" x14ac:dyDescent="0.25">
      <c r="A11" s="20" t="s">
        <v>72</v>
      </c>
      <c r="B11" s="20" t="s">
        <v>60</v>
      </c>
      <c r="C11" s="20" t="s">
        <v>73</v>
      </c>
      <c r="D11" s="20" t="s">
        <v>216</v>
      </c>
      <c r="E11" s="13">
        <v>0</v>
      </c>
      <c r="F11" s="11">
        <v>0</v>
      </c>
      <c r="G11" s="13">
        <v>18703</v>
      </c>
      <c r="H11" s="11">
        <v>0</v>
      </c>
      <c r="I11" s="13">
        <f>E11+G11</f>
        <v>18703</v>
      </c>
      <c r="J11" s="11">
        <f>F11+H11</f>
        <v>0</v>
      </c>
      <c r="K11" s="13">
        <v>0</v>
      </c>
      <c r="L11" s="11">
        <v>0</v>
      </c>
      <c r="M11" s="11">
        <v>1</v>
      </c>
      <c r="N11" s="13">
        <v>17599</v>
      </c>
      <c r="O11" s="11">
        <v>0</v>
      </c>
      <c r="P11" s="11">
        <v>2</v>
      </c>
      <c r="Q11" s="13">
        <f>K11+N11</f>
        <v>17599</v>
      </c>
      <c r="R11" s="11">
        <f>L11+O11</f>
        <v>0</v>
      </c>
      <c r="S11" s="11">
        <f>M11+P11</f>
        <v>3</v>
      </c>
      <c r="T11" s="8">
        <f>I11-Q11</f>
        <v>1104</v>
      </c>
      <c r="U11" s="18">
        <v>7.7107632233447965E-2</v>
      </c>
      <c r="V11" s="11">
        <v>0.43</v>
      </c>
      <c r="W11" s="11">
        <v>3</v>
      </c>
      <c r="X11" s="11">
        <v>4</v>
      </c>
      <c r="Y11" s="11">
        <v>3</v>
      </c>
      <c r="Z11" s="20" t="s">
        <v>6</v>
      </c>
    </row>
    <row r="12" spans="1:26" x14ac:dyDescent="0.25">
      <c r="A12" s="20" t="s">
        <v>85</v>
      </c>
      <c r="B12" s="20" t="s">
        <v>86</v>
      </c>
      <c r="C12" s="20" t="s">
        <v>87</v>
      </c>
      <c r="D12" s="20" t="s">
        <v>216</v>
      </c>
      <c r="E12" s="13">
        <v>0</v>
      </c>
      <c r="F12" s="11">
        <v>0</v>
      </c>
      <c r="G12" s="13">
        <v>15144.55</v>
      </c>
      <c r="H12" s="11">
        <v>0</v>
      </c>
      <c r="I12" s="13">
        <f>E12+G12</f>
        <v>15144.55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45539.14</v>
      </c>
      <c r="O12" s="11">
        <v>2</v>
      </c>
      <c r="P12" s="11">
        <v>2</v>
      </c>
      <c r="Q12" s="13">
        <f>K12+N12</f>
        <v>45539.14</v>
      </c>
      <c r="R12" s="11">
        <f>L12+O12</f>
        <v>2</v>
      </c>
      <c r="S12" s="11">
        <f>M12+P12</f>
        <v>2</v>
      </c>
      <c r="T12" s="8">
        <f>I12-Q12</f>
        <v>-30394.59</v>
      </c>
      <c r="U12" s="18">
        <v>0.38090543332135174</v>
      </c>
      <c r="V12" s="11">
        <v>0</v>
      </c>
      <c r="W12" s="11">
        <v>0</v>
      </c>
      <c r="X12" s="11">
        <v>2</v>
      </c>
      <c r="Y12" s="11">
        <v>0</v>
      </c>
      <c r="Z12" t="s">
        <v>6</v>
      </c>
    </row>
    <row r="13" spans="1:26" x14ac:dyDescent="0.25">
      <c r="A13" s="20" t="s">
        <v>88</v>
      </c>
      <c r="B13" s="20" t="s">
        <v>88</v>
      </c>
      <c r="C13" s="20" t="s">
        <v>89</v>
      </c>
      <c r="D13" s="20" t="s">
        <v>216</v>
      </c>
      <c r="E13" s="13">
        <v>5639</v>
      </c>
      <c r="F13" s="11">
        <v>0</v>
      </c>
      <c r="G13" s="13">
        <v>23626</v>
      </c>
      <c r="H13" s="11">
        <v>0</v>
      </c>
      <c r="I13" s="13">
        <f>E13+G13</f>
        <v>29265</v>
      </c>
      <c r="J13" s="11">
        <f>F13+H13</f>
        <v>0</v>
      </c>
      <c r="K13" s="13">
        <v>6788</v>
      </c>
      <c r="L13" s="11">
        <v>0</v>
      </c>
      <c r="M13" s="11">
        <v>0</v>
      </c>
      <c r="N13" s="13">
        <v>23978</v>
      </c>
      <c r="O13" s="11">
        <v>0</v>
      </c>
      <c r="P13" s="11">
        <v>0</v>
      </c>
      <c r="Q13" s="13">
        <f>K13+N13</f>
        <v>30766</v>
      </c>
      <c r="R13" s="11">
        <f>L13+O13</f>
        <v>0</v>
      </c>
      <c r="S13" s="11">
        <f>M13+P13</f>
        <v>0</v>
      </c>
      <c r="T13" s="8">
        <f>I13-Q13</f>
        <v>-1501</v>
      </c>
      <c r="U13" s="18">
        <v>6.6527084877076356E-2</v>
      </c>
      <c r="V13" s="11">
        <v>0</v>
      </c>
      <c r="W13" s="11">
        <v>0</v>
      </c>
      <c r="X13" s="11">
        <v>0</v>
      </c>
      <c r="Y13" s="11">
        <v>0</v>
      </c>
      <c r="Z13" t="s">
        <v>6</v>
      </c>
    </row>
    <row r="14" spans="1:26" x14ac:dyDescent="0.25">
      <c r="A14" s="20" t="s">
        <v>90</v>
      </c>
      <c r="B14" s="20" t="s">
        <v>91</v>
      </c>
      <c r="C14" s="20" t="s">
        <v>92</v>
      </c>
      <c r="D14" s="20" t="s">
        <v>216</v>
      </c>
      <c r="E14" s="13">
        <v>-144.1</v>
      </c>
      <c r="F14" s="11">
        <v>0</v>
      </c>
      <c r="G14" s="13">
        <v>-18992.93</v>
      </c>
      <c r="H14" s="11">
        <v>0</v>
      </c>
      <c r="I14" s="13">
        <f>E14+G14</f>
        <v>-19137.03</v>
      </c>
      <c r="J14" s="11">
        <f>F14+H14</f>
        <v>0</v>
      </c>
      <c r="K14" s="13">
        <v>0</v>
      </c>
      <c r="L14" s="11">
        <v>0</v>
      </c>
      <c r="M14" s="11">
        <v>3</v>
      </c>
      <c r="N14" s="13">
        <v>28361.5</v>
      </c>
      <c r="O14" s="11">
        <v>0</v>
      </c>
      <c r="P14" s="11">
        <v>2</v>
      </c>
      <c r="Q14" s="13">
        <f>K14+N14</f>
        <v>28361.5</v>
      </c>
      <c r="R14" s="11">
        <f>L14+O14</f>
        <v>0</v>
      </c>
      <c r="S14" s="11">
        <f>M14+P14</f>
        <v>5</v>
      </c>
      <c r="T14" s="8">
        <f>I14-Q14</f>
        <v>-47498.53</v>
      </c>
      <c r="U14" s="18">
        <v>4.3435561777942597</v>
      </c>
      <c r="V14" s="11">
        <v>0.23</v>
      </c>
      <c r="W14" s="11">
        <v>5</v>
      </c>
      <c r="X14" s="11">
        <v>17</v>
      </c>
      <c r="Y14" s="11">
        <v>2</v>
      </c>
      <c r="Z14" t="s">
        <v>6</v>
      </c>
    </row>
    <row r="15" spans="1:26" x14ac:dyDescent="0.25">
      <c r="A15" s="20" t="s">
        <v>95</v>
      </c>
      <c r="B15" s="20" t="s">
        <v>60</v>
      </c>
      <c r="C15" s="20" t="s">
        <v>96</v>
      </c>
      <c r="D15" s="20" t="s">
        <v>215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5830</v>
      </c>
      <c r="O15" s="11">
        <v>0</v>
      </c>
      <c r="P15" s="11">
        <v>0</v>
      </c>
      <c r="Q15" s="13">
        <f>K15+N15</f>
        <v>5830</v>
      </c>
      <c r="R15" s="11">
        <f>L15+O15</f>
        <v>0</v>
      </c>
      <c r="S15" s="11">
        <f>M15+P15</f>
        <v>0</v>
      </c>
      <c r="T15" s="8">
        <f>I15-Q15</f>
        <v>-5830</v>
      </c>
      <c r="U15" s="18">
        <v>0.22533868355175971</v>
      </c>
      <c r="V15" s="11">
        <v>0</v>
      </c>
      <c r="W15" s="11">
        <v>0</v>
      </c>
      <c r="X15" s="11">
        <v>0</v>
      </c>
      <c r="Y15" s="11">
        <v>0</v>
      </c>
      <c r="Z15" t="s">
        <v>6</v>
      </c>
    </row>
    <row r="16" spans="1:26" x14ac:dyDescent="0.25">
      <c r="A16" s="20" t="s">
        <v>103</v>
      </c>
      <c r="B16" s="20" t="s">
        <v>104</v>
      </c>
      <c r="C16" s="20" t="s">
        <v>105</v>
      </c>
      <c r="D16" s="20" t="s">
        <v>216</v>
      </c>
      <c r="E16" s="13">
        <v>5857.85</v>
      </c>
      <c r="F16" s="11">
        <v>1</v>
      </c>
      <c r="G16" s="13">
        <v>12515.14</v>
      </c>
      <c r="H16" s="11">
        <v>4</v>
      </c>
      <c r="I16" s="13">
        <f>E16+G16</f>
        <v>18372.989999999998</v>
      </c>
      <c r="J16" s="11">
        <f>F16+H16</f>
        <v>5</v>
      </c>
      <c r="K16" s="13">
        <v>3003</v>
      </c>
      <c r="L16" s="11">
        <v>0</v>
      </c>
      <c r="M16" s="11">
        <v>1</v>
      </c>
      <c r="N16" s="13">
        <v>10904.37</v>
      </c>
      <c r="O16" s="11">
        <v>1</v>
      </c>
      <c r="P16" s="11">
        <v>8</v>
      </c>
      <c r="Q16" s="13">
        <f>K16+N16</f>
        <v>13907.37</v>
      </c>
      <c r="R16" s="11">
        <f>L16+O16</f>
        <v>1</v>
      </c>
      <c r="S16" s="11">
        <f>M16+P16</f>
        <v>9</v>
      </c>
      <c r="T16" s="8">
        <f>I16-Q16</f>
        <v>4465.6199999999972</v>
      </c>
      <c r="U16" s="18">
        <v>0.8099380278853231</v>
      </c>
      <c r="V16" s="11">
        <v>0.46</v>
      </c>
      <c r="W16" s="11">
        <v>13</v>
      </c>
      <c r="X16" s="11">
        <v>15</v>
      </c>
      <c r="Y16" s="11">
        <v>1</v>
      </c>
      <c r="Z16" t="s">
        <v>6</v>
      </c>
    </row>
    <row r="17" spans="1:26" x14ac:dyDescent="0.25">
      <c r="A17" s="20" t="s">
        <v>901</v>
      </c>
      <c r="B17" s="20" t="s">
        <v>901</v>
      </c>
      <c r="C17" s="20" t="s">
        <v>902</v>
      </c>
      <c r="D17" s="20" t="s">
        <v>216</v>
      </c>
      <c r="E17" s="13">
        <v>0</v>
      </c>
      <c r="F17" s="11">
        <v>0</v>
      </c>
      <c r="G17" s="13">
        <v>894.5</v>
      </c>
      <c r="H17" s="11">
        <v>0</v>
      </c>
      <c r="I17" s="13">
        <f>E17+G17</f>
        <v>894.5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44457.08</v>
      </c>
      <c r="O17" s="11">
        <v>0</v>
      </c>
      <c r="P17" s="11">
        <v>1</v>
      </c>
      <c r="Q17" s="13">
        <f>K17+N17</f>
        <v>44457.08</v>
      </c>
      <c r="R17" s="11">
        <f>L17+O17</f>
        <v>0</v>
      </c>
      <c r="S17" s="11">
        <f>M17+P17</f>
        <v>1</v>
      </c>
      <c r="T17" s="8">
        <f>I17-Q17</f>
        <v>-43562.58</v>
      </c>
      <c r="U17" s="18">
        <v>2.1103783925350772</v>
      </c>
      <c r="V17" s="11">
        <v>0.33</v>
      </c>
      <c r="W17" s="11">
        <v>1</v>
      </c>
      <c r="X17" s="11">
        <v>2</v>
      </c>
      <c r="Y17" s="11">
        <v>0</v>
      </c>
      <c r="Z17" t="s">
        <v>6</v>
      </c>
    </row>
    <row r="18" spans="1:26" x14ac:dyDescent="0.25">
      <c r="A18" s="20" t="s">
        <v>106</v>
      </c>
      <c r="B18" s="20" t="s">
        <v>60</v>
      </c>
      <c r="C18" s="20" t="s">
        <v>107</v>
      </c>
      <c r="D18" s="20" t="s">
        <v>216</v>
      </c>
      <c r="E18" s="13">
        <v>18343</v>
      </c>
      <c r="F18" s="11">
        <v>0</v>
      </c>
      <c r="G18" s="13">
        <v>9595</v>
      </c>
      <c r="H18" s="11">
        <v>0</v>
      </c>
      <c r="I18" s="13">
        <f>E18+G18</f>
        <v>27938</v>
      </c>
      <c r="J18" s="11">
        <f>F18+H18</f>
        <v>0</v>
      </c>
      <c r="K18" s="13">
        <v>19897</v>
      </c>
      <c r="L18" s="11">
        <v>0</v>
      </c>
      <c r="M18" s="11">
        <v>0</v>
      </c>
      <c r="N18" s="13">
        <v>0</v>
      </c>
      <c r="O18" s="11">
        <v>1</v>
      </c>
      <c r="P18" s="11">
        <v>1</v>
      </c>
      <c r="Q18" s="13">
        <f>K18+N18</f>
        <v>19897</v>
      </c>
      <c r="R18" s="11">
        <f>L18+O18</f>
        <v>1</v>
      </c>
      <c r="S18" s="11">
        <f>M18+P18</f>
        <v>1</v>
      </c>
      <c r="T18" s="8">
        <f>I18-Q18</f>
        <v>8041</v>
      </c>
      <c r="U18" s="18">
        <v>0.40694207023062595</v>
      </c>
      <c r="V18" s="11">
        <v>0</v>
      </c>
      <c r="W18" s="11">
        <v>0</v>
      </c>
      <c r="X18" s="11">
        <v>1</v>
      </c>
      <c r="Y18" s="11">
        <v>0</v>
      </c>
      <c r="Z18" t="s">
        <v>6</v>
      </c>
    </row>
    <row r="19" spans="1:26" x14ac:dyDescent="0.25">
      <c r="A19" s="20" t="s">
        <v>109</v>
      </c>
      <c r="B19" s="20" t="s">
        <v>3203</v>
      </c>
      <c r="C19" s="20" t="s">
        <v>3306</v>
      </c>
      <c r="D19" s="20" t="s">
        <v>215</v>
      </c>
      <c r="E19" s="13">
        <v>5766</v>
      </c>
      <c r="F19" s="11">
        <v>0</v>
      </c>
      <c r="G19" s="13">
        <v>0</v>
      </c>
      <c r="H19" s="11">
        <v>0</v>
      </c>
      <c r="I19" s="13">
        <f>E19+G19</f>
        <v>5766</v>
      </c>
      <c r="J19" s="11">
        <f>F19+H19</f>
        <v>0</v>
      </c>
      <c r="K19" s="13">
        <v>39496</v>
      </c>
      <c r="L19" s="11">
        <v>0</v>
      </c>
      <c r="M19" s="11">
        <v>1</v>
      </c>
      <c r="N19" s="13">
        <v>15818.12</v>
      </c>
      <c r="O19" s="11">
        <v>0</v>
      </c>
      <c r="P19" s="11">
        <v>2</v>
      </c>
      <c r="Q19" s="13">
        <f>K19+N19</f>
        <v>55314.12</v>
      </c>
      <c r="R19" s="11">
        <f>L19+O19</f>
        <v>0</v>
      </c>
      <c r="S19" s="11">
        <f>M19+P19</f>
        <v>3</v>
      </c>
      <c r="T19" s="8">
        <f>I19-Q19</f>
        <v>-49548.12</v>
      </c>
      <c r="U19" s="18" t="s">
        <v>1803</v>
      </c>
      <c r="V19" s="11">
        <v>0.38</v>
      </c>
      <c r="W19" s="11">
        <v>3</v>
      </c>
      <c r="X19" s="11">
        <v>5</v>
      </c>
      <c r="Y19" s="11">
        <v>0</v>
      </c>
      <c r="Z19" t="s">
        <v>6</v>
      </c>
    </row>
    <row r="20" spans="1:26" x14ac:dyDescent="0.25">
      <c r="A20" s="20" t="s">
        <v>110</v>
      </c>
      <c r="B20" s="20" t="s">
        <v>60</v>
      </c>
      <c r="C20" s="20" t="s">
        <v>111</v>
      </c>
      <c r="D20" s="20" t="s">
        <v>216</v>
      </c>
      <c r="E20" s="13">
        <v>8066.93</v>
      </c>
      <c r="F20" s="11">
        <v>0</v>
      </c>
      <c r="G20" s="13">
        <v>0</v>
      </c>
      <c r="H20" s="11">
        <v>0</v>
      </c>
      <c r="I20" s="13">
        <f>E20+G20</f>
        <v>8066.93</v>
      </c>
      <c r="J20" s="11">
        <f>F20+H20</f>
        <v>0</v>
      </c>
      <c r="K20" s="13">
        <v>4148.63</v>
      </c>
      <c r="L20" s="11">
        <v>0</v>
      </c>
      <c r="M20" s="11">
        <v>0</v>
      </c>
      <c r="N20" s="13">
        <v>0</v>
      </c>
      <c r="O20" s="11">
        <v>0</v>
      </c>
      <c r="P20" s="11">
        <v>1</v>
      </c>
      <c r="Q20" s="13">
        <f>K20+N20</f>
        <v>4148.63</v>
      </c>
      <c r="R20" s="11">
        <f>L20+O20</f>
        <v>0</v>
      </c>
      <c r="S20" s="11">
        <f>M20+P20</f>
        <v>1</v>
      </c>
      <c r="T20" s="8">
        <f>I20-Q20</f>
        <v>3918.3</v>
      </c>
      <c r="U20" s="18">
        <v>1.1227597648904706</v>
      </c>
      <c r="V20" s="11">
        <v>0.2</v>
      </c>
      <c r="W20" s="11">
        <v>1</v>
      </c>
      <c r="X20" s="11">
        <v>4</v>
      </c>
      <c r="Y20" s="11">
        <v>0</v>
      </c>
      <c r="Z20" t="s">
        <v>6</v>
      </c>
    </row>
    <row r="21" spans="1:26" x14ac:dyDescent="0.25">
      <c r="A21" s="20" t="s">
        <v>113</v>
      </c>
      <c r="B21" s="20" t="s">
        <v>83</v>
      </c>
      <c r="C21" s="20" t="s">
        <v>84</v>
      </c>
      <c r="D21" s="20" t="s">
        <v>216</v>
      </c>
      <c r="E21" s="13">
        <v>4599.49</v>
      </c>
      <c r="F21" s="11">
        <v>0</v>
      </c>
      <c r="G21" s="13">
        <v>50218.34</v>
      </c>
      <c r="H21" s="11">
        <v>5</v>
      </c>
      <c r="I21" s="13">
        <f>E21+G21</f>
        <v>54817.829999999994</v>
      </c>
      <c r="J21" s="11">
        <f>F21+H21</f>
        <v>5</v>
      </c>
      <c r="K21" s="13">
        <v>1828.25</v>
      </c>
      <c r="L21" s="11">
        <v>0</v>
      </c>
      <c r="M21" s="11">
        <v>1</v>
      </c>
      <c r="N21" s="13">
        <v>38333.870000000003</v>
      </c>
      <c r="O21" s="11">
        <v>6</v>
      </c>
      <c r="P21" s="11">
        <v>30</v>
      </c>
      <c r="Q21" s="13">
        <f>K21+N21</f>
        <v>40162.120000000003</v>
      </c>
      <c r="R21" s="11">
        <f>L21+O21</f>
        <v>6</v>
      </c>
      <c r="S21" s="11">
        <f>M21+P21</f>
        <v>31</v>
      </c>
      <c r="T21" s="8">
        <f>I21-Q21</f>
        <v>14655.709999999992</v>
      </c>
      <c r="U21" s="18">
        <v>0.18710761781362298</v>
      </c>
      <c r="V21" s="11">
        <v>0.79</v>
      </c>
      <c r="W21" s="11">
        <v>30</v>
      </c>
      <c r="X21" s="11">
        <v>8</v>
      </c>
      <c r="Y21" s="11">
        <v>0</v>
      </c>
      <c r="Z21" t="s">
        <v>6</v>
      </c>
    </row>
    <row r="22" spans="1:26" x14ac:dyDescent="0.25">
      <c r="A22" s="20" t="s">
        <v>118</v>
      </c>
      <c r="B22" s="20" t="s">
        <v>83</v>
      </c>
      <c r="C22" s="20" t="s">
        <v>102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0</v>
      </c>
      <c r="R22" s="11">
        <f>L22+O22</f>
        <v>0</v>
      </c>
      <c r="S22" s="11">
        <f>M22+P22</f>
        <v>0</v>
      </c>
      <c r="T22" s="8">
        <f>I22-Q22</f>
        <v>0</v>
      </c>
      <c r="U22" s="18">
        <v>-5.3307832908942289E-2</v>
      </c>
      <c r="V22" s="11">
        <v>0</v>
      </c>
      <c r="W22" s="11">
        <v>0</v>
      </c>
      <c r="X22" s="11">
        <v>1</v>
      </c>
      <c r="Y22" s="11">
        <v>0</v>
      </c>
      <c r="Z22" t="s">
        <v>6</v>
      </c>
    </row>
    <row r="23" spans="1:26" x14ac:dyDescent="0.25">
      <c r="A23" s="20" t="s">
        <v>122</v>
      </c>
      <c r="B23" s="20" t="s">
        <v>1523</v>
      </c>
      <c r="C23" s="20" t="s">
        <v>1524</v>
      </c>
      <c r="D23" s="20" t="s">
        <v>215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-1.24</v>
      </c>
      <c r="O23" s="11">
        <v>0</v>
      </c>
      <c r="P23" s="11">
        <v>0</v>
      </c>
      <c r="Q23" s="13">
        <f>K23+N23</f>
        <v>-1.24</v>
      </c>
      <c r="R23" s="11">
        <f>L23+O23</f>
        <v>0</v>
      </c>
      <c r="S23" s="11">
        <f>M23+P23</f>
        <v>0</v>
      </c>
      <c r="T23" s="8">
        <f>I23-Q23</f>
        <v>1.24</v>
      </c>
      <c r="U23" s="18" t="s">
        <v>1803</v>
      </c>
      <c r="V23" s="11">
        <v>0</v>
      </c>
      <c r="W23" s="11">
        <v>0</v>
      </c>
      <c r="X23" s="11">
        <v>0</v>
      </c>
      <c r="Y23" s="11">
        <v>0</v>
      </c>
      <c r="Z23" t="s">
        <v>6</v>
      </c>
    </row>
    <row r="24" spans="1:26" x14ac:dyDescent="0.25">
      <c r="A24" s="20" t="s">
        <v>81</v>
      </c>
      <c r="B24" s="20" t="s">
        <v>81</v>
      </c>
      <c r="C24" s="20" t="s">
        <v>71</v>
      </c>
      <c r="D24" s="20" t="s">
        <v>216</v>
      </c>
      <c r="E24" s="13">
        <v>6992</v>
      </c>
      <c r="F24" s="11">
        <v>0</v>
      </c>
      <c r="G24" s="13">
        <v>7074</v>
      </c>
      <c r="H24" s="11">
        <v>0</v>
      </c>
      <c r="I24" s="13">
        <f>E24+G24</f>
        <v>14066</v>
      </c>
      <c r="J24" s="11">
        <f>F24+H24</f>
        <v>0</v>
      </c>
      <c r="K24" s="13">
        <v>11309.73</v>
      </c>
      <c r="L24" s="11">
        <v>0</v>
      </c>
      <c r="M24" s="11">
        <v>0</v>
      </c>
      <c r="N24" s="13">
        <v>48655.09</v>
      </c>
      <c r="O24" s="11">
        <v>1</v>
      </c>
      <c r="P24" s="11">
        <v>1</v>
      </c>
      <c r="Q24" s="13">
        <f>K24+N24</f>
        <v>59964.819999999992</v>
      </c>
      <c r="R24" s="11">
        <f>L24+O24</f>
        <v>1</v>
      </c>
      <c r="S24" s="11">
        <f>M24+P24</f>
        <v>1</v>
      </c>
      <c r="T24" s="8">
        <f>I24-Q24</f>
        <v>-45898.819999999992</v>
      </c>
      <c r="U24" s="18">
        <v>0.11133430429848923</v>
      </c>
      <c r="V24" s="11">
        <v>0</v>
      </c>
      <c r="W24" s="11">
        <v>0</v>
      </c>
      <c r="X24" s="11">
        <v>3</v>
      </c>
      <c r="Y24" s="11">
        <v>0</v>
      </c>
      <c r="Z24" t="s">
        <v>6</v>
      </c>
    </row>
    <row r="25" spans="1:26" x14ac:dyDescent="0.25">
      <c r="A25" s="20" t="s">
        <v>129</v>
      </c>
      <c r="B25" s="20" t="s">
        <v>60</v>
      </c>
      <c r="C25" s="20" t="s">
        <v>130</v>
      </c>
      <c r="D25" s="20" t="s">
        <v>216</v>
      </c>
      <c r="E25" s="13">
        <v>11023</v>
      </c>
      <c r="F25" s="11">
        <v>1</v>
      </c>
      <c r="G25" s="13">
        <v>9745.5</v>
      </c>
      <c r="H25" s="11">
        <v>1</v>
      </c>
      <c r="I25" s="13">
        <f>E25+G25</f>
        <v>20768.5</v>
      </c>
      <c r="J25" s="11">
        <f>F25+H25</f>
        <v>2</v>
      </c>
      <c r="K25" s="13">
        <v>9162</v>
      </c>
      <c r="L25" s="11">
        <v>0</v>
      </c>
      <c r="M25" s="11">
        <v>1</v>
      </c>
      <c r="N25" s="13">
        <v>18994</v>
      </c>
      <c r="O25" s="11">
        <v>0</v>
      </c>
      <c r="P25" s="11">
        <v>2</v>
      </c>
      <c r="Q25" s="13">
        <f>K25+N25</f>
        <v>28156</v>
      </c>
      <c r="R25" s="11">
        <f>L25+O25</f>
        <v>0</v>
      </c>
      <c r="S25" s="11">
        <f>M25+P25</f>
        <v>3</v>
      </c>
      <c r="T25" s="8">
        <f>I25-Q25</f>
        <v>-7387.5</v>
      </c>
      <c r="U25" s="18">
        <v>6.6383167043265426E-2</v>
      </c>
      <c r="V25" s="11">
        <v>0.26</v>
      </c>
      <c r="W25" s="11">
        <v>5</v>
      </c>
      <c r="X25" s="11">
        <v>14</v>
      </c>
      <c r="Y25" s="11">
        <v>2</v>
      </c>
      <c r="Z25" t="s">
        <v>6</v>
      </c>
    </row>
    <row r="26" spans="1:26" x14ac:dyDescent="0.25">
      <c r="A26" s="20" t="s">
        <v>131</v>
      </c>
      <c r="B26" s="20" t="s">
        <v>91</v>
      </c>
      <c r="C26" s="20" t="s">
        <v>132</v>
      </c>
      <c r="D26" s="20" t="s">
        <v>216</v>
      </c>
      <c r="E26" s="13">
        <v>0</v>
      </c>
      <c r="F26" s="11">
        <v>0</v>
      </c>
      <c r="G26" s="13">
        <v>32346</v>
      </c>
      <c r="H26" s="11">
        <v>0</v>
      </c>
      <c r="I26" s="13">
        <f>E26+G26</f>
        <v>32346</v>
      </c>
      <c r="J26" s="11">
        <f>F26+H26</f>
        <v>0</v>
      </c>
      <c r="K26" s="13">
        <v>0</v>
      </c>
      <c r="L26" s="11">
        <v>0</v>
      </c>
      <c r="M26" s="11">
        <v>0</v>
      </c>
      <c r="N26" s="13">
        <v>37918.03</v>
      </c>
      <c r="O26" s="11">
        <v>0</v>
      </c>
      <c r="P26" s="11">
        <v>1</v>
      </c>
      <c r="Q26" s="13">
        <f>K26+N26</f>
        <v>37918.03</v>
      </c>
      <c r="R26" s="11">
        <f>L26+O26</f>
        <v>0</v>
      </c>
      <c r="S26" s="11">
        <f>M26+P26</f>
        <v>1</v>
      </c>
      <c r="T26" s="8">
        <f>I26-Q26</f>
        <v>-5572.0299999999988</v>
      </c>
      <c r="U26" s="18">
        <v>-3.3384023363111824E-2</v>
      </c>
      <c r="V26" s="11">
        <v>0.5</v>
      </c>
      <c r="W26" s="11">
        <v>1</v>
      </c>
      <c r="X26" s="11">
        <v>1</v>
      </c>
      <c r="Y26" s="11">
        <v>0</v>
      </c>
      <c r="Z26" t="s">
        <v>6</v>
      </c>
    </row>
    <row r="27" spans="1:26" x14ac:dyDescent="0.25">
      <c r="A27" s="20" t="s">
        <v>137</v>
      </c>
      <c r="B27" s="20" t="s">
        <v>60</v>
      </c>
      <c r="C27" s="20" t="s">
        <v>138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 t="s">
        <v>1803</v>
      </c>
      <c r="V27" s="11">
        <v>0</v>
      </c>
      <c r="W27" s="11">
        <v>0</v>
      </c>
      <c r="X27" s="11">
        <v>0</v>
      </c>
      <c r="Y27" s="11">
        <v>0</v>
      </c>
      <c r="Z27" t="s">
        <v>6</v>
      </c>
    </row>
    <row r="28" spans="1:26" x14ac:dyDescent="0.25">
      <c r="A28" s="20" t="s">
        <v>139</v>
      </c>
      <c r="B28" s="20" t="s">
        <v>77</v>
      </c>
      <c r="C28" s="20" t="s">
        <v>78</v>
      </c>
      <c r="D28" s="20" t="s">
        <v>215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1869.71</v>
      </c>
      <c r="O28" s="11">
        <v>0</v>
      </c>
      <c r="P28" s="11">
        <v>0</v>
      </c>
      <c r="Q28" s="13">
        <f>K28+N28</f>
        <v>1869.71</v>
      </c>
      <c r="R28" s="11">
        <f>L28+O28</f>
        <v>0</v>
      </c>
      <c r="S28" s="11">
        <f>M28+P28</f>
        <v>0</v>
      </c>
      <c r="T28" s="8">
        <f>I28-Q28</f>
        <v>-1869.71</v>
      </c>
      <c r="U28" s="18" t="s">
        <v>1803</v>
      </c>
      <c r="V28" s="11">
        <v>0</v>
      </c>
      <c r="W28" s="11">
        <v>0</v>
      </c>
      <c r="X28" s="11">
        <v>0</v>
      </c>
      <c r="Y28" s="11">
        <v>0</v>
      </c>
      <c r="Z28" t="s">
        <v>6</v>
      </c>
    </row>
    <row r="29" spans="1:26" x14ac:dyDescent="0.25">
      <c r="A29" s="20" t="s">
        <v>140</v>
      </c>
      <c r="B29" s="20" t="s">
        <v>91</v>
      </c>
      <c r="C29" s="20" t="s">
        <v>141</v>
      </c>
      <c r="D29" s="20" t="s">
        <v>216</v>
      </c>
      <c r="E29" s="13">
        <v>17096</v>
      </c>
      <c r="F29" s="11">
        <v>0</v>
      </c>
      <c r="G29" s="13">
        <v>6183</v>
      </c>
      <c r="H29" s="11">
        <v>0</v>
      </c>
      <c r="I29" s="13">
        <f>E29+G29</f>
        <v>23279</v>
      </c>
      <c r="J29" s="11">
        <f>F29+H29</f>
        <v>0</v>
      </c>
      <c r="K29" s="13">
        <v>16128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16128</v>
      </c>
      <c r="R29" s="11">
        <f>L29+O29</f>
        <v>0</v>
      </c>
      <c r="S29" s="11">
        <f>M29+P29</f>
        <v>0</v>
      </c>
      <c r="T29" s="8">
        <f>I29-Q29</f>
        <v>7151</v>
      </c>
      <c r="U29" s="18">
        <v>5.1296942497414948E-2</v>
      </c>
      <c r="V29" s="11">
        <v>0</v>
      </c>
      <c r="W29" s="11">
        <v>0</v>
      </c>
      <c r="X29" s="11">
        <v>0</v>
      </c>
      <c r="Y29" s="11">
        <v>0</v>
      </c>
      <c r="Z29" t="s">
        <v>6</v>
      </c>
    </row>
    <row r="30" spans="1:26" x14ac:dyDescent="0.25">
      <c r="A30" s="20" t="s">
        <v>142</v>
      </c>
      <c r="B30" s="20" t="s">
        <v>91</v>
      </c>
      <c r="C30" s="20" t="s">
        <v>143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>
        <v>-1.2135210140924491E-2</v>
      </c>
      <c r="V30" s="11">
        <v>0</v>
      </c>
      <c r="W30" s="11">
        <v>0</v>
      </c>
      <c r="X30" s="11">
        <v>1</v>
      </c>
      <c r="Y30" s="11">
        <v>0</v>
      </c>
      <c r="Z30" t="s">
        <v>6</v>
      </c>
    </row>
    <row r="31" spans="1:26" x14ac:dyDescent="0.25">
      <c r="A31" s="20" t="s">
        <v>144</v>
      </c>
      <c r="B31" s="20" t="s">
        <v>60</v>
      </c>
      <c r="C31" s="20" t="s">
        <v>145</v>
      </c>
      <c r="D31" s="20" t="s">
        <v>216</v>
      </c>
      <c r="E31" s="13">
        <v>4952</v>
      </c>
      <c r="F31" s="11">
        <v>0</v>
      </c>
      <c r="G31" s="13">
        <v>15187</v>
      </c>
      <c r="H31" s="11">
        <v>1</v>
      </c>
      <c r="I31" s="13">
        <f>E31+G31</f>
        <v>20139</v>
      </c>
      <c r="J31" s="11">
        <f>F31+H31</f>
        <v>1</v>
      </c>
      <c r="K31" s="13">
        <v>5327</v>
      </c>
      <c r="L31" s="11">
        <v>0</v>
      </c>
      <c r="M31" s="11">
        <v>0</v>
      </c>
      <c r="N31" s="13">
        <v>20569</v>
      </c>
      <c r="O31" s="11">
        <v>1</v>
      </c>
      <c r="P31" s="11">
        <v>2</v>
      </c>
      <c r="Q31" s="13">
        <f>K31+N31</f>
        <v>25896</v>
      </c>
      <c r="R31" s="11">
        <f>L31+O31</f>
        <v>1</v>
      </c>
      <c r="S31" s="11">
        <f>M31+P31</f>
        <v>2</v>
      </c>
      <c r="T31" s="8">
        <f>I31-Q31</f>
        <v>-5757</v>
      </c>
      <c r="U31" s="18">
        <v>0.11876783167938888</v>
      </c>
      <c r="V31" s="11">
        <v>0.33</v>
      </c>
      <c r="W31" s="11">
        <v>2</v>
      </c>
      <c r="X31" s="11">
        <v>4</v>
      </c>
      <c r="Y31" s="11">
        <v>1</v>
      </c>
      <c r="Z31" t="s">
        <v>6</v>
      </c>
    </row>
    <row r="32" spans="1:26" x14ac:dyDescent="0.25">
      <c r="A32" s="20" t="s">
        <v>1525</v>
      </c>
      <c r="B32" s="20" t="s">
        <v>60</v>
      </c>
      <c r="C32" s="20" t="s">
        <v>1526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1.5728223973717896</v>
      </c>
      <c r="V32" s="11">
        <v>0</v>
      </c>
      <c r="W32" s="11">
        <v>0</v>
      </c>
      <c r="X32" s="11">
        <v>0</v>
      </c>
      <c r="Y32" s="11">
        <v>0</v>
      </c>
      <c r="Z32" t="s">
        <v>6</v>
      </c>
    </row>
    <row r="33" spans="1:26" x14ac:dyDescent="0.25">
      <c r="A33" s="20" t="s">
        <v>150</v>
      </c>
      <c r="B33" s="20" t="s">
        <v>60</v>
      </c>
      <c r="C33" s="20" t="s">
        <v>151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2.0916067545617763E-2</v>
      </c>
      <c r="V33" s="11">
        <v>0</v>
      </c>
      <c r="W33" s="11">
        <v>0</v>
      </c>
      <c r="X33" s="11">
        <v>2</v>
      </c>
      <c r="Y33" s="11">
        <v>0</v>
      </c>
      <c r="Z33" t="s">
        <v>6</v>
      </c>
    </row>
    <row r="34" spans="1:26" x14ac:dyDescent="0.25">
      <c r="A34" s="20" t="s">
        <v>152</v>
      </c>
      <c r="B34" s="20" t="s">
        <v>77</v>
      </c>
      <c r="C34" s="20" t="s">
        <v>153</v>
      </c>
      <c r="D34" s="20" t="s">
        <v>215</v>
      </c>
      <c r="E34" s="13">
        <v>3290</v>
      </c>
      <c r="F34" s="11">
        <v>0</v>
      </c>
      <c r="G34" s="13">
        <v>0</v>
      </c>
      <c r="H34" s="11">
        <v>0</v>
      </c>
      <c r="I34" s="13">
        <f>E34+G34</f>
        <v>3290</v>
      </c>
      <c r="J34" s="11">
        <f>F34+H34</f>
        <v>0</v>
      </c>
      <c r="K34" s="13">
        <v>2799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2799</v>
      </c>
      <c r="R34" s="11">
        <f>L34+O34</f>
        <v>0</v>
      </c>
      <c r="S34" s="11">
        <f>M34+P34</f>
        <v>0</v>
      </c>
      <c r="T34" s="8">
        <f>I34-Q34</f>
        <v>491</v>
      </c>
      <c r="U34" s="18" t="s">
        <v>1803</v>
      </c>
      <c r="V34" s="11">
        <v>0</v>
      </c>
      <c r="W34" s="11">
        <v>0</v>
      </c>
      <c r="X34" s="11">
        <v>1</v>
      </c>
      <c r="Y34" s="11">
        <v>0</v>
      </c>
      <c r="Z34" t="s">
        <v>6</v>
      </c>
    </row>
    <row r="35" spans="1:26" x14ac:dyDescent="0.25">
      <c r="A35" s="20" t="s">
        <v>154</v>
      </c>
      <c r="B35" s="20" t="s">
        <v>77</v>
      </c>
      <c r="C35" s="20" t="s">
        <v>155</v>
      </c>
      <c r="D35" s="20" t="s">
        <v>215</v>
      </c>
      <c r="E35" s="13">
        <v>0</v>
      </c>
      <c r="F35" s="11">
        <v>0</v>
      </c>
      <c r="G35" s="13">
        <v>2031</v>
      </c>
      <c r="H35" s="11">
        <v>0</v>
      </c>
      <c r="I35" s="13">
        <f>E35+G35</f>
        <v>2031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1934</v>
      </c>
      <c r="O35" s="11">
        <v>0</v>
      </c>
      <c r="P35" s="11">
        <v>0</v>
      </c>
      <c r="Q35" s="13">
        <f>K35+N35</f>
        <v>1934</v>
      </c>
      <c r="R35" s="11">
        <f>L35+O35</f>
        <v>0</v>
      </c>
      <c r="S35" s="11">
        <f>M35+P35</f>
        <v>0</v>
      </c>
      <c r="T35" s="8">
        <f>I35-Q35</f>
        <v>97</v>
      </c>
      <c r="U35" s="18" t="s">
        <v>1803</v>
      </c>
      <c r="V35" s="11">
        <v>0</v>
      </c>
      <c r="W35" s="11">
        <v>0</v>
      </c>
      <c r="X35" s="11">
        <v>1</v>
      </c>
      <c r="Y35" s="11">
        <v>0</v>
      </c>
      <c r="Z35" t="s">
        <v>6</v>
      </c>
    </row>
    <row r="36" spans="1:26" x14ac:dyDescent="0.25">
      <c r="A36" s="20" t="s">
        <v>156</v>
      </c>
      <c r="B36" s="20" t="s">
        <v>60</v>
      </c>
      <c r="C36" s="20" t="s">
        <v>157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>
        <v>-0.12020300787710098</v>
      </c>
      <c r="V36" s="11">
        <v>0</v>
      </c>
      <c r="W36" s="11">
        <v>0</v>
      </c>
      <c r="X36" s="11">
        <v>0</v>
      </c>
      <c r="Y36" s="11">
        <v>0</v>
      </c>
      <c r="Z36" t="s">
        <v>6</v>
      </c>
    </row>
    <row r="37" spans="1:26" x14ac:dyDescent="0.25">
      <c r="A37" s="20" t="s">
        <v>158</v>
      </c>
      <c r="B37" s="20" t="s">
        <v>88</v>
      </c>
      <c r="C37" s="20" t="s">
        <v>159</v>
      </c>
      <c r="D37" s="20" t="s">
        <v>216</v>
      </c>
      <c r="E37" s="13">
        <v>0</v>
      </c>
      <c r="F37" s="11">
        <v>0</v>
      </c>
      <c r="G37" s="13">
        <v>7807</v>
      </c>
      <c r="H37" s="11">
        <v>0</v>
      </c>
      <c r="I37" s="13">
        <f>E37+G37</f>
        <v>7807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6793</v>
      </c>
      <c r="O37" s="11">
        <v>0</v>
      </c>
      <c r="P37" s="11">
        <v>0</v>
      </c>
      <c r="Q37" s="13">
        <f>K37+N37</f>
        <v>6793</v>
      </c>
      <c r="R37" s="11">
        <f>L37+O37</f>
        <v>0</v>
      </c>
      <c r="S37" s="11">
        <f>M37+P37</f>
        <v>0</v>
      </c>
      <c r="T37" s="8">
        <f>I37-Q37</f>
        <v>1014</v>
      </c>
      <c r="U37" s="18">
        <v>5.5578070686863991E-3</v>
      </c>
      <c r="V37" s="11">
        <v>0</v>
      </c>
      <c r="W37" s="11">
        <v>0</v>
      </c>
      <c r="X37" s="11">
        <v>1</v>
      </c>
      <c r="Y37" s="11">
        <v>1</v>
      </c>
      <c r="Z37" t="s">
        <v>6</v>
      </c>
    </row>
    <row r="38" spans="1:26" x14ac:dyDescent="0.25">
      <c r="A38" s="20" t="s">
        <v>115</v>
      </c>
      <c r="B38" s="20" t="s">
        <v>115</v>
      </c>
      <c r="C38" s="20" t="s">
        <v>116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-3245.81</v>
      </c>
      <c r="O38" s="11">
        <v>0</v>
      </c>
      <c r="P38" s="11">
        <v>0</v>
      </c>
      <c r="Q38" s="13">
        <f>K38+N38</f>
        <v>-3245.81</v>
      </c>
      <c r="R38" s="11">
        <f>L38+O38</f>
        <v>0</v>
      </c>
      <c r="S38" s="11">
        <f>M38+P38</f>
        <v>0</v>
      </c>
      <c r="T38" s="8">
        <f>I38-Q38</f>
        <v>3245.81</v>
      </c>
      <c r="U38" s="18">
        <v>1.0351300363759472</v>
      </c>
      <c r="V38" s="11">
        <v>0</v>
      </c>
      <c r="W38" s="11">
        <v>0</v>
      </c>
      <c r="X38" s="11">
        <v>2</v>
      </c>
      <c r="Y38" s="11">
        <v>1</v>
      </c>
      <c r="Z38" t="s">
        <v>6</v>
      </c>
    </row>
    <row r="39" spans="1:26" x14ac:dyDescent="0.25">
      <c r="A39" s="20" t="s">
        <v>160</v>
      </c>
      <c r="B39" s="20" t="s">
        <v>83</v>
      </c>
      <c r="C39" s="20" t="s">
        <v>114</v>
      </c>
      <c r="D39" s="20" t="s">
        <v>216</v>
      </c>
      <c r="E39" s="13">
        <v>37087.480000000003</v>
      </c>
      <c r="F39" s="11">
        <v>3</v>
      </c>
      <c r="G39" s="13">
        <v>56315.16</v>
      </c>
      <c r="H39" s="11">
        <v>2</v>
      </c>
      <c r="I39" s="13">
        <f>E39+G39</f>
        <v>93402.640000000014</v>
      </c>
      <c r="J39" s="11">
        <f>F39+H39</f>
        <v>5</v>
      </c>
      <c r="K39" s="13">
        <v>25093.47</v>
      </c>
      <c r="L39" s="11">
        <v>0</v>
      </c>
      <c r="M39" s="11">
        <v>1</v>
      </c>
      <c r="N39" s="13">
        <v>36735.06</v>
      </c>
      <c r="O39" s="11">
        <v>1</v>
      </c>
      <c r="P39" s="11">
        <v>3</v>
      </c>
      <c r="Q39" s="13">
        <f>K39+N39</f>
        <v>61828.53</v>
      </c>
      <c r="R39" s="11">
        <f>L39+O39</f>
        <v>1</v>
      </c>
      <c r="S39" s="11">
        <f>M39+P39</f>
        <v>4</v>
      </c>
      <c r="T39" s="8">
        <f>I39-Q39</f>
        <v>31574.110000000015</v>
      </c>
      <c r="U39" s="18">
        <v>0.29976939797709684</v>
      </c>
      <c r="V39" s="11">
        <v>0.43</v>
      </c>
      <c r="W39" s="11">
        <v>9</v>
      </c>
      <c r="X39" s="11">
        <v>12</v>
      </c>
      <c r="Y39" s="11">
        <v>0</v>
      </c>
      <c r="Z39" t="s">
        <v>6</v>
      </c>
    </row>
    <row r="40" spans="1:26" x14ac:dyDescent="0.25">
      <c r="A40" s="20" t="s">
        <v>161</v>
      </c>
      <c r="B40" s="20" t="s">
        <v>83</v>
      </c>
      <c r="C40" s="20" t="s">
        <v>162</v>
      </c>
      <c r="D40" s="20" t="s">
        <v>216</v>
      </c>
      <c r="E40" s="13">
        <v>0</v>
      </c>
      <c r="F40" s="11">
        <v>0</v>
      </c>
      <c r="G40" s="13">
        <v>0</v>
      </c>
      <c r="H40" s="11">
        <v>0</v>
      </c>
      <c r="I40" s="13">
        <f>E40+G40</f>
        <v>0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0</v>
      </c>
      <c r="O40" s="11">
        <v>0</v>
      </c>
      <c r="P40" s="11">
        <v>0</v>
      </c>
      <c r="Q40" s="13">
        <f>K40+N40</f>
        <v>0</v>
      </c>
      <c r="R40" s="11">
        <f>L40+O40</f>
        <v>0</v>
      </c>
      <c r="S40" s="11">
        <f>M40+P40</f>
        <v>0</v>
      </c>
      <c r="T40" s="8">
        <f>I40-Q40</f>
        <v>0</v>
      </c>
      <c r="U40" s="18" t="s">
        <v>1803</v>
      </c>
      <c r="V40" s="11">
        <v>0</v>
      </c>
      <c r="W40" s="11">
        <v>0</v>
      </c>
      <c r="X40" s="11">
        <v>0</v>
      </c>
      <c r="Y40" s="11">
        <v>0</v>
      </c>
      <c r="Z40" t="s">
        <v>6</v>
      </c>
    </row>
    <row r="41" spans="1:26" x14ac:dyDescent="0.25">
      <c r="A41" s="20" t="s">
        <v>164</v>
      </c>
      <c r="B41" s="20" t="s">
        <v>3203</v>
      </c>
      <c r="C41" s="20" t="s">
        <v>165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>
        <v>8.1034254456883989E-2</v>
      </c>
      <c r="V41" s="11">
        <v>0</v>
      </c>
      <c r="W41" s="11">
        <v>0</v>
      </c>
      <c r="X41" s="11">
        <v>0</v>
      </c>
      <c r="Y41" s="11">
        <v>0</v>
      </c>
      <c r="Z41" t="s">
        <v>6</v>
      </c>
    </row>
    <row r="42" spans="1:26" x14ac:dyDescent="0.25">
      <c r="A42" s="20" t="s">
        <v>166</v>
      </c>
      <c r="B42" s="20" t="s">
        <v>77</v>
      </c>
      <c r="C42" s="20" t="s">
        <v>82</v>
      </c>
      <c r="D42" s="20" t="s">
        <v>215</v>
      </c>
      <c r="E42" s="13">
        <v>29530</v>
      </c>
      <c r="F42" s="11">
        <v>0</v>
      </c>
      <c r="G42" s="13">
        <v>0</v>
      </c>
      <c r="H42" s="11">
        <v>0</v>
      </c>
      <c r="I42" s="13">
        <f>E42+G42</f>
        <v>29530</v>
      </c>
      <c r="J42" s="11">
        <f>F42+H42</f>
        <v>0</v>
      </c>
      <c r="K42" s="13">
        <v>23424</v>
      </c>
      <c r="L42" s="11">
        <v>0</v>
      </c>
      <c r="M42" s="11">
        <v>1</v>
      </c>
      <c r="N42" s="13">
        <v>0</v>
      </c>
      <c r="O42" s="11">
        <v>0</v>
      </c>
      <c r="P42" s="11">
        <v>1</v>
      </c>
      <c r="Q42" s="13">
        <f>K42+N42</f>
        <v>23424</v>
      </c>
      <c r="R42" s="11">
        <f>L42+O42</f>
        <v>0</v>
      </c>
      <c r="S42" s="11">
        <f>M42+P42</f>
        <v>2</v>
      </c>
      <c r="T42" s="8">
        <f>I42-Q42</f>
        <v>6106</v>
      </c>
      <c r="U42" s="18" t="s">
        <v>1803</v>
      </c>
      <c r="V42" s="11">
        <v>0.5</v>
      </c>
      <c r="W42" s="11">
        <v>2</v>
      </c>
      <c r="X42" s="11">
        <v>2</v>
      </c>
      <c r="Y42" s="11">
        <v>0</v>
      </c>
      <c r="Z42" t="s">
        <v>6</v>
      </c>
    </row>
    <row r="43" spans="1:26" x14ac:dyDescent="0.25">
      <c r="A43" s="20" t="s">
        <v>167</v>
      </c>
      <c r="B43" s="20" t="s">
        <v>60</v>
      </c>
      <c r="C43" s="20" t="s">
        <v>168</v>
      </c>
      <c r="D43" s="20" t="s">
        <v>216</v>
      </c>
      <c r="E43" s="13">
        <v>13811</v>
      </c>
      <c r="F43" s="11">
        <v>0</v>
      </c>
      <c r="G43" s="13">
        <v>15160</v>
      </c>
      <c r="H43" s="11">
        <v>0</v>
      </c>
      <c r="I43" s="13">
        <f>E43+G43</f>
        <v>28971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41133</v>
      </c>
      <c r="O43" s="11">
        <v>1</v>
      </c>
      <c r="P43" s="11">
        <v>5</v>
      </c>
      <c r="Q43" s="13">
        <f>K43+N43</f>
        <v>41133</v>
      </c>
      <c r="R43" s="11">
        <f>L43+O43</f>
        <v>1</v>
      </c>
      <c r="S43" s="11">
        <f>M43+P43</f>
        <v>5</v>
      </c>
      <c r="T43" s="8">
        <f>I43-Q43</f>
        <v>-12162</v>
      </c>
      <c r="U43" s="18">
        <v>7.1130350377869078E-2</v>
      </c>
      <c r="V43" s="11">
        <v>0.28999999999999998</v>
      </c>
      <c r="W43" s="11">
        <v>4</v>
      </c>
      <c r="X43" s="11">
        <v>10</v>
      </c>
      <c r="Y43" s="11">
        <v>3</v>
      </c>
      <c r="Z43" t="s">
        <v>6</v>
      </c>
    </row>
    <row r="44" spans="1:26" x14ac:dyDescent="0.25">
      <c r="A44" s="20" t="s">
        <v>175</v>
      </c>
      <c r="B44" s="20" t="s">
        <v>60</v>
      </c>
      <c r="C44" s="20" t="s">
        <v>176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0</v>
      </c>
      <c r="R44" s="11">
        <f>L44+O44</f>
        <v>0</v>
      </c>
      <c r="S44" s="11">
        <f>M44+P44</f>
        <v>0</v>
      </c>
      <c r="T44" s="8">
        <f>I44-Q44</f>
        <v>0</v>
      </c>
      <c r="U44" s="18">
        <v>1.9197776937458083E-2</v>
      </c>
      <c r="V44" s="11">
        <v>0</v>
      </c>
      <c r="W44" s="11">
        <v>0</v>
      </c>
      <c r="X44" s="11">
        <v>1</v>
      </c>
      <c r="Y44" s="11">
        <v>1</v>
      </c>
      <c r="Z44" t="s">
        <v>6</v>
      </c>
    </row>
    <row r="45" spans="1:26" x14ac:dyDescent="0.25">
      <c r="A45" s="20" t="s">
        <v>178</v>
      </c>
      <c r="B45" s="20" t="s">
        <v>459</v>
      </c>
      <c r="C45" s="20" t="s">
        <v>3608</v>
      </c>
      <c r="D45" s="20" t="s">
        <v>215</v>
      </c>
      <c r="E45" s="13">
        <v>0</v>
      </c>
      <c r="F45" s="11">
        <v>0</v>
      </c>
      <c r="G45" s="13">
        <v>1250</v>
      </c>
      <c r="H45" s="11">
        <v>0</v>
      </c>
      <c r="I45" s="13">
        <f>E45+G45</f>
        <v>1250</v>
      </c>
      <c r="J45" s="11">
        <f>F45+H45</f>
        <v>0</v>
      </c>
      <c r="K45" s="13">
        <v>0</v>
      </c>
      <c r="L45" s="11">
        <v>0</v>
      </c>
      <c r="M45" s="11">
        <v>1</v>
      </c>
      <c r="N45" s="13">
        <v>20159</v>
      </c>
      <c r="O45" s="11">
        <v>0</v>
      </c>
      <c r="P45" s="11">
        <v>0</v>
      </c>
      <c r="Q45" s="13">
        <f>K45+N45</f>
        <v>20159</v>
      </c>
      <c r="R45" s="11">
        <f>L45+O45</f>
        <v>0</v>
      </c>
      <c r="S45" s="11">
        <f>M45+P45</f>
        <v>1</v>
      </c>
      <c r="T45" s="8">
        <f>I45-Q45</f>
        <v>-18909</v>
      </c>
      <c r="U45" s="18" t="s">
        <v>1803</v>
      </c>
      <c r="V45" s="11">
        <v>0.33</v>
      </c>
      <c r="W45" s="11">
        <v>1</v>
      </c>
      <c r="X45" s="11">
        <v>2</v>
      </c>
      <c r="Y45" s="11">
        <v>0</v>
      </c>
      <c r="Z45" t="s">
        <v>6</v>
      </c>
    </row>
    <row r="46" spans="1:26" x14ac:dyDescent="0.25">
      <c r="A46" s="20" t="s">
        <v>179</v>
      </c>
      <c r="B46" s="20" t="s">
        <v>91</v>
      </c>
      <c r="C46" s="20" t="s">
        <v>180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>
        <v>-2.5502636279115285E-2</v>
      </c>
      <c r="V46" s="11">
        <v>0</v>
      </c>
      <c r="W46" s="11">
        <v>0</v>
      </c>
      <c r="X46" s="11">
        <v>0</v>
      </c>
      <c r="Y46" s="11">
        <v>0</v>
      </c>
      <c r="Z46" t="s">
        <v>6</v>
      </c>
    </row>
    <row r="47" spans="1:26" x14ac:dyDescent="0.25">
      <c r="A47" s="20" t="s">
        <v>183</v>
      </c>
      <c r="B47" s="20" t="s">
        <v>60</v>
      </c>
      <c r="C47" s="20" t="s">
        <v>184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 t="s">
        <v>1803</v>
      </c>
      <c r="V47" s="11">
        <v>0</v>
      </c>
      <c r="W47" s="11">
        <v>0</v>
      </c>
      <c r="X47" s="11">
        <v>3</v>
      </c>
      <c r="Y47" s="11">
        <v>0</v>
      </c>
      <c r="Z47" t="s">
        <v>6</v>
      </c>
    </row>
    <row r="48" spans="1:26" x14ac:dyDescent="0.25">
      <c r="A48" s="20" t="s">
        <v>185</v>
      </c>
      <c r="B48" s="20" t="s">
        <v>97</v>
      </c>
      <c r="C48" s="20" t="s">
        <v>149</v>
      </c>
      <c r="D48" s="20" t="s">
        <v>216</v>
      </c>
      <c r="E48" s="13">
        <v>250</v>
      </c>
      <c r="F48" s="11">
        <v>0</v>
      </c>
      <c r="G48" s="13">
        <v>0</v>
      </c>
      <c r="H48" s="11">
        <v>0</v>
      </c>
      <c r="I48" s="13">
        <f>E48+G48</f>
        <v>250</v>
      </c>
      <c r="J48" s="11">
        <f>F48+H48</f>
        <v>0</v>
      </c>
      <c r="K48" s="13">
        <v>250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250</v>
      </c>
      <c r="R48" s="11">
        <f>L48+O48</f>
        <v>0</v>
      </c>
      <c r="S48" s="11">
        <f>M48+P48</f>
        <v>0</v>
      </c>
      <c r="T48" s="8">
        <f>I48-Q48</f>
        <v>0</v>
      </c>
      <c r="U48" s="18">
        <v>48.56488083841657</v>
      </c>
      <c r="V48" s="11">
        <v>0</v>
      </c>
      <c r="W48" s="11">
        <v>0</v>
      </c>
      <c r="X48" s="11">
        <v>0</v>
      </c>
      <c r="Y48" s="11">
        <v>0</v>
      </c>
      <c r="Z48" t="s">
        <v>6</v>
      </c>
    </row>
    <row r="49" spans="1:26" x14ac:dyDescent="0.25">
      <c r="A49" s="20" t="s">
        <v>188</v>
      </c>
      <c r="B49" s="20" t="s">
        <v>189</v>
      </c>
      <c r="C49" s="20" t="s">
        <v>190</v>
      </c>
      <c r="D49" s="20" t="s">
        <v>216</v>
      </c>
      <c r="E49" s="13">
        <v>0</v>
      </c>
      <c r="F49" s="11">
        <v>0</v>
      </c>
      <c r="G49" s="13">
        <v>10312</v>
      </c>
      <c r="H49" s="11">
        <v>0</v>
      </c>
      <c r="I49" s="13">
        <f>E49+G49</f>
        <v>10312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10154</v>
      </c>
      <c r="O49" s="11">
        <v>0</v>
      </c>
      <c r="P49" s="11">
        <v>0</v>
      </c>
      <c r="Q49" s="13">
        <f>K49+N49</f>
        <v>10154</v>
      </c>
      <c r="R49" s="11">
        <f>L49+O49</f>
        <v>0</v>
      </c>
      <c r="S49" s="11">
        <f>M49+P49</f>
        <v>0</v>
      </c>
      <c r="T49" s="8">
        <f>I49-Q49</f>
        <v>158</v>
      </c>
      <c r="U49" s="18">
        <v>1.3499339217781381</v>
      </c>
      <c r="V49" s="11">
        <v>0</v>
      </c>
      <c r="W49" s="11">
        <v>0</v>
      </c>
      <c r="X49" s="11">
        <v>6</v>
      </c>
      <c r="Y49" s="11">
        <v>1</v>
      </c>
      <c r="Z49" t="s">
        <v>6</v>
      </c>
    </row>
    <row r="50" spans="1:26" x14ac:dyDescent="0.25">
      <c r="A50" s="20" t="s">
        <v>191</v>
      </c>
      <c r="B50" s="20" t="s">
        <v>60</v>
      </c>
      <c r="C50" s="20" t="s">
        <v>192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>
        <v>-0.4471362701013642</v>
      </c>
      <c r="V50" s="11">
        <v>0</v>
      </c>
      <c r="W50" s="11">
        <v>0</v>
      </c>
      <c r="X50" s="11">
        <v>0</v>
      </c>
      <c r="Y50" s="11">
        <v>0</v>
      </c>
      <c r="Z50" t="s">
        <v>6</v>
      </c>
    </row>
    <row r="51" spans="1:26" x14ac:dyDescent="0.25">
      <c r="A51" s="20" t="s">
        <v>193</v>
      </c>
      <c r="B51" s="20" t="s">
        <v>459</v>
      </c>
      <c r="C51" s="20" t="s">
        <v>3608</v>
      </c>
      <c r="D51" s="20" t="s">
        <v>215</v>
      </c>
      <c r="E51" s="13">
        <v>4426</v>
      </c>
      <c r="F51" s="11">
        <v>0</v>
      </c>
      <c r="G51" s="13">
        <v>0</v>
      </c>
      <c r="H51" s="11">
        <v>0</v>
      </c>
      <c r="I51" s="13">
        <f>E51+G51</f>
        <v>4426</v>
      </c>
      <c r="J51" s="11">
        <f>F51+H51</f>
        <v>0</v>
      </c>
      <c r="K51" s="13">
        <v>4531.53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4531.53</v>
      </c>
      <c r="R51" s="11">
        <f>L51+O51</f>
        <v>0</v>
      </c>
      <c r="S51" s="11">
        <f>M51+P51</f>
        <v>0</v>
      </c>
      <c r="T51" s="8">
        <f>I51-Q51</f>
        <v>-105.52999999999975</v>
      </c>
      <c r="U51" s="18" t="s">
        <v>1803</v>
      </c>
      <c r="V51" s="11">
        <v>0</v>
      </c>
      <c r="W51" s="11">
        <v>0</v>
      </c>
      <c r="X51" s="11">
        <v>0</v>
      </c>
      <c r="Y51" s="11">
        <v>0</v>
      </c>
      <c r="Z51" t="s">
        <v>6</v>
      </c>
    </row>
    <row r="52" spans="1:26" x14ac:dyDescent="0.25">
      <c r="A52" s="20" t="s">
        <v>194</v>
      </c>
      <c r="B52" s="20" t="s">
        <v>60</v>
      </c>
      <c r="C52" s="20" t="s">
        <v>195</v>
      </c>
      <c r="D52" s="20" t="s">
        <v>216</v>
      </c>
      <c r="E52" s="13">
        <v>2696</v>
      </c>
      <c r="F52" s="11">
        <v>0</v>
      </c>
      <c r="G52" s="13">
        <v>56179.5</v>
      </c>
      <c r="H52" s="11">
        <v>1</v>
      </c>
      <c r="I52" s="13">
        <f>E52+G52</f>
        <v>58875.5</v>
      </c>
      <c r="J52" s="11">
        <f>F52+H52</f>
        <v>1</v>
      </c>
      <c r="K52" s="13">
        <v>12678.71</v>
      </c>
      <c r="L52" s="11">
        <v>0</v>
      </c>
      <c r="M52" s="11">
        <v>3</v>
      </c>
      <c r="N52" s="13">
        <v>65694</v>
      </c>
      <c r="O52" s="11">
        <v>0</v>
      </c>
      <c r="P52" s="11">
        <v>1</v>
      </c>
      <c r="Q52" s="13">
        <f>K52+N52</f>
        <v>78372.709999999992</v>
      </c>
      <c r="R52" s="11">
        <f>L52+O52</f>
        <v>0</v>
      </c>
      <c r="S52" s="11">
        <f>M52+P52</f>
        <v>4</v>
      </c>
      <c r="T52" s="8">
        <f>I52-Q52</f>
        <v>-19497.209999999992</v>
      </c>
      <c r="U52" s="18">
        <v>7.2846542506222606E-2</v>
      </c>
      <c r="V52" s="11">
        <v>0.28000000000000003</v>
      </c>
      <c r="W52" s="11">
        <v>5</v>
      </c>
      <c r="X52" s="11">
        <v>13</v>
      </c>
      <c r="Y52" s="11">
        <v>3</v>
      </c>
      <c r="Z52" t="s">
        <v>6</v>
      </c>
    </row>
    <row r="53" spans="1:26" x14ac:dyDescent="0.25">
      <c r="A53" s="20" t="s">
        <v>196</v>
      </c>
      <c r="B53" s="20" t="s">
        <v>60</v>
      </c>
      <c r="C53" s="20" t="s">
        <v>197</v>
      </c>
      <c r="D53" s="20" t="s">
        <v>216</v>
      </c>
      <c r="E53" s="13">
        <v>0</v>
      </c>
      <c r="F53" s="11">
        <v>0</v>
      </c>
      <c r="G53" s="13">
        <v>17675</v>
      </c>
      <c r="H53" s="11">
        <v>0</v>
      </c>
      <c r="I53" s="13">
        <f>E53+G53</f>
        <v>17675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16944</v>
      </c>
      <c r="O53" s="11">
        <v>0</v>
      </c>
      <c r="P53" s="11">
        <v>1</v>
      </c>
      <c r="Q53" s="13">
        <f>K53+N53</f>
        <v>16944</v>
      </c>
      <c r="R53" s="11">
        <f>L53+O53</f>
        <v>0</v>
      </c>
      <c r="S53" s="11">
        <f>M53+P53</f>
        <v>1</v>
      </c>
      <c r="T53" s="8">
        <f>I53-Q53</f>
        <v>731</v>
      </c>
      <c r="U53" s="18">
        <v>0.10632252895266683</v>
      </c>
      <c r="V53" s="11">
        <v>0.17</v>
      </c>
      <c r="W53" s="11">
        <v>1</v>
      </c>
      <c r="X53" s="11">
        <v>5</v>
      </c>
      <c r="Y53" s="11">
        <v>0</v>
      </c>
      <c r="Z53" t="s">
        <v>6</v>
      </c>
    </row>
    <row r="54" spans="1:26" x14ac:dyDescent="0.25">
      <c r="A54" s="20" t="s">
        <v>198</v>
      </c>
      <c r="B54" s="20" t="s">
        <v>124</v>
      </c>
      <c r="C54" s="20" t="s">
        <v>199</v>
      </c>
      <c r="D54" s="20" t="s">
        <v>216</v>
      </c>
      <c r="E54" s="13">
        <v>10545</v>
      </c>
      <c r="F54" s="11">
        <v>1</v>
      </c>
      <c r="G54" s="13">
        <v>31635.4</v>
      </c>
      <c r="H54" s="11">
        <v>0</v>
      </c>
      <c r="I54" s="13">
        <f>E54+G54</f>
        <v>42180.4</v>
      </c>
      <c r="J54" s="11">
        <f>F54+H54</f>
        <v>1</v>
      </c>
      <c r="K54" s="13">
        <v>2952</v>
      </c>
      <c r="L54" s="11">
        <v>0</v>
      </c>
      <c r="M54" s="11">
        <v>5</v>
      </c>
      <c r="N54" s="13">
        <v>31489.8</v>
      </c>
      <c r="O54" s="11">
        <v>3</v>
      </c>
      <c r="P54" s="11">
        <v>9</v>
      </c>
      <c r="Q54" s="13">
        <f>K54+N54</f>
        <v>34441.800000000003</v>
      </c>
      <c r="R54" s="11">
        <f>L54+O54</f>
        <v>3</v>
      </c>
      <c r="S54" s="11">
        <f>M54+P54</f>
        <v>14</v>
      </c>
      <c r="T54" s="8">
        <f>I54-Q54</f>
        <v>7738.5999999999985</v>
      </c>
      <c r="U54" s="18">
        <v>8.7781520481189729E-2</v>
      </c>
      <c r="V54" s="11">
        <v>0.34</v>
      </c>
      <c r="W54" s="11">
        <v>13</v>
      </c>
      <c r="X54" s="11">
        <v>25</v>
      </c>
      <c r="Y54" s="11">
        <v>1</v>
      </c>
      <c r="Z54" t="s">
        <v>6</v>
      </c>
    </row>
    <row r="55" spans="1:26" x14ac:dyDescent="0.25">
      <c r="A55" s="20" t="s">
        <v>204</v>
      </c>
      <c r="B55" s="20" t="s">
        <v>97</v>
      </c>
      <c r="C55" s="20" t="s">
        <v>120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>
        <v>9.8241431927836263E-3</v>
      </c>
      <c r="V55" s="11">
        <v>0</v>
      </c>
      <c r="W55" s="11">
        <v>0</v>
      </c>
      <c r="X55" s="11">
        <v>1</v>
      </c>
      <c r="Y55" s="11">
        <v>0</v>
      </c>
      <c r="Z55" t="s">
        <v>6</v>
      </c>
    </row>
    <row r="56" spans="1:26" x14ac:dyDescent="0.25">
      <c r="A56" s="20" t="s">
        <v>205</v>
      </c>
      <c r="B56" s="20" t="s">
        <v>77</v>
      </c>
      <c r="C56" s="20" t="s">
        <v>206</v>
      </c>
      <c r="D56" s="20" t="s">
        <v>216</v>
      </c>
      <c r="E56" s="13">
        <v>0</v>
      </c>
      <c r="F56" s="11">
        <v>0</v>
      </c>
      <c r="G56" s="13">
        <v>12329</v>
      </c>
      <c r="H56" s="11">
        <v>0</v>
      </c>
      <c r="I56" s="13">
        <f>E56+G56</f>
        <v>12329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11627</v>
      </c>
      <c r="O56" s="11">
        <v>0</v>
      </c>
      <c r="P56" s="11">
        <v>0</v>
      </c>
      <c r="Q56" s="13">
        <f>K56+N56</f>
        <v>11627</v>
      </c>
      <c r="R56" s="11">
        <f>L56+O56</f>
        <v>0</v>
      </c>
      <c r="S56" s="11">
        <f>M56+P56</f>
        <v>0</v>
      </c>
      <c r="T56" s="8">
        <f>I56-Q56</f>
        <v>702</v>
      </c>
      <c r="U56" s="18">
        <v>1.0275685000634164E-2</v>
      </c>
      <c r="V56" s="11">
        <v>0</v>
      </c>
      <c r="W56" s="11">
        <v>0</v>
      </c>
      <c r="X56" s="11">
        <v>0</v>
      </c>
      <c r="Y56" s="11">
        <v>0</v>
      </c>
      <c r="Z56" t="s">
        <v>6</v>
      </c>
    </row>
    <row r="57" spans="1:26" x14ac:dyDescent="0.25">
      <c r="A57" s="20" t="s">
        <v>207</v>
      </c>
      <c r="B57" s="20" t="s">
        <v>124</v>
      </c>
      <c r="C57" s="20" t="s">
        <v>208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0</v>
      </c>
      <c r="N57" s="13">
        <v>0</v>
      </c>
      <c r="O57" s="11">
        <v>0</v>
      </c>
      <c r="P57" s="11">
        <v>0</v>
      </c>
      <c r="Q57" s="13">
        <f>K57+N57</f>
        <v>0</v>
      </c>
      <c r="R57" s="11">
        <f>L57+O57</f>
        <v>0</v>
      </c>
      <c r="S57" s="11">
        <f>M57+P57</f>
        <v>0</v>
      </c>
      <c r="T57" s="8">
        <f>I57-Q57</f>
        <v>0</v>
      </c>
      <c r="U57" s="18">
        <v>0.29652054007530132</v>
      </c>
      <c r="V57" s="11">
        <v>0</v>
      </c>
      <c r="W57" s="11">
        <v>0</v>
      </c>
      <c r="X57" s="11">
        <v>0</v>
      </c>
      <c r="Y57" s="11">
        <v>0</v>
      </c>
      <c r="Z57" t="s">
        <v>6</v>
      </c>
    </row>
    <row r="58" spans="1:26" x14ac:dyDescent="0.25">
      <c r="A58" s="20" t="s">
        <v>100</v>
      </c>
      <c r="B58" s="20" t="s">
        <v>100</v>
      </c>
      <c r="C58" s="20" t="s">
        <v>209</v>
      </c>
      <c r="D58" s="20" t="s">
        <v>216</v>
      </c>
      <c r="E58" s="13">
        <v>7954.9</v>
      </c>
      <c r="F58" s="11">
        <v>0</v>
      </c>
      <c r="G58" s="13">
        <v>0</v>
      </c>
      <c r="H58" s="11">
        <v>0</v>
      </c>
      <c r="I58" s="13">
        <f>E58+G58</f>
        <v>7954.9</v>
      </c>
      <c r="J58" s="11">
        <f>F58+H58</f>
        <v>0</v>
      </c>
      <c r="K58" s="13">
        <v>23373.82</v>
      </c>
      <c r="L58" s="11">
        <v>0</v>
      </c>
      <c r="M58" s="11">
        <v>0</v>
      </c>
      <c r="N58" s="13">
        <v>15794.5</v>
      </c>
      <c r="O58" s="11">
        <v>0</v>
      </c>
      <c r="P58" s="11">
        <v>0</v>
      </c>
      <c r="Q58" s="13">
        <f>K58+N58</f>
        <v>39168.32</v>
      </c>
      <c r="R58" s="11">
        <f>L58+O58</f>
        <v>0</v>
      </c>
      <c r="S58" s="11">
        <f>M58+P58</f>
        <v>0</v>
      </c>
      <c r="T58" s="8">
        <f>I58-Q58</f>
        <v>-31213.42</v>
      </c>
      <c r="U58" s="18">
        <v>0.24428969226066508</v>
      </c>
      <c r="V58" s="11">
        <v>0</v>
      </c>
      <c r="W58" s="11">
        <v>0</v>
      </c>
      <c r="X58" s="11">
        <v>3</v>
      </c>
      <c r="Y58" s="11">
        <v>0</v>
      </c>
      <c r="Z58" t="s">
        <v>6</v>
      </c>
    </row>
    <row r="59" spans="1:26" x14ac:dyDescent="0.25">
      <c r="A59" s="20" t="s">
        <v>213</v>
      </c>
      <c r="B59" s="20" t="s">
        <v>124</v>
      </c>
      <c r="C59" s="20" t="s">
        <v>214</v>
      </c>
      <c r="D59" s="20" t="s">
        <v>216</v>
      </c>
      <c r="E59" s="13">
        <v>0</v>
      </c>
      <c r="F59" s="11">
        <v>0</v>
      </c>
      <c r="G59" s="13">
        <v>7677</v>
      </c>
      <c r="H59" s="11">
        <v>0</v>
      </c>
      <c r="I59" s="13">
        <f>E59+G59</f>
        <v>7677</v>
      </c>
      <c r="J59" s="11">
        <f>F59+H59</f>
        <v>0</v>
      </c>
      <c r="K59" s="13">
        <v>0</v>
      </c>
      <c r="L59" s="11">
        <v>0</v>
      </c>
      <c r="M59" s="11">
        <v>0</v>
      </c>
      <c r="N59" s="13">
        <v>7494</v>
      </c>
      <c r="O59" s="11">
        <v>0</v>
      </c>
      <c r="P59" s="11">
        <v>0</v>
      </c>
      <c r="Q59" s="13">
        <f>K59+N59</f>
        <v>7494</v>
      </c>
      <c r="R59" s="11">
        <f>L59+O59</f>
        <v>0</v>
      </c>
      <c r="S59" s="11">
        <f>M59+P59</f>
        <v>0</v>
      </c>
      <c r="T59" s="8">
        <f>I59-Q59</f>
        <v>183</v>
      </c>
      <c r="U59" s="18">
        <v>8.5720408298491563E-2</v>
      </c>
      <c r="V59" s="11">
        <v>0</v>
      </c>
      <c r="W59" s="11">
        <v>0</v>
      </c>
      <c r="X59" s="11">
        <v>1</v>
      </c>
      <c r="Y59" s="11">
        <v>0</v>
      </c>
      <c r="Z59" t="s">
        <v>6</v>
      </c>
    </row>
    <row r="60" spans="1:26" x14ac:dyDescent="0.25">
      <c r="A60" s="20" t="s">
        <v>3023</v>
      </c>
      <c r="B60" s="20" t="s">
        <v>3023</v>
      </c>
      <c r="C60" s="20" t="s">
        <v>3024</v>
      </c>
      <c r="D60" s="20" t="s">
        <v>216</v>
      </c>
      <c r="E60" s="13">
        <v>30080</v>
      </c>
      <c r="F60" s="11">
        <v>0</v>
      </c>
      <c r="G60" s="13">
        <v>0</v>
      </c>
      <c r="H60" s="11">
        <v>0</v>
      </c>
      <c r="I60" s="13">
        <f>E60+G60</f>
        <v>30080</v>
      </c>
      <c r="J60" s="11">
        <f>F60+H60</f>
        <v>0</v>
      </c>
      <c r="K60" s="13">
        <v>28292</v>
      </c>
      <c r="L60" s="11">
        <v>0</v>
      </c>
      <c r="M60" s="11">
        <v>0</v>
      </c>
      <c r="N60" s="13">
        <v>317.56</v>
      </c>
      <c r="O60" s="11">
        <v>1</v>
      </c>
      <c r="P60" s="11">
        <v>2</v>
      </c>
      <c r="Q60" s="13">
        <f>K60+N60</f>
        <v>28609.56</v>
      </c>
      <c r="R60" s="11">
        <f>L60+O60</f>
        <v>1</v>
      </c>
      <c r="S60" s="11">
        <f>M60+P60</f>
        <v>2</v>
      </c>
      <c r="T60" s="8">
        <f>I60-Q60</f>
        <v>1470.4399999999987</v>
      </c>
      <c r="U60" s="18">
        <v>0.18235969094070437</v>
      </c>
      <c r="V60" s="11">
        <v>0.33</v>
      </c>
      <c r="W60" s="11">
        <v>1</v>
      </c>
      <c r="X60" s="11">
        <v>2</v>
      </c>
      <c r="Y60" s="11">
        <v>0</v>
      </c>
      <c r="Z60" t="s">
        <v>6</v>
      </c>
    </row>
    <row r="61" spans="1:26" x14ac:dyDescent="0.25">
      <c r="A61" s="20" t="s">
        <v>3071</v>
      </c>
      <c r="B61" s="20" t="s">
        <v>60</v>
      </c>
      <c r="C61" s="20" t="s">
        <v>3072</v>
      </c>
      <c r="D61" s="20" t="s">
        <v>216</v>
      </c>
      <c r="E61" s="13">
        <v>0</v>
      </c>
      <c r="F61" s="11">
        <v>0</v>
      </c>
      <c r="G61" s="13">
        <v>0</v>
      </c>
      <c r="H61" s="11">
        <v>0</v>
      </c>
      <c r="I61" s="13">
        <f>E61+G61</f>
        <v>0</v>
      </c>
      <c r="J61" s="11">
        <f>F61+H61</f>
        <v>0</v>
      </c>
      <c r="K61" s="13">
        <v>0</v>
      </c>
      <c r="L61" s="11">
        <v>0</v>
      </c>
      <c r="M61" s="11">
        <v>0</v>
      </c>
      <c r="N61" s="13">
        <v>0</v>
      </c>
      <c r="O61" s="11">
        <v>0</v>
      </c>
      <c r="P61" s="11">
        <v>0</v>
      </c>
      <c r="Q61" s="13">
        <f>K61+N61</f>
        <v>0</v>
      </c>
      <c r="R61" s="11">
        <f>L61+O61</f>
        <v>0</v>
      </c>
      <c r="S61" s="11">
        <f>M61+P61</f>
        <v>0</v>
      </c>
      <c r="T61" s="8">
        <f>I61-Q61</f>
        <v>0</v>
      </c>
      <c r="U61" s="18">
        <v>8.9895368303571435E-2</v>
      </c>
      <c r="V61" s="11">
        <v>0</v>
      </c>
      <c r="W61" s="11">
        <v>0</v>
      </c>
      <c r="X61" s="11">
        <v>0</v>
      </c>
      <c r="Y61" s="11">
        <v>0</v>
      </c>
      <c r="Z61" t="s">
        <v>6</v>
      </c>
    </row>
    <row r="62" spans="1:26" x14ac:dyDescent="0.25">
      <c r="A62" s="20" t="s">
        <v>3150</v>
      </c>
      <c r="B62" s="20" t="s">
        <v>949</v>
      </c>
      <c r="C62" s="20" t="s">
        <v>3149</v>
      </c>
      <c r="D62" s="20" t="s">
        <v>216</v>
      </c>
      <c r="E62" s="13">
        <v>0</v>
      </c>
      <c r="F62" s="11">
        <v>0</v>
      </c>
      <c r="G62" s="13">
        <v>-29.46</v>
      </c>
      <c r="H62" s="11">
        <v>0</v>
      </c>
      <c r="I62" s="13">
        <f>E62+G62</f>
        <v>-29.46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2150</v>
      </c>
      <c r="O62" s="11">
        <v>0</v>
      </c>
      <c r="P62" s="11">
        <v>0</v>
      </c>
      <c r="Q62" s="13">
        <f>K62+N62</f>
        <v>2150</v>
      </c>
      <c r="R62" s="11">
        <f>L62+O62</f>
        <v>0</v>
      </c>
      <c r="S62" s="11">
        <f>M62+P62</f>
        <v>0</v>
      </c>
      <c r="T62" s="8">
        <f>I62-Q62</f>
        <v>-2179.46</v>
      </c>
      <c r="U62" s="18">
        <v>0.69121655245787239</v>
      </c>
      <c r="V62" s="11">
        <v>0</v>
      </c>
      <c r="W62" s="11">
        <v>0</v>
      </c>
      <c r="X62" s="11">
        <v>0</v>
      </c>
      <c r="Y62" s="11">
        <v>0</v>
      </c>
      <c r="Z62" t="s">
        <v>6</v>
      </c>
    </row>
    <row r="63" spans="1:26" x14ac:dyDescent="0.25">
      <c r="A63" s="20" t="s">
        <v>3154</v>
      </c>
      <c r="B63" s="20" t="s">
        <v>3096</v>
      </c>
      <c r="C63" s="20" t="s">
        <v>3155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-4715.18</v>
      </c>
      <c r="O63" s="11">
        <v>0</v>
      </c>
      <c r="P63" s="11">
        <v>2</v>
      </c>
      <c r="Q63" s="13">
        <f>K63+N63</f>
        <v>-4715.18</v>
      </c>
      <c r="R63" s="11">
        <f>L63+O63</f>
        <v>0</v>
      </c>
      <c r="S63" s="11">
        <f>M63+P63</f>
        <v>2</v>
      </c>
      <c r="T63" s="8">
        <f>I63-Q63</f>
        <v>4715.18</v>
      </c>
      <c r="U63" s="18">
        <v>0.19200307552588985</v>
      </c>
      <c r="V63" s="11">
        <v>0.5</v>
      </c>
      <c r="W63" s="11">
        <v>2</v>
      </c>
      <c r="X63" s="11">
        <v>2</v>
      </c>
      <c r="Y63" s="11">
        <v>0</v>
      </c>
      <c r="Z63" t="s">
        <v>6</v>
      </c>
    </row>
    <row r="64" spans="1:26" x14ac:dyDescent="0.25">
      <c r="A64" s="20" t="s">
        <v>3188</v>
      </c>
      <c r="B64" s="20" t="s">
        <v>77</v>
      </c>
      <c r="C64" s="20" t="s">
        <v>3189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>
        <v>-5.4069896647620845E-2</v>
      </c>
      <c r="V64" s="11">
        <v>0</v>
      </c>
      <c r="W64" s="11">
        <v>0</v>
      </c>
      <c r="X64" s="11">
        <v>0</v>
      </c>
      <c r="Y64" s="11">
        <v>0</v>
      </c>
      <c r="Z64" t="s">
        <v>6</v>
      </c>
    </row>
    <row r="65" spans="1:26" x14ac:dyDescent="0.25">
      <c r="A65" s="20" t="s">
        <v>3190</v>
      </c>
      <c r="B65" s="20" t="s">
        <v>257</v>
      </c>
      <c r="C65" s="20" t="s">
        <v>63</v>
      </c>
      <c r="D65" s="20" t="s">
        <v>216</v>
      </c>
      <c r="E65" s="13">
        <v>7602.77</v>
      </c>
      <c r="F65" s="11">
        <v>0</v>
      </c>
      <c r="G65" s="13">
        <v>0</v>
      </c>
      <c r="H65" s="11">
        <v>0</v>
      </c>
      <c r="I65" s="13">
        <f>E65+G65</f>
        <v>7602.77</v>
      </c>
      <c r="J65" s="11">
        <f>F65+H65</f>
        <v>0</v>
      </c>
      <c r="K65" s="13">
        <v>8645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8645</v>
      </c>
      <c r="R65" s="11">
        <f>L65+O65</f>
        <v>0</v>
      </c>
      <c r="S65" s="11">
        <f>M65+P65</f>
        <v>0</v>
      </c>
      <c r="T65" s="8">
        <f>I65-Q65</f>
        <v>-1042.2299999999996</v>
      </c>
      <c r="U65" s="18">
        <v>-8.4166754063222299E-2</v>
      </c>
      <c r="V65" s="11">
        <v>0</v>
      </c>
      <c r="W65" s="11">
        <v>0</v>
      </c>
      <c r="X65" s="11">
        <v>0</v>
      </c>
      <c r="Y65" s="11">
        <v>0</v>
      </c>
      <c r="Z65" t="s">
        <v>6</v>
      </c>
    </row>
    <row r="66" spans="1:26" x14ac:dyDescent="0.25">
      <c r="A66" s="20" t="s">
        <v>3191</v>
      </c>
      <c r="B66" s="20" t="s">
        <v>430</v>
      </c>
      <c r="C66" s="20" t="s">
        <v>3192</v>
      </c>
      <c r="D66" s="20" t="s">
        <v>216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0</v>
      </c>
      <c r="L66" s="11">
        <v>0</v>
      </c>
      <c r="M66" s="11">
        <v>0</v>
      </c>
      <c r="N66" s="13">
        <v>0</v>
      </c>
      <c r="O66" s="11">
        <v>0</v>
      </c>
      <c r="P66" s="11">
        <v>0</v>
      </c>
      <c r="Q66" s="13">
        <f>K66+N66</f>
        <v>0</v>
      </c>
      <c r="R66" s="11">
        <f>L66+O66</f>
        <v>0</v>
      </c>
      <c r="S66" s="11">
        <f>M66+P66</f>
        <v>0</v>
      </c>
      <c r="T66" s="8">
        <f>I66-Q66</f>
        <v>0</v>
      </c>
      <c r="U66" s="18">
        <v>0.10916095832859227</v>
      </c>
      <c r="V66" s="11">
        <v>0</v>
      </c>
      <c r="W66" s="11">
        <v>0</v>
      </c>
      <c r="X66" s="11">
        <v>0</v>
      </c>
      <c r="Y66" s="11">
        <v>0</v>
      </c>
      <c r="Z66" t="s">
        <v>6</v>
      </c>
    </row>
    <row r="67" spans="1:26" x14ac:dyDescent="0.25">
      <c r="A67" s="20" t="s">
        <v>3244</v>
      </c>
      <c r="B67" s="20" t="s">
        <v>949</v>
      </c>
      <c r="C67" s="20" t="s">
        <v>125</v>
      </c>
      <c r="D67" s="20" t="s">
        <v>216</v>
      </c>
      <c r="E67" s="13">
        <v>5622</v>
      </c>
      <c r="F67" s="11">
        <v>0</v>
      </c>
      <c r="G67" s="13">
        <v>0</v>
      </c>
      <c r="H67" s="11">
        <v>0</v>
      </c>
      <c r="I67" s="13">
        <f>E67+G67</f>
        <v>5622</v>
      </c>
      <c r="J67" s="11">
        <f>F67+H67</f>
        <v>0</v>
      </c>
      <c r="K67" s="13">
        <v>0</v>
      </c>
      <c r="L67" s="11">
        <v>0</v>
      </c>
      <c r="M67" s="11">
        <v>2</v>
      </c>
      <c r="N67" s="13">
        <v>26964.06</v>
      </c>
      <c r="O67" s="11">
        <v>1</v>
      </c>
      <c r="P67" s="11">
        <v>2</v>
      </c>
      <c r="Q67" s="13">
        <f>K67+N67</f>
        <v>26964.06</v>
      </c>
      <c r="R67" s="11">
        <f>L67+O67</f>
        <v>1</v>
      </c>
      <c r="S67" s="11">
        <f>M67+P67</f>
        <v>4</v>
      </c>
      <c r="T67" s="8">
        <f>I67-Q67</f>
        <v>-21342.06</v>
      </c>
      <c r="U67" s="18">
        <v>4.6104909577961803E-2</v>
      </c>
      <c r="V67" s="11">
        <v>0.43</v>
      </c>
      <c r="W67" s="11">
        <v>3</v>
      </c>
      <c r="X67" s="11">
        <v>4</v>
      </c>
      <c r="Y67" s="11">
        <v>0</v>
      </c>
      <c r="Z67" t="s">
        <v>6</v>
      </c>
    </row>
    <row r="68" spans="1:26" x14ac:dyDescent="0.25">
      <c r="A68" s="20" t="s">
        <v>3259</v>
      </c>
      <c r="B68" s="20" t="s">
        <v>390</v>
      </c>
      <c r="C68" s="20" t="s">
        <v>3247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>
        <v>-0.76379477378847394</v>
      </c>
      <c r="V68" s="11">
        <v>0</v>
      </c>
      <c r="W68" s="11">
        <v>0</v>
      </c>
      <c r="X68" s="11">
        <v>0</v>
      </c>
      <c r="Y68" s="11">
        <v>0</v>
      </c>
      <c r="Z68" t="s">
        <v>6</v>
      </c>
    </row>
    <row r="69" spans="1:26" x14ac:dyDescent="0.25">
      <c r="A69" s="20" t="s">
        <v>3260</v>
      </c>
      <c r="B69" s="20" t="s">
        <v>3260</v>
      </c>
      <c r="C69" s="20" t="s">
        <v>3011</v>
      </c>
      <c r="D69" s="20" t="s">
        <v>216</v>
      </c>
      <c r="E69" s="13">
        <v>26285.96</v>
      </c>
      <c r="F69" s="11">
        <v>2</v>
      </c>
      <c r="G69" s="13">
        <v>22732</v>
      </c>
      <c r="H69" s="11">
        <v>0</v>
      </c>
      <c r="I69" s="13">
        <f>E69+G69</f>
        <v>49017.96</v>
      </c>
      <c r="J69" s="11">
        <f>F69+H69</f>
        <v>2</v>
      </c>
      <c r="K69" s="13">
        <v>11006.5</v>
      </c>
      <c r="L69" s="11">
        <v>0</v>
      </c>
      <c r="M69" s="11">
        <v>2</v>
      </c>
      <c r="N69" s="13">
        <v>27584.28</v>
      </c>
      <c r="O69" s="11">
        <v>0</v>
      </c>
      <c r="P69" s="11">
        <v>5</v>
      </c>
      <c r="Q69" s="13">
        <f>K69+N69</f>
        <v>38590.78</v>
      </c>
      <c r="R69" s="11">
        <f>L69+O69</f>
        <v>0</v>
      </c>
      <c r="S69" s="11">
        <f>M69+P69</f>
        <v>7</v>
      </c>
      <c r="T69" s="8">
        <f>I69-Q69</f>
        <v>10427.18</v>
      </c>
      <c r="U69" s="18">
        <v>0.20460434298571689</v>
      </c>
      <c r="V69" s="11">
        <v>0.35</v>
      </c>
      <c r="W69" s="11">
        <v>9</v>
      </c>
      <c r="X69" s="11">
        <v>17</v>
      </c>
      <c r="Y69" s="11">
        <v>1</v>
      </c>
      <c r="Z69" t="s">
        <v>6</v>
      </c>
    </row>
    <row r="70" spans="1:26" x14ac:dyDescent="0.25">
      <c r="A70" s="20" t="s">
        <v>3285</v>
      </c>
      <c r="B70" s="20" t="s">
        <v>1523</v>
      </c>
      <c r="C70" s="20" t="s">
        <v>3286</v>
      </c>
      <c r="D70" s="20" t="s">
        <v>216</v>
      </c>
      <c r="E70" s="13">
        <v>8784</v>
      </c>
      <c r="F70" s="11">
        <v>1</v>
      </c>
      <c r="G70" s="13">
        <v>13955.25</v>
      </c>
      <c r="H70" s="11">
        <v>0</v>
      </c>
      <c r="I70" s="13">
        <f>E70+G70</f>
        <v>22739.25</v>
      </c>
      <c r="J70" s="11">
        <f>F70+H70</f>
        <v>1</v>
      </c>
      <c r="K70" s="13">
        <v>9486</v>
      </c>
      <c r="L70" s="11">
        <v>1</v>
      </c>
      <c r="M70" s="11">
        <v>2</v>
      </c>
      <c r="N70" s="13">
        <v>35894</v>
      </c>
      <c r="O70" s="11">
        <v>0</v>
      </c>
      <c r="P70" s="11">
        <v>1</v>
      </c>
      <c r="Q70" s="13">
        <f>K70+N70</f>
        <v>45380</v>
      </c>
      <c r="R70" s="11">
        <f>L70+O70</f>
        <v>1</v>
      </c>
      <c r="S70" s="11">
        <f>M70+P70</f>
        <v>3</v>
      </c>
      <c r="T70" s="8">
        <f>I70-Q70</f>
        <v>-22640.75</v>
      </c>
      <c r="U70" s="18">
        <v>1.1421849518838298</v>
      </c>
      <c r="V70" s="11">
        <v>0.43</v>
      </c>
      <c r="W70" s="11">
        <v>3</v>
      </c>
      <c r="X70" s="11">
        <v>4</v>
      </c>
      <c r="Y70" s="11">
        <v>0</v>
      </c>
      <c r="Z70" t="s">
        <v>6</v>
      </c>
    </row>
    <row r="71" spans="1:26" x14ac:dyDescent="0.25">
      <c r="A71" s="20" t="s">
        <v>3287</v>
      </c>
      <c r="B71" s="20" t="s">
        <v>723</v>
      </c>
      <c r="C71" s="20" t="s">
        <v>3284</v>
      </c>
      <c r="D71" s="20" t="s">
        <v>216</v>
      </c>
      <c r="E71" s="13">
        <v>943</v>
      </c>
      <c r="F71" s="11">
        <v>0</v>
      </c>
      <c r="G71" s="13">
        <v>0</v>
      </c>
      <c r="H71" s="11">
        <v>0</v>
      </c>
      <c r="I71" s="13">
        <f>E71+G71</f>
        <v>943</v>
      </c>
      <c r="J71" s="11">
        <f>F71+H71</f>
        <v>0</v>
      </c>
      <c r="K71" s="13">
        <v>931</v>
      </c>
      <c r="L71" s="11">
        <v>0</v>
      </c>
      <c r="M71" s="11">
        <v>0</v>
      </c>
      <c r="N71" s="13">
        <v>751</v>
      </c>
      <c r="O71" s="11">
        <v>0</v>
      </c>
      <c r="P71" s="11">
        <v>0</v>
      </c>
      <c r="Q71" s="13">
        <f>K71+N71</f>
        <v>1682</v>
      </c>
      <c r="R71" s="11">
        <f>L71+O71</f>
        <v>0</v>
      </c>
      <c r="S71" s="11">
        <f>M71+P71</f>
        <v>0</v>
      </c>
      <c r="T71" s="8">
        <f>I71-Q71</f>
        <v>-739</v>
      </c>
      <c r="U71" s="18">
        <v>0.76742686238756741</v>
      </c>
      <c r="V71" s="11">
        <v>0</v>
      </c>
      <c r="W71" s="11">
        <v>0</v>
      </c>
      <c r="X71" s="11">
        <v>1</v>
      </c>
      <c r="Y71" s="11">
        <v>0</v>
      </c>
      <c r="Z71" t="s">
        <v>6</v>
      </c>
    </row>
    <row r="72" spans="1:26" x14ac:dyDescent="0.25">
      <c r="A72" s="20" t="s">
        <v>3332</v>
      </c>
      <c r="B72" s="20" t="s">
        <v>60</v>
      </c>
      <c r="C72" s="20" t="s">
        <v>3333</v>
      </c>
      <c r="D72" s="20" t="s">
        <v>216</v>
      </c>
      <c r="E72" s="13">
        <v>0</v>
      </c>
      <c r="F72" s="11">
        <v>0</v>
      </c>
      <c r="G72" s="13">
        <v>0</v>
      </c>
      <c r="H72" s="11">
        <v>0</v>
      </c>
      <c r="I72" s="13">
        <f>E72+G72</f>
        <v>0</v>
      </c>
      <c r="J72" s="11">
        <f>F72+H72</f>
        <v>0</v>
      </c>
      <c r="K72" s="13">
        <v>0</v>
      </c>
      <c r="L72" s="11">
        <v>0</v>
      </c>
      <c r="M72" s="11">
        <v>1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1</v>
      </c>
      <c r="T72" s="8">
        <f>I72-Q72</f>
        <v>0</v>
      </c>
      <c r="U72" s="18">
        <v>2.8283741368487131E-2</v>
      </c>
      <c r="V72" s="11">
        <v>0.25</v>
      </c>
      <c r="W72" s="11">
        <v>1</v>
      </c>
      <c r="X72" s="11">
        <v>3</v>
      </c>
      <c r="Y72" s="11">
        <v>0</v>
      </c>
      <c r="Z72" t="s">
        <v>6</v>
      </c>
    </row>
    <row r="73" spans="1:26" x14ac:dyDescent="0.25">
      <c r="A73" s="20" t="s">
        <v>3334</v>
      </c>
      <c r="B73" s="20" t="s">
        <v>3203</v>
      </c>
      <c r="C73" s="20" t="s">
        <v>3011</v>
      </c>
      <c r="D73" s="20" t="s">
        <v>216</v>
      </c>
      <c r="E73" s="13">
        <v>0</v>
      </c>
      <c r="F73" s="11">
        <v>0</v>
      </c>
      <c r="G73" s="13">
        <v>0</v>
      </c>
      <c r="H73" s="11">
        <v>0</v>
      </c>
      <c r="I73" s="13">
        <f>E73+G73</f>
        <v>0</v>
      </c>
      <c r="J73" s="11">
        <f>F73+H73</f>
        <v>0</v>
      </c>
      <c r="K73" s="13">
        <v>0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0</v>
      </c>
      <c r="R73" s="11">
        <f>L73+O73</f>
        <v>0</v>
      </c>
      <c r="S73" s="11">
        <f>M73+P73</f>
        <v>0</v>
      </c>
      <c r="T73" s="8">
        <f>I73-Q73</f>
        <v>0</v>
      </c>
      <c r="U73" s="18">
        <v>-2.654432898814572E-2</v>
      </c>
      <c r="V73" s="11">
        <v>0</v>
      </c>
      <c r="W73" s="11">
        <v>0</v>
      </c>
      <c r="X73" s="11">
        <v>1</v>
      </c>
      <c r="Y73" s="11">
        <v>0</v>
      </c>
      <c r="Z73" t="s">
        <v>6</v>
      </c>
    </row>
    <row r="74" spans="1:26" x14ac:dyDescent="0.25">
      <c r="A74" s="20" t="s">
        <v>3349</v>
      </c>
      <c r="B74" s="20" t="s">
        <v>60</v>
      </c>
      <c r="C74" s="20" t="s">
        <v>3350</v>
      </c>
      <c r="D74" s="20" t="s">
        <v>216</v>
      </c>
      <c r="E74" s="13">
        <v>14236</v>
      </c>
      <c r="F74" s="11">
        <v>0</v>
      </c>
      <c r="G74" s="13">
        <v>1757</v>
      </c>
      <c r="H74" s="11">
        <v>0</v>
      </c>
      <c r="I74" s="13">
        <f>E74+G74</f>
        <v>15993</v>
      </c>
      <c r="J74" s="11">
        <f>F74+H74</f>
        <v>0</v>
      </c>
      <c r="K74" s="13">
        <v>13329</v>
      </c>
      <c r="L74" s="11">
        <v>0</v>
      </c>
      <c r="M74" s="11">
        <v>1</v>
      </c>
      <c r="N74" s="13">
        <v>4333.25</v>
      </c>
      <c r="O74" s="11">
        <v>0</v>
      </c>
      <c r="P74" s="11">
        <v>0</v>
      </c>
      <c r="Q74" s="13">
        <f>K74+N74</f>
        <v>17662.25</v>
      </c>
      <c r="R74" s="11">
        <f>L74+O74</f>
        <v>0</v>
      </c>
      <c r="S74" s="11">
        <f>M74+P74</f>
        <v>1</v>
      </c>
      <c r="T74" s="8">
        <f>I74-Q74</f>
        <v>-1669.25</v>
      </c>
      <c r="U74" s="18">
        <v>0.14710098785720988</v>
      </c>
      <c r="V74" s="11">
        <v>0.5</v>
      </c>
      <c r="W74" s="11">
        <v>1</v>
      </c>
      <c r="X74" s="11">
        <v>1</v>
      </c>
      <c r="Y74" s="11">
        <v>0</v>
      </c>
      <c r="Z74" t="s">
        <v>6</v>
      </c>
    </row>
    <row r="75" spans="1:26" x14ac:dyDescent="0.25">
      <c r="A75" s="20" t="s">
        <v>3358</v>
      </c>
      <c r="B75" s="20" t="s">
        <v>3358</v>
      </c>
      <c r="C75" s="20" t="s">
        <v>3359</v>
      </c>
      <c r="D75" s="20" t="s">
        <v>216</v>
      </c>
      <c r="E75" s="13">
        <v>0</v>
      </c>
      <c r="F75" s="11">
        <v>0</v>
      </c>
      <c r="G75" s="13">
        <v>0</v>
      </c>
      <c r="H75" s="11">
        <v>0</v>
      </c>
      <c r="I75" s="13">
        <f>E75+G75</f>
        <v>0</v>
      </c>
      <c r="J75" s="11">
        <f>F75+H75</f>
        <v>0</v>
      </c>
      <c r="K75" s="13">
        <v>0</v>
      </c>
      <c r="L75" s="11">
        <v>0</v>
      </c>
      <c r="M75" s="11">
        <v>0</v>
      </c>
      <c r="N75" s="13">
        <v>0</v>
      </c>
      <c r="O75" s="11">
        <v>0</v>
      </c>
      <c r="P75" s="11">
        <v>0</v>
      </c>
      <c r="Q75" s="13">
        <f>K75+N75</f>
        <v>0</v>
      </c>
      <c r="R75" s="11">
        <f>L75+O75</f>
        <v>0</v>
      </c>
      <c r="S75" s="11">
        <f>M75+P75</f>
        <v>0</v>
      </c>
      <c r="T75" s="8">
        <f>I75-Q75</f>
        <v>0</v>
      </c>
      <c r="U75" s="18" t="s">
        <v>1803</v>
      </c>
      <c r="V75" s="11">
        <v>0</v>
      </c>
      <c r="W75" s="11">
        <v>0</v>
      </c>
      <c r="X75" s="11">
        <v>0</v>
      </c>
      <c r="Y75" s="11">
        <v>0</v>
      </c>
      <c r="Z75" t="s">
        <v>6</v>
      </c>
    </row>
    <row r="76" spans="1:26" x14ac:dyDescent="0.25">
      <c r="A76" s="20" t="s">
        <v>3576</v>
      </c>
      <c r="B76" s="20" t="s">
        <v>901</v>
      </c>
      <c r="C76" s="20" t="s">
        <v>902</v>
      </c>
      <c r="D76" s="20" t="s">
        <v>216</v>
      </c>
      <c r="E76" s="13">
        <v>26319.77</v>
      </c>
      <c r="F76" s="11">
        <v>0</v>
      </c>
      <c r="G76" s="13">
        <v>153677</v>
      </c>
      <c r="H76" s="11">
        <v>0</v>
      </c>
      <c r="I76" s="13">
        <f>E76+G76</f>
        <v>179996.77</v>
      </c>
      <c r="J76" s="11">
        <f>F76+H76</f>
        <v>0</v>
      </c>
      <c r="K76" s="13">
        <v>0</v>
      </c>
      <c r="L76" s="11">
        <v>0</v>
      </c>
      <c r="M76" s="11">
        <v>4</v>
      </c>
      <c r="N76" s="13">
        <v>0</v>
      </c>
      <c r="O76" s="11">
        <v>0</v>
      </c>
      <c r="P76" s="11">
        <v>2</v>
      </c>
      <c r="Q76" s="13">
        <f>K76+N76</f>
        <v>0</v>
      </c>
      <c r="R76" s="11">
        <f>L76+O76</f>
        <v>0</v>
      </c>
      <c r="S76" s="11">
        <f>M76+P76</f>
        <v>6</v>
      </c>
      <c r="T76" s="8">
        <f>I76-Q76</f>
        <v>179996.77</v>
      </c>
      <c r="U76" s="18">
        <v>0.30101495946181051</v>
      </c>
      <c r="V76" s="11">
        <v>0.36</v>
      </c>
      <c r="W76" s="11">
        <v>4</v>
      </c>
      <c r="X76" s="11">
        <v>7</v>
      </c>
      <c r="Y76" s="11">
        <v>0</v>
      </c>
      <c r="Z76" t="s">
        <v>6</v>
      </c>
    </row>
    <row r="77" spans="1:26" x14ac:dyDescent="0.25">
      <c r="A77" s="20" t="s">
        <v>3613</v>
      </c>
      <c r="B77" s="20" t="s">
        <v>3203</v>
      </c>
      <c r="C77" s="20" t="s">
        <v>3614</v>
      </c>
      <c r="D77" s="20" t="s">
        <v>216</v>
      </c>
      <c r="E77" s="13">
        <v>35732</v>
      </c>
      <c r="F77" s="11">
        <v>1</v>
      </c>
      <c r="G77" s="13">
        <v>7121.25</v>
      </c>
      <c r="H77" s="11">
        <v>0</v>
      </c>
      <c r="I77" s="13">
        <f>E77+G77</f>
        <v>42853.25</v>
      </c>
      <c r="J77" s="11">
        <f>F77+H77</f>
        <v>1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42853.25</v>
      </c>
      <c r="U77" s="18">
        <v>0.19223364748326549</v>
      </c>
      <c r="V77" s="11">
        <v>0.5</v>
      </c>
      <c r="W77" s="11">
        <v>1</v>
      </c>
      <c r="X77" s="11">
        <v>1</v>
      </c>
      <c r="Y77" s="11">
        <v>0</v>
      </c>
      <c r="Z77" t="s">
        <v>6</v>
      </c>
    </row>
    <row r="78" spans="1:26" x14ac:dyDescent="0.25">
      <c r="A78" s="20" t="s">
        <v>3627</v>
      </c>
      <c r="B78" s="20" t="s">
        <v>459</v>
      </c>
      <c r="C78" s="20" t="s">
        <v>3608</v>
      </c>
      <c r="D78" s="20" t="s">
        <v>216</v>
      </c>
      <c r="E78" s="13">
        <v>297</v>
      </c>
      <c r="F78" s="11">
        <v>0</v>
      </c>
      <c r="G78" s="13">
        <v>0</v>
      </c>
      <c r="H78" s="11">
        <v>0</v>
      </c>
      <c r="I78" s="13">
        <f>E78+G78</f>
        <v>297</v>
      </c>
      <c r="J78" s="11">
        <f>F78+H78</f>
        <v>0</v>
      </c>
      <c r="K78" s="13">
        <v>0</v>
      </c>
      <c r="L78" s="11">
        <v>0</v>
      </c>
      <c r="M78" s="11">
        <v>0</v>
      </c>
      <c r="N78" s="13">
        <v>0</v>
      </c>
      <c r="O78" s="11">
        <v>0</v>
      </c>
      <c r="P78" s="11">
        <v>0</v>
      </c>
      <c r="Q78" s="13">
        <f>K78+N78</f>
        <v>0</v>
      </c>
      <c r="R78" s="11">
        <f>L78+O78</f>
        <v>0</v>
      </c>
      <c r="S78" s="11">
        <f>M78+P78</f>
        <v>0</v>
      </c>
      <c r="T78" s="8">
        <f>I78-Q78</f>
        <v>297</v>
      </c>
      <c r="U78" s="18">
        <v>1.2466605768602788</v>
      </c>
      <c r="V78" s="11">
        <v>0</v>
      </c>
      <c r="W78" s="11">
        <v>0</v>
      </c>
      <c r="X78" s="11">
        <v>0</v>
      </c>
      <c r="Y78" s="11">
        <v>0</v>
      </c>
      <c r="Z78" t="s">
        <v>6</v>
      </c>
    </row>
    <row r="79" spans="1:26" x14ac:dyDescent="0.25">
      <c r="A79" s="20" t="s">
        <v>3628</v>
      </c>
      <c r="B79" s="20" t="s">
        <v>459</v>
      </c>
      <c r="C79" s="20" t="s">
        <v>3608</v>
      </c>
      <c r="D79" s="20" t="s">
        <v>216</v>
      </c>
      <c r="E79" s="13">
        <v>0</v>
      </c>
      <c r="F79" s="11">
        <v>0</v>
      </c>
      <c r="G79" s="13">
        <v>0</v>
      </c>
      <c r="H79" s="11">
        <v>0</v>
      </c>
      <c r="I79" s="13">
        <f>E79+G79</f>
        <v>0</v>
      </c>
      <c r="J79" s="11">
        <f>F79+H79</f>
        <v>0</v>
      </c>
      <c r="K79" s="13">
        <v>0</v>
      </c>
      <c r="L79" s="11">
        <v>0</v>
      </c>
      <c r="M79" s="11">
        <v>0</v>
      </c>
      <c r="N79" s="13">
        <v>0</v>
      </c>
      <c r="O79" s="11">
        <v>0</v>
      </c>
      <c r="P79" s="11">
        <v>0</v>
      </c>
      <c r="Q79" s="13">
        <f>K79+N79</f>
        <v>0</v>
      </c>
      <c r="R79" s="11">
        <f>L79+O79</f>
        <v>0</v>
      </c>
      <c r="S79" s="11">
        <f>M79+P79</f>
        <v>0</v>
      </c>
      <c r="T79" s="8">
        <f>I79-Q79</f>
        <v>0</v>
      </c>
      <c r="U79" s="18" t="s">
        <v>1803</v>
      </c>
      <c r="V79" s="11">
        <v>0</v>
      </c>
      <c r="W79" s="11">
        <v>0</v>
      </c>
      <c r="X79" s="11">
        <v>1</v>
      </c>
      <c r="Y79" s="11">
        <v>0</v>
      </c>
      <c r="Z79" t="s">
        <v>6</v>
      </c>
    </row>
    <row r="80" spans="1:26" x14ac:dyDescent="0.25">
      <c r="A80" s="20" t="s">
        <v>3629</v>
      </c>
      <c r="B80" s="20" t="s">
        <v>459</v>
      </c>
      <c r="C80" s="20" t="s">
        <v>3608</v>
      </c>
      <c r="D80" s="20" t="s">
        <v>216</v>
      </c>
      <c r="E80" s="13">
        <v>0</v>
      </c>
      <c r="F80" s="11">
        <v>0</v>
      </c>
      <c r="G80" s="13">
        <v>20125</v>
      </c>
      <c r="H80" s="11">
        <v>0</v>
      </c>
      <c r="I80" s="13">
        <f>E80+G80</f>
        <v>20125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0</v>
      </c>
      <c r="O80" s="11">
        <v>0</v>
      </c>
      <c r="P80" s="11">
        <v>0</v>
      </c>
      <c r="Q80" s="13">
        <f>K80+N80</f>
        <v>0</v>
      </c>
      <c r="R80" s="11">
        <f>L80+O80</f>
        <v>0</v>
      </c>
      <c r="S80" s="11">
        <f>M80+P80</f>
        <v>0</v>
      </c>
      <c r="T80" s="8">
        <f>I80-Q80</f>
        <v>20125</v>
      </c>
      <c r="U80" s="18">
        <v>1.1820523392487212</v>
      </c>
      <c r="V80" s="11">
        <v>0</v>
      </c>
      <c r="W80" s="11">
        <v>0</v>
      </c>
      <c r="X80" s="11">
        <v>0</v>
      </c>
      <c r="Y80" s="11">
        <v>0</v>
      </c>
      <c r="Z80" t="s">
        <v>6</v>
      </c>
    </row>
    <row r="81" spans="1:26" x14ac:dyDescent="0.25">
      <c r="A81" s="20" t="s">
        <v>3656</v>
      </c>
      <c r="B81" s="20" t="s">
        <v>77</v>
      </c>
      <c r="C81" s="20" t="s">
        <v>78</v>
      </c>
      <c r="D81" s="20" t="s">
        <v>216</v>
      </c>
      <c r="E81" s="13">
        <v>0</v>
      </c>
      <c r="F81" s="11">
        <v>0</v>
      </c>
      <c r="G81" s="13">
        <v>0</v>
      </c>
      <c r="H81" s="11">
        <v>0</v>
      </c>
      <c r="I81" s="13">
        <f>E81+G81</f>
        <v>0</v>
      </c>
      <c r="J81" s="11">
        <f>F81+H81</f>
        <v>0</v>
      </c>
      <c r="K81" s="13">
        <v>0</v>
      </c>
      <c r="L81" s="11">
        <v>0</v>
      </c>
      <c r="M81" s="11">
        <v>0</v>
      </c>
      <c r="N81" s="13">
        <v>0</v>
      </c>
      <c r="O81" s="11">
        <v>0</v>
      </c>
      <c r="P81" s="11">
        <v>0</v>
      </c>
      <c r="Q81" s="13">
        <f>K81+N81</f>
        <v>0</v>
      </c>
      <c r="R81" s="11">
        <f>L81+O81</f>
        <v>0</v>
      </c>
      <c r="S81" s="11">
        <f>M81+P81</f>
        <v>0</v>
      </c>
      <c r="T81" s="8">
        <f>I81-Q81</f>
        <v>0</v>
      </c>
      <c r="U81" s="18">
        <v>-9.423833910023105E-2</v>
      </c>
      <c r="V81" s="11">
        <v>0</v>
      </c>
      <c r="W81" s="11">
        <v>0</v>
      </c>
      <c r="X81" s="11">
        <v>0</v>
      </c>
      <c r="Y81" s="11">
        <v>0</v>
      </c>
      <c r="Z81" t="s">
        <v>6</v>
      </c>
    </row>
    <row r="82" spans="1:26" x14ac:dyDescent="0.25">
      <c r="A82" s="20" t="s">
        <v>3657</v>
      </c>
      <c r="B82" s="20" t="s">
        <v>77</v>
      </c>
      <c r="C82" s="20" t="s">
        <v>147</v>
      </c>
      <c r="D82" s="20" t="s">
        <v>216</v>
      </c>
      <c r="E82" s="13">
        <v>0</v>
      </c>
      <c r="F82" s="11">
        <v>0</v>
      </c>
      <c r="G82" s="13">
        <v>0</v>
      </c>
      <c r="H82" s="11">
        <v>0</v>
      </c>
      <c r="I82" s="13">
        <f>E82+G82</f>
        <v>0</v>
      </c>
      <c r="J82" s="11">
        <f>F82+H82</f>
        <v>0</v>
      </c>
      <c r="K82" s="13">
        <v>0</v>
      </c>
      <c r="L82" s="11">
        <v>0</v>
      </c>
      <c r="M82" s="11">
        <v>0</v>
      </c>
      <c r="N82" s="13">
        <v>0</v>
      </c>
      <c r="O82" s="11">
        <v>0</v>
      </c>
      <c r="P82" s="11">
        <v>0</v>
      </c>
      <c r="Q82" s="13">
        <f>K82+N82</f>
        <v>0</v>
      </c>
      <c r="R82" s="11">
        <f>L82+O82</f>
        <v>0</v>
      </c>
      <c r="S82" s="11">
        <f>M82+P82</f>
        <v>0</v>
      </c>
      <c r="T82" s="8">
        <f>I82-Q82</f>
        <v>0</v>
      </c>
      <c r="U82" s="18">
        <v>6.5023007833922314E-2</v>
      </c>
      <c r="V82" s="11">
        <v>0</v>
      </c>
      <c r="W82" s="11">
        <v>0</v>
      </c>
      <c r="X82" s="11">
        <v>0</v>
      </c>
      <c r="Y82" s="11">
        <v>0</v>
      </c>
      <c r="Z82" t="s">
        <v>6</v>
      </c>
    </row>
    <row r="83" spans="1:26" x14ac:dyDescent="0.25">
      <c r="A83" s="20" t="s">
        <v>3658</v>
      </c>
      <c r="B83" s="20" t="s">
        <v>77</v>
      </c>
      <c r="C83" s="20" t="s">
        <v>153</v>
      </c>
      <c r="D83" s="20" t="s">
        <v>216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0</v>
      </c>
      <c r="L83" s="11">
        <v>0</v>
      </c>
      <c r="M83" s="11">
        <v>0</v>
      </c>
      <c r="N83" s="13">
        <v>0</v>
      </c>
      <c r="O83" s="11">
        <v>0</v>
      </c>
      <c r="P83" s="11">
        <v>0</v>
      </c>
      <c r="Q83" s="13">
        <f>K83+N83</f>
        <v>0</v>
      </c>
      <c r="R83" s="11">
        <f>L83+O83</f>
        <v>0</v>
      </c>
      <c r="S83" s="11">
        <f>M83+P83</f>
        <v>0</v>
      </c>
      <c r="T83" s="8">
        <f>I83-Q83</f>
        <v>0</v>
      </c>
      <c r="U83" s="18">
        <v>5.6135275435187988E-2</v>
      </c>
      <c r="V83" s="11">
        <v>0</v>
      </c>
      <c r="W83" s="11">
        <v>0</v>
      </c>
      <c r="X83" s="11">
        <v>0</v>
      </c>
      <c r="Y83" s="11">
        <v>0</v>
      </c>
      <c r="Z83" t="s">
        <v>6</v>
      </c>
    </row>
    <row r="84" spans="1:26" x14ac:dyDescent="0.25">
      <c r="A84" s="20" t="s">
        <v>3659</v>
      </c>
      <c r="B84" s="20" t="s">
        <v>77</v>
      </c>
      <c r="C84" s="20" t="s">
        <v>155</v>
      </c>
      <c r="D84" s="20" t="s">
        <v>216</v>
      </c>
      <c r="E84" s="13">
        <v>0</v>
      </c>
      <c r="F84" s="11">
        <v>0</v>
      </c>
      <c r="G84" s="13">
        <v>0</v>
      </c>
      <c r="H84" s="11">
        <v>0</v>
      </c>
      <c r="I84" s="13">
        <f>E84+G84</f>
        <v>0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0</v>
      </c>
      <c r="U84" s="18">
        <v>6.2855552406918452E-2</v>
      </c>
      <c r="V84" s="11">
        <v>0</v>
      </c>
      <c r="W84" s="11">
        <v>0</v>
      </c>
      <c r="X84" s="11">
        <v>0</v>
      </c>
      <c r="Y84" s="11">
        <v>0</v>
      </c>
      <c r="Z84" t="s">
        <v>6</v>
      </c>
    </row>
    <row r="85" spans="1:26" x14ac:dyDescent="0.25">
      <c r="A85" s="20" t="s">
        <v>3660</v>
      </c>
      <c r="B85" s="20" t="s">
        <v>77</v>
      </c>
      <c r="C85" s="20" t="s">
        <v>940</v>
      </c>
      <c r="D85" s="20" t="s">
        <v>216</v>
      </c>
      <c r="E85" s="13">
        <v>15266</v>
      </c>
      <c r="F85" s="11">
        <v>1</v>
      </c>
      <c r="G85" s="13">
        <v>0</v>
      </c>
      <c r="H85" s="11">
        <v>0</v>
      </c>
      <c r="I85" s="13">
        <f>E85+G85</f>
        <v>15266</v>
      </c>
      <c r="J85" s="11">
        <f>F85+H85</f>
        <v>1</v>
      </c>
      <c r="K85" s="13">
        <v>0</v>
      </c>
      <c r="L85" s="11">
        <v>0</v>
      </c>
      <c r="M85" s="11">
        <v>0</v>
      </c>
      <c r="N85" s="13">
        <v>0</v>
      </c>
      <c r="O85" s="11">
        <v>0</v>
      </c>
      <c r="P85" s="11">
        <v>0</v>
      </c>
      <c r="Q85" s="13">
        <f>K85+N85</f>
        <v>0</v>
      </c>
      <c r="R85" s="11">
        <f>L85+O85</f>
        <v>0</v>
      </c>
      <c r="S85" s="11">
        <f>M85+P85</f>
        <v>0</v>
      </c>
      <c r="T85" s="8">
        <f>I85-Q85</f>
        <v>15266</v>
      </c>
      <c r="U85" s="18">
        <v>-9.7347268674486204E-2</v>
      </c>
      <c r="V85" s="11">
        <v>0</v>
      </c>
      <c r="W85" s="11">
        <v>0</v>
      </c>
      <c r="X85" s="11">
        <v>0</v>
      </c>
      <c r="Y85" s="11">
        <v>0</v>
      </c>
      <c r="Z85" t="s">
        <v>6</v>
      </c>
    </row>
    <row r="86" spans="1:26" x14ac:dyDescent="0.25">
      <c r="A86" s="20" t="s">
        <v>3661</v>
      </c>
      <c r="B86" s="20" t="s">
        <v>77</v>
      </c>
      <c r="C86" s="20" t="s">
        <v>82</v>
      </c>
      <c r="D86" s="20" t="s">
        <v>216</v>
      </c>
      <c r="E86" s="13">
        <v>0</v>
      </c>
      <c r="F86" s="11">
        <v>0</v>
      </c>
      <c r="G86" s="13">
        <v>0</v>
      </c>
      <c r="H86" s="11">
        <v>0</v>
      </c>
      <c r="I86" s="13">
        <f>E86+G86</f>
        <v>0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0</v>
      </c>
      <c r="U86" s="18">
        <v>2.1599142594729543</v>
      </c>
      <c r="V86" s="11">
        <v>0</v>
      </c>
      <c r="W86" s="11">
        <v>0</v>
      </c>
      <c r="X86" s="11">
        <v>0</v>
      </c>
      <c r="Y86" s="11">
        <v>0</v>
      </c>
      <c r="Z86" t="s">
        <v>6</v>
      </c>
    </row>
    <row r="87" spans="1:26" x14ac:dyDescent="0.25">
      <c r="A87" s="20" t="s">
        <v>3662</v>
      </c>
      <c r="B87" s="20" t="s">
        <v>327</v>
      </c>
      <c r="C87" s="20" t="s">
        <v>3255</v>
      </c>
      <c r="D87" s="20" t="s">
        <v>216</v>
      </c>
      <c r="E87" s="13">
        <v>9013</v>
      </c>
      <c r="F87" s="11">
        <v>2</v>
      </c>
      <c r="G87" s="13">
        <v>8367</v>
      </c>
      <c r="H87" s="11">
        <v>1</v>
      </c>
      <c r="I87" s="13">
        <f>E87+G87</f>
        <v>17380</v>
      </c>
      <c r="J87" s="11">
        <f>F87+H87</f>
        <v>3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17380</v>
      </c>
      <c r="U87" s="18">
        <v>0.22563373211746005</v>
      </c>
      <c r="V87" s="11">
        <v>0.36</v>
      </c>
      <c r="W87" s="11">
        <v>4</v>
      </c>
      <c r="X87" s="11">
        <v>7</v>
      </c>
      <c r="Y87" s="11">
        <v>0</v>
      </c>
      <c r="Z87" t="s">
        <v>6</v>
      </c>
    </row>
    <row r="88" spans="1:26" x14ac:dyDescent="0.25">
      <c r="A88" s="20" t="s">
        <v>227</v>
      </c>
      <c r="B88" s="20" t="s">
        <v>83</v>
      </c>
      <c r="C88" s="20" t="s">
        <v>228</v>
      </c>
      <c r="D88" s="20" t="s">
        <v>216</v>
      </c>
      <c r="E88" s="13">
        <v>0</v>
      </c>
      <c r="F88" s="11">
        <v>0</v>
      </c>
      <c r="G88" s="13">
        <v>0</v>
      </c>
      <c r="H88" s="11">
        <v>0</v>
      </c>
      <c r="I88" s="13">
        <f>E88+G88</f>
        <v>0</v>
      </c>
      <c r="J88" s="11">
        <f>F88+H88</f>
        <v>0</v>
      </c>
      <c r="K88" s="13">
        <v>0</v>
      </c>
      <c r="L88" s="11">
        <v>0</v>
      </c>
      <c r="M88" s="11">
        <v>0</v>
      </c>
      <c r="N88" s="13">
        <v>0</v>
      </c>
      <c r="O88" s="11">
        <v>0</v>
      </c>
      <c r="P88" s="11">
        <v>1</v>
      </c>
      <c r="Q88" s="13">
        <f>K88+N88</f>
        <v>0</v>
      </c>
      <c r="R88" s="11">
        <f>L88+O88</f>
        <v>0</v>
      </c>
      <c r="S88" s="11">
        <f>M88+P88</f>
        <v>1</v>
      </c>
      <c r="T88" s="8">
        <f>I88-Q88</f>
        <v>0</v>
      </c>
      <c r="U88" s="18">
        <v>-3.4660158935923675E-2</v>
      </c>
      <c r="V88" s="11">
        <v>0.5</v>
      </c>
      <c r="W88" s="11">
        <v>1</v>
      </c>
      <c r="X88" s="11">
        <v>1</v>
      </c>
      <c r="Y88" s="11">
        <v>0</v>
      </c>
      <c r="Z88" t="s">
        <v>7</v>
      </c>
    </row>
    <row r="89" spans="1:26" x14ac:dyDescent="0.25">
      <c r="A89" s="20" t="s">
        <v>229</v>
      </c>
      <c r="B89" s="20" t="s">
        <v>124</v>
      </c>
      <c r="C89" s="20" t="s">
        <v>3279</v>
      </c>
      <c r="D89" s="20" t="s">
        <v>216</v>
      </c>
      <c r="E89" s="13">
        <v>1784</v>
      </c>
      <c r="F89" s="11">
        <v>0</v>
      </c>
      <c r="G89" s="13">
        <v>0</v>
      </c>
      <c r="H89" s="11">
        <v>0</v>
      </c>
      <c r="I89" s="13">
        <f>E89+G89</f>
        <v>1784</v>
      </c>
      <c r="J89" s="11">
        <f>F89+H89</f>
        <v>0</v>
      </c>
      <c r="K89" s="13">
        <v>2069.7399999999998</v>
      </c>
      <c r="L89" s="11">
        <v>0</v>
      </c>
      <c r="M89" s="11">
        <v>0</v>
      </c>
      <c r="N89" s="13">
        <v>0</v>
      </c>
      <c r="O89" s="11">
        <v>0</v>
      </c>
      <c r="P89" s="11">
        <v>0</v>
      </c>
      <c r="Q89" s="13">
        <f>K89+N89</f>
        <v>2069.7399999999998</v>
      </c>
      <c r="R89" s="11">
        <f>L89+O89</f>
        <v>0</v>
      </c>
      <c r="S89" s="11">
        <f>M89+P89</f>
        <v>0</v>
      </c>
      <c r="T89" s="8">
        <f>I89-Q89</f>
        <v>-285.73999999999978</v>
      </c>
      <c r="U89" s="18">
        <v>-6.1473966115682274E-2</v>
      </c>
      <c r="V89" s="11">
        <v>0</v>
      </c>
      <c r="W89" s="11">
        <v>0</v>
      </c>
      <c r="X89" s="11">
        <v>1</v>
      </c>
      <c r="Y89" s="11">
        <v>0</v>
      </c>
      <c r="Z89" t="s">
        <v>7</v>
      </c>
    </row>
    <row r="90" spans="1:26" x14ac:dyDescent="0.25">
      <c r="A90" s="20" t="s">
        <v>230</v>
      </c>
      <c r="B90" s="20" t="s">
        <v>124</v>
      </c>
      <c r="C90" s="20" t="s">
        <v>231</v>
      </c>
      <c r="D90" s="20" t="s">
        <v>216</v>
      </c>
      <c r="E90" s="13">
        <v>0</v>
      </c>
      <c r="F90" s="11">
        <v>0</v>
      </c>
      <c r="G90" s="13">
        <v>0</v>
      </c>
      <c r="H90" s="11">
        <v>0</v>
      </c>
      <c r="I90" s="13">
        <f>E90+G90</f>
        <v>0</v>
      </c>
      <c r="J90" s="11">
        <f>F90+H90</f>
        <v>0</v>
      </c>
      <c r="K90" s="13">
        <v>0</v>
      </c>
      <c r="L90" s="11">
        <v>0</v>
      </c>
      <c r="M90" s="11">
        <v>0</v>
      </c>
      <c r="N90" s="13">
        <v>0</v>
      </c>
      <c r="O90" s="11">
        <v>0</v>
      </c>
      <c r="P90" s="11">
        <v>0</v>
      </c>
      <c r="Q90" s="13">
        <f>K90+N90</f>
        <v>0</v>
      </c>
      <c r="R90" s="11">
        <f>L90+O90</f>
        <v>0</v>
      </c>
      <c r="S90" s="11">
        <f>M90+P90</f>
        <v>0</v>
      </c>
      <c r="T90" s="8">
        <f>I90-Q90</f>
        <v>0</v>
      </c>
      <c r="U90" s="18">
        <v>-0.10684960318961199</v>
      </c>
      <c r="V90" s="11">
        <v>0</v>
      </c>
      <c r="W90" s="11">
        <v>0</v>
      </c>
      <c r="X90" s="11">
        <v>2</v>
      </c>
      <c r="Y90" s="11">
        <v>0</v>
      </c>
      <c r="Z90" t="s">
        <v>7</v>
      </c>
    </row>
    <row r="91" spans="1:26" x14ac:dyDescent="0.25">
      <c r="A91" s="20" t="s">
        <v>232</v>
      </c>
      <c r="B91" s="20" t="s">
        <v>232</v>
      </c>
      <c r="C91" s="20" t="s">
        <v>233</v>
      </c>
      <c r="D91" s="20" t="s">
        <v>216</v>
      </c>
      <c r="E91" s="13">
        <v>70305</v>
      </c>
      <c r="F91" s="11">
        <v>1</v>
      </c>
      <c r="G91" s="13">
        <v>184235.07</v>
      </c>
      <c r="H91" s="11">
        <v>4</v>
      </c>
      <c r="I91" s="13">
        <f>E91+G91</f>
        <v>254540.07</v>
      </c>
      <c r="J91" s="11">
        <f>F91+H91</f>
        <v>5</v>
      </c>
      <c r="K91" s="13">
        <v>42882</v>
      </c>
      <c r="L91" s="11">
        <v>0</v>
      </c>
      <c r="M91" s="11">
        <v>1</v>
      </c>
      <c r="N91" s="13">
        <v>179311.24</v>
      </c>
      <c r="O91" s="11">
        <v>6</v>
      </c>
      <c r="P91" s="11">
        <v>31</v>
      </c>
      <c r="Q91" s="13">
        <f>K91+N91</f>
        <v>222193.24</v>
      </c>
      <c r="R91" s="11">
        <f>L91+O91</f>
        <v>6</v>
      </c>
      <c r="S91" s="11">
        <f>M91+P91</f>
        <v>32</v>
      </c>
      <c r="T91" s="8">
        <f>I91-Q91</f>
        <v>32346.830000000016</v>
      </c>
      <c r="U91" s="18">
        <v>0.2398974848140179</v>
      </c>
      <c r="V91" s="11">
        <v>0.34</v>
      </c>
      <c r="W91" s="11">
        <v>31</v>
      </c>
      <c r="X91" s="11">
        <v>61</v>
      </c>
      <c r="Y91" s="11">
        <v>3</v>
      </c>
      <c r="Z91" t="s">
        <v>7</v>
      </c>
    </row>
    <row r="92" spans="1:26" x14ac:dyDescent="0.25">
      <c r="A92" s="20" t="s">
        <v>91</v>
      </c>
      <c r="B92" s="20" t="s">
        <v>91</v>
      </c>
      <c r="C92" s="20" t="s">
        <v>391</v>
      </c>
      <c r="D92" s="20" t="s">
        <v>216</v>
      </c>
      <c r="E92" s="13">
        <v>0</v>
      </c>
      <c r="F92" s="11">
        <v>0</v>
      </c>
      <c r="G92" s="13">
        <v>0</v>
      </c>
      <c r="H92" s="11">
        <v>0</v>
      </c>
      <c r="I92" s="13">
        <f>E92+G92</f>
        <v>0</v>
      </c>
      <c r="J92" s="11">
        <f>F92+H92</f>
        <v>0</v>
      </c>
      <c r="K92" s="13">
        <v>0</v>
      </c>
      <c r="L92" s="11">
        <v>0</v>
      </c>
      <c r="M92" s="11">
        <v>0</v>
      </c>
      <c r="N92" s="13">
        <v>0</v>
      </c>
      <c r="O92" s="11">
        <v>0</v>
      </c>
      <c r="P92" s="11">
        <v>0</v>
      </c>
      <c r="Q92" s="13">
        <f>K92+N92</f>
        <v>0</v>
      </c>
      <c r="R92" s="11">
        <f>L92+O92</f>
        <v>0</v>
      </c>
      <c r="S92" s="11">
        <f>M92+P92</f>
        <v>0</v>
      </c>
      <c r="T92" s="8">
        <f>I92-Q92</f>
        <v>0</v>
      </c>
      <c r="U92" s="18">
        <v>0.18419030807380321</v>
      </c>
      <c r="V92" s="11">
        <v>0</v>
      </c>
      <c r="W92" s="11">
        <v>0</v>
      </c>
      <c r="X92" s="11">
        <v>0</v>
      </c>
      <c r="Y92" s="11">
        <v>0</v>
      </c>
      <c r="Z92" t="s">
        <v>7</v>
      </c>
    </row>
    <row r="93" spans="1:26" x14ac:dyDescent="0.25">
      <c r="A93" s="20" t="s">
        <v>238</v>
      </c>
      <c r="B93" s="20" t="s">
        <v>60</v>
      </c>
      <c r="C93" s="20" t="s">
        <v>239</v>
      </c>
      <c r="D93" s="20" t="s">
        <v>216</v>
      </c>
      <c r="E93" s="13">
        <v>11018</v>
      </c>
      <c r="F93" s="11">
        <v>0</v>
      </c>
      <c r="G93" s="13">
        <v>0</v>
      </c>
      <c r="H93" s="11">
        <v>0</v>
      </c>
      <c r="I93" s="13">
        <f>E93+G93</f>
        <v>11018</v>
      </c>
      <c r="J93" s="11">
        <f>F93+H93</f>
        <v>0</v>
      </c>
      <c r="K93" s="13">
        <v>20235.099999999999</v>
      </c>
      <c r="L93" s="11">
        <v>0</v>
      </c>
      <c r="M93" s="11">
        <v>0</v>
      </c>
      <c r="N93" s="13">
        <v>0</v>
      </c>
      <c r="O93" s="11">
        <v>0</v>
      </c>
      <c r="P93" s="11">
        <v>0</v>
      </c>
      <c r="Q93" s="13">
        <f>K93+N93</f>
        <v>20235.099999999999</v>
      </c>
      <c r="R93" s="11">
        <f>L93+O93</f>
        <v>0</v>
      </c>
      <c r="S93" s="11">
        <f>M93+P93</f>
        <v>0</v>
      </c>
      <c r="T93" s="8">
        <f>I93-Q93</f>
        <v>-9217.0999999999985</v>
      </c>
      <c r="U93" s="18">
        <v>9.0611730163595375E-2</v>
      </c>
      <c r="V93" s="11">
        <v>0</v>
      </c>
      <c r="W93" s="11">
        <v>0</v>
      </c>
      <c r="X93" s="11">
        <v>4</v>
      </c>
      <c r="Y93" s="11">
        <v>0</v>
      </c>
      <c r="Z93" t="s">
        <v>7</v>
      </c>
    </row>
    <row r="94" spans="1:26" x14ac:dyDescent="0.25">
      <c r="A94" s="20" t="s">
        <v>240</v>
      </c>
      <c r="B94" s="20" t="s">
        <v>241</v>
      </c>
      <c r="C94" s="20" t="s">
        <v>242</v>
      </c>
      <c r="D94" s="20" t="s">
        <v>216</v>
      </c>
      <c r="E94" s="13">
        <v>0</v>
      </c>
      <c r="F94" s="11">
        <v>0</v>
      </c>
      <c r="G94" s="13">
        <v>0</v>
      </c>
      <c r="H94" s="11">
        <v>0</v>
      </c>
      <c r="I94" s="13">
        <f>E94+G94</f>
        <v>0</v>
      </c>
      <c r="J94" s="11">
        <f>F94+H94</f>
        <v>0</v>
      </c>
      <c r="K94" s="13">
        <v>0</v>
      </c>
      <c r="L94" s="11">
        <v>0</v>
      </c>
      <c r="M94" s="11">
        <v>0</v>
      </c>
      <c r="N94" s="13">
        <v>0</v>
      </c>
      <c r="O94" s="11">
        <v>0</v>
      </c>
      <c r="P94" s="11">
        <v>0</v>
      </c>
      <c r="Q94" s="13">
        <f>K94+N94</f>
        <v>0</v>
      </c>
      <c r="R94" s="11">
        <f>L94+O94</f>
        <v>0</v>
      </c>
      <c r="S94" s="11">
        <f>M94+P94</f>
        <v>0</v>
      </c>
      <c r="T94" s="8">
        <f>I94-Q94</f>
        <v>0</v>
      </c>
      <c r="U94" s="18">
        <v>-2.2173846970364144E-2</v>
      </c>
      <c r="V94" s="11">
        <v>0</v>
      </c>
      <c r="W94" s="11">
        <v>0</v>
      </c>
      <c r="X94" s="11">
        <v>1</v>
      </c>
      <c r="Y94" s="11">
        <v>0</v>
      </c>
      <c r="Z94" t="s">
        <v>7</v>
      </c>
    </row>
    <row r="95" spans="1:26" x14ac:dyDescent="0.25">
      <c r="A95" s="20" t="s">
        <v>2283</v>
      </c>
      <c r="B95" s="20" t="s">
        <v>60</v>
      </c>
      <c r="C95" s="20" t="s">
        <v>2993</v>
      </c>
      <c r="D95" s="20" t="s">
        <v>216</v>
      </c>
      <c r="E95" s="13">
        <v>0</v>
      </c>
      <c r="F95" s="11">
        <v>0</v>
      </c>
      <c r="G95" s="13">
        <v>17679</v>
      </c>
      <c r="H95" s="11">
        <v>0</v>
      </c>
      <c r="I95" s="13">
        <f>E95+G95</f>
        <v>17679</v>
      </c>
      <c r="J95" s="11">
        <f>F95+H95</f>
        <v>0</v>
      </c>
      <c r="K95" s="13">
        <v>0</v>
      </c>
      <c r="L95" s="11">
        <v>0</v>
      </c>
      <c r="M95" s="11">
        <v>0</v>
      </c>
      <c r="N95" s="13">
        <v>18088.599999999999</v>
      </c>
      <c r="O95" s="11">
        <v>0</v>
      </c>
      <c r="P95" s="11">
        <v>2</v>
      </c>
      <c r="Q95" s="13">
        <f>K95+N95</f>
        <v>18088.599999999999</v>
      </c>
      <c r="R95" s="11">
        <f>L95+O95</f>
        <v>0</v>
      </c>
      <c r="S95" s="11">
        <f>M95+P95</f>
        <v>2</v>
      </c>
      <c r="T95" s="8">
        <f>I95-Q95</f>
        <v>-409.59999999999854</v>
      </c>
      <c r="U95" s="18">
        <v>8.4191293516652464E-3</v>
      </c>
      <c r="V95" s="11">
        <v>0.28999999999999998</v>
      </c>
      <c r="W95" s="11">
        <v>2</v>
      </c>
      <c r="X95" s="11">
        <v>5</v>
      </c>
      <c r="Y95" s="11">
        <v>0</v>
      </c>
      <c r="Z95" t="s">
        <v>7</v>
      </c>
    </row>
    <row r="96" spans="1:26" x14ac:dyDescent="0.25">
      <c r="A96" s="20" t="s">
        <v>244</v>
      </c>
      <c r="B96" s="20" t="s">
        <v>245</v>
      </c>
      <c r="C96" s="20" t="s">
        <v>246</v>
      </c>
      <c r="D96" s="20" t="s">
        <v>216</v>
      </c>
      <c r="E96" s="13">
        <v>0</v>
      </c>
      <c r="F96" s="11">
        <v>0</v>
      </c>
      <c r="G96" s="13">
        <v>0</v>
      </c>
      <c r="H96" s="11">
        <v>0</v>
      </c>
      <c r="I96" s="13">
        <f>E96+G96</f>
        <v>0</v>
      </c>
      <c r="J96" s="11">
        <f>F96+H96</f>
        <v>0</v>
      </c>
      <c r="K96" s="13">
        <v>0</v>
      </c>
      <c r="L96" s="11">
        <v>0</v>
      </c>
      <c r="M96" s="11">
        <v>0</v>
      </c>
      <c r="N96" s="13">
        <v>0</v>
      </c>
      <c r="O96" s="11">
        <v>0</v>
      </c>
      <c r="P96" s="11">
        <v>0</v>
      </c>
      <c r="Q96" s="13">
        <f>K96+N96</f>
        <v>0</v>
      </c>
      <c r="R96" s="11">
        <f>L96+O96</f>
        <v>0</v>
      </c>
      <c r="S96" s="11">
        <f>M96+P96</f>
        <v>0</v>
      </c>
      <c r="T96" s="8">
        <f>I96-Q96</f>
        <v>0</v>
      </c>
      <c r="U96" s="18">
        <v>-0.15630373124458094</v>
      </c>
      <c r="V96" s="11">
        <v>0</v>
      </c>
      <c r="W96" s="11">
        <v>0</v>
      </c>
      <c r="X96" s="11">
        <v>0</v>
      </c>
      <c r="Y96" s="11">
        <v>0</v>
      </c>
      <c r="Z96" t="s">
        <v>7</v>
      </c>
    </row>
    <row r="97" spans="1:26" x14ac:dyDescent="0.25">
      <c r="A97" s="20" t="s">
        <v>247</v>
      </c>
      <c r="B97" s="20" t="s">
        <v>247</v>
      </c>
      <c r="C97" s="20" t="s">
        <v>248</v>
      </c>
      <c r="D97" s="20" t="s">
        <v>216</v>
      </c>
      <c r="E97" s="13">
        <v>0</v>
      </c>
      <c r="F97" s="11">
        <v>0</v>
      </c>
      <c r="G97" s="13">
        <v>50093</v>
      </c>
      <c r="H97" s="11">
        <v>0</v>
      </c>
      <c r="I97" s="13">
        <f>E97+G97</f>
        <v>50093</v>
      </c>
      <c r="J97" s="11">
        <f>F97+H97</f>
        <v>0</v>
      </c>
      <c r="K97" s="13">
        <v>0</v>
      </c>
      <c r="L97" s="11">
        <v>0</v>
      </c>
      <c r="M97" s="11">
        <v>1</v>
      </c>
      <c r="N97" s="13">
        <v>80248</v>
      </c>
      <c r="O97" s="11">
        <v>1</v>
      </c>
      <c r="P97" s="11">
        <v>1</v>
      </c>
      <c r="Q97" s="13">
        <f>K97+N97</f>
        <v>80248</v>
      </c>
      <c r="R97" s="11">
        <f>L97+O97</f>
        <v>1</v>
      </c>
      <c r="S97" s="11">
        <f>M97+P97</f>
        <v>2</v>
      </c>
      <c r="T97" s="8">
        <f>I97-Q97</f>
        <v>-30155</v>
      </c>
      <c r="U97" s="18">
        <v>0.17125908134216347</v>
      </c>
      <c r="V97" s="11">
        <v>0.09</v>
      </c>
      <c r="W97" s="11">
        <v>2</v>
      </c>
      <c r="X97" s="11">
        <v>20</v>
      </c>
      <c r="Y97" s="11">
        <v>0</v>
      </c>
      <c r="Z97" t="s">
        <v>7</v>
      </c>
    </row>
    <row r="98" spans="1:26" x14ac:dyDescent="0.25">
      <c r="A98" s="20" t="s">
        <v>249</v>
      </c>
      <c r="B98" s="20" t="s">
        <v>124</v>
      </c>
      <c r="C98" s="20" t="s">
        <v>250</v>
      </c>
      <c r="D98" s="20" t="s">
        <v>216</v>
      </c>
      <c r="E98" s="13">
        <v>0</v>
      </c>
      <c r="F98" s="11">
        <v>0</v>
      </c>
      <c r="G98" s="13">
        <v>0</v>
      </c>
      <c r="H98" s="11">
        <v>0</v>
      </c>
      <c r="I98" s="13">
        <f>E98+G98</f>
        <v>0</v>
      </c>
      <c r="J98" s="11">
        <f>F98+H98</f>
        <v>0</v>
      </c>
      <c r="K98" s="13">
        <v>0</v>
      </c>
      <c r="L98" s="11">
        <v>0</v>
      </c>
      <c r="M98" s="11">
        <v>0</v>
      </c>
      <c r="N98" s="13">
        <v>0</v>
      </c>
      <c r="O98" s="11">
        <v>0</v>
      </c>
      <c r="P98" s="11">
        <v>0</v>
      </c>
      <c r="Q98" s="13">
        <f>K98+N98</f>
        <v>0</v>
      </c>
      <c r="R98" s="11">
        <f>L98+O98</f>
        <v>0</v>
      </c>
      <c r="S98" s="11">
        <f>M98+P98</f>
        <v>0</v>
      </c>
      <c r="T98" s="8">
        <f>I98-Q98</f>
        <v>0</v>
      </c>
      <c r="U98" s="18">
        <v>2.822577310941245E-2</v>
      </c>
      <c r="V98" s="11">
        <v>0</v>
      </c>
      <c r="W98" s="11">
        <v>0</v>
      </c>
      <c r="X98" s="11">
        <v>0</v>
      </c>
      <c r="Y98" s="11">
        <v>0</v>
      </c>
      <c r="Z98" t="s">
        <v>7</v>
      </c>
    </row>
    <row r="99" spans="1:26" x14ac:dyDescent="0.25">
      <c r="A99" s="20" t="s">
        <v>251</v>
      </c>
      <c r="B99" s="20" t="s">
        <v>252</v>
      </c>
      <c r="C99" s="20" t="s">
        <v>253</v>
      </c>
      <c r="D99" s="20" t="s">
        <v>216</v>
      </c>
      <c r="E99" s="13">
        <v>833</v>
      </c>
      <c r="F99" s="11">
        <v>0</v>
      </c>
      <c r="G99" s="13">
        <v>24999</v>
      </c>
      <c r="H99" s="11">
        <v>1</v>
      </c>
      <c r="I99" s="13">
        <f>E99+G99</f>
        <v>25832</v>
      </c>
      <c r="J99" s="11">
        <f>F99+H99</f>
        <v>1</v>
      </c>
      <c r="K99" s="13">
        <v>833</v>
      </c>
      <c r="L99" s="11">
        <v>0</v>
      </c>
      <c r="M99" s="11">
        <v>0</v>
      </c>
      <c r="N99" s="13">
        <v>0</v>
      </c>
      <c r="O99" s="11">
        <v>0</v>
      </c>
      <c r="P99" s="11">
        <v>1</v>
      </c>
      <c r="Q99" s="13">
        <f>K99+N99</f>
        <v>833</v>
      </c>
      <c r="R99" s="11">
        <f>L99+O99</f>
        <v>0</v>
      </c>
      <c r="S99" s="11">
        <f>M99+P99</f>
        <v>1</v>
      </c>
      <c r="T99" s="8">
        <f>I99-Q99</f>
        <v>24999</v>
      </c>
      <c r="U99" s="18">
        <v>-8.8621683959706141E-2</v>
      </c>
      <c r="V99" s="11">
        <v>0.4</v>
      </c>
      <c r="W99" s="11">
        <v>2</v>
      </c>
      <c r="X99" s="11">
        <v>3</v>
      </c>
      <c r="Y99" s="11">
        <v>0</v>
      </c>
      <c r="Z99" t="s">
        <v>7</v>
      </c>
    </row>
    <row r="100" spans="1:26" x14ac:dyDescent="0.25">
      <c r="A100" s="20" t="s">
        <v>254</v>
      </c>
      <c r="B100" s="20" t="s">
        <v>237</v>
      </c>
      <c r="C100" s="20" t="s">
        <v>255</v>
      </c>
      <c r="D100" s="20" t="s">
        <v>216</v>
      </c>
      <c r="E100" s="13">
        <v>0</v>
      </c>
      <c r="F100" s="11">
        <v>0</v>
      </c>
      <c r="G100" s="13">
        <v>0</v>
      </c>
      <c r="H100" s="11">
        <v>0</v>
      </c>
      <c r="I100" s="13">
        <f>E100+G100</f>
        <v>0</v>
      </c>
      <c r="J100" s="11">
        <f>F100+H100</f>
        <v>0</v>
      </c>
      <c r="K100" s="13">
        <v>0</v>
      </c>
      <c r="L100" s="11">
        <v>0</v>
      </c>
      <c r="M100" s="11">
        <v>0</v>
      </c>
      <c r="N100" s="13">
        <v>0</v>
      </c>
      <c r="O100" s="11">
        <v>0</v>
      </c>
      <c r="P100" s="11">
        <v>0</v>
      </c>
      <c r="Q100" s="13">
        <f>K100+N100</f>
        <v>0</v>
      </c>
      <c r="R100" s="11">
        <f>L100+O100</f>
        <v>0</v>
      </c>
      <c r="S100" s="11">
        <f>M100+P100</f>
        <v>0</v>
      </c>
      <c r="T100" s="8">
        <f>I100-Q100</f>
        <v>0</v>
      </c>
      <c r="U100" s="18">
        <v>0.13102003956003852</v>
      </c>
      <c r="V100" s="11">
        <v>0</v>
      </c>
      <c r="W100" s="11">
        <v>0</v>
      </c>
      <c r="X100" s="11">
        <v>0</v>
      </c>
      <c r="Y100" s="11">
        <v>1</v>
      </c>
      <c r="Z100" t="s">
        <v>7</v>
      </c>
    </row>
    <row r="101" spans="1:26" x14ac:dyDescent="0.25">
      <c r="A101" s="20" t="s">
        <v>1596</v>
      </c>
      <c r="B101" s="20" t="s">
        <v>60</v>
      </c>
      <c r="C101" s="20" t="s">
        <v>3414</v>
      </c>
      <c r="D101" s="20" t="s">
        <v>216</v>
      </c>
      <c r="E101" s="13">
        <v>0</v>
      </c>
      <c r="F101" s="11">
        <v>0</v>
      </c>
      <c r="G101" s="13">
        <v>0</v>
      </c>
      <c r="H101" s="11">
        <v>0</v>
      </c>
      <c r="I101" s="13">
        <f>E101+G101</f>
        <v>0</v>
      </c>
      <c r="J101" s="11">
        <f>F101+H101</f>
        <v>0</v>
      </c>
      <c r="K101" s="13">
        <v>0</v>
      </c>
      <c r="L101" s="11">
        <v>0</v>
      </c>
      <c r="M101" s="11">
        <v>0</v>
      </c>
      <c r="N101" s="13">
        <v>0</v>
      </c>
      <c r="O101" s="11">
        <v>0</v>
      </c>
      <c r="P101" s="11">
        <v>0</v>
      </c>
      <c r="Q101" s="13">
        <f>K101+N101</f>
        <v>0</v>
      </c>
      <c r="R101" s="11">
        <f>L101+O101</f>
        <v>0</v>
      </c>
      <c r="S101" s="11">
        <f>M101+P101</f>
        <v>0</v>
      </c>
      <c r="T101" s="8">
        <f>I101-Q101</f>
        <v>0</v>
      </c>
      <c r="U101" s="18">
        <v>-6.628353059763778E-2</v>
      </c>
      <c r="V101" s="11">
        <v>0</v>
      </c>
      <c r="W101" s="11">
        <v>0</v>
      </c>
      <c r="X101" s="11">
        <v>0</v>
      </c>
      <c r="Y101" s="11">
        <v>0</v>
      </c>
      <c r="Z101" t="s">
        <v>7</v>
      </c>
    </row>
    <row r="102" spans="1:26" x14ac:dyDescent="0.25">
      <c r="A102" s="20" t="s">
        <v>258</v>
      </c>
      <c r="B102" s="20" t="s">
        <v>60</v>
      </c>
      <c r="C102" s="20" t="s">
        <v>259</v>
      </c>
      <c r="D102" s="20" t="s">
        <v>216</v>
      </c>
      <c r="E102" s="13">
        <v>0</v>
      </c>
      <c r="F102" s="11">
        <v>0</v>
      </c>
      <c r="G102" s="13">
        <v>0</v>
      </c>
      <c r="H102" s="11">
        <v>0</v>
      </c>
      <c r="I102" s="13">
        <f>E102+G102</f>
        <v>0</v>
      </c>
      <c r="J102" s="11">
        <f>F102+H102</f>
        <v>0</v>
      </c>
      <c r="K102" s="13">
        <v>0</v>
      </c>
      <c r="L102" s="11">
        <v>0</v>
      </c>
      <c r="M102" s="11">
        <v>0</v>
      </c>
      <c r="N102" s="13">
        <v>0</v>
      </c>
      <c r="O102" s="11">
        <v>0</v>
      </c>
      <c r="P102" s="11">
        <v>0</v>
      </c>
      <c r="Q102" s="13">
        <f>K102+N102</f>
        <v>0</v>
      </c>
      <c r="R102" s="11">
        <f>L102+O102</f>
        <v>0</v>
      </c>
      <c r="S102" s="11">
        <f>M102+P102</f>
        <v>0</v>
      </c>
      <c r="T102" s="8">
        <f>I102-Q102</f>
        <v>0</v>
      </c>
      <c r="U102" s="18">
        <v>-90.047093451066957</v>
      </c>
      <c r="V102" s="11">
        <v>0</v>
      </c>
      <c r="W102" s="11">
        <v>0</v>
      </c>
      <c r="X102" s="11">
        <v>0</v>
      </c>
      <c r="Y102" s="11">
        <v>0</v>
      </c>
      <c r="Z102" t="s">
        <v>7</v>
      </c>
    </row>
    <row r="103" spans="1:26" x14ac:dyDescent="0.25">
      <c r="A103" s="20" t="s">
        <v>260</v>
      </c>
      <c r="B103" s="20" t="s">
        <v>260</v>
      </c>
      <c r="C103" s="20" t="s">
        <v>261</v>
      </c>
      <c r="D103" s="20" t="s">
        <v>216</v>
      </c>
      <c r="E103" s="13">
        <v>0</v>
      </c>
      <c r="F103" s="11">
        <v>0</v>
      </c>
      <c r="G103" s="13">
        <v>1242</v>
      </c>
      <c r="H103" s="11">
        <v>0</v>
      </c>
      <c r="I103" s="13">
        <f>E103+G103</f>
        <v>1242</v>
      </c>
      <c r="J103" s="11">
        <f>F103+H103</f>
        <v>0</v>
      </c>
      <c r="K103" s="13">
        <v>0</v>
      </c>
      <c r="L103" s="11">
        <v>0</v>
      </c>
      <c r="M103" s="11">
        <v>1</v>
      </c>
      <c r="N103" s="13">
        <v>1037</v>
      </c>
      <c r="O103" s="11">
        <v>0</v>
      </c>
      <c r="P103" s="11">
        <v>2</v>
      </c>
      <c r="Q103" s="13">
        <f>K103+N103</f>
        <v>1037</v>
      </c>
      <c r="R103" s="11">
        <f>L103+O103</f>
        <v>0</v>
      </c>
      <c r="S103" s="11">
        <f>M103+P103</f>
        <v>3</v>
      </c>
      <c r="T103" s="8">
        <f>I103-Q103</f>
        <v>205</v>
      </c>
      <c r="U103" s="18">
        <v>4.6036490589739555E-2</v>
      </c>
      <c r="V103" s="11">
        <v>0.5</v>
      </c>
      <c r="W103" s="11">
        <v>3</v>
      </c>
      <c r="X103" s="11">
        <v>3</v>
      </c>
      <c r="Y103" s="11">
        <v>1</v>
      </c>
      <c r="Z103" t="s">
        <v>7</v>
      </c>
    </row>
    <row r="104" spans="1:26" x14ac:dyDescent="0.25">
      <c r="A104" s="20" t="s">
        <v>1100</v>
      </c>
      <c r="B104" s="20" t="s">
        <v>327</v>
      </c>
      <c r="C104" s="20" t="s">
        <v>328</v>
      </c>
      <c r="D104" s="20" t="s">
        <v>215</v>
      </c>
      <c r="E104" s="13">
        <v>0</v>
      </c>
      <c r="F104" s="11">
        <v>0</v>
      </c>
      <c r="G104" s="13">
        <v>0</v>
      </c>
      <c r="H104" s="11">
        <v>0</v>
      </c>
      <c r="I104" s="13">
        <f>E104+G104</f>
        <v>0</v>
      </c>
      <c r="J104" s="11">
        <f>F104+H104</f>
        <v>0</v>
      </c>
      <c r="K104" s="13">
        <v>0</v>
      </c>
      <c r="L104" s="11">
        <v>0</v>
      </c>
      <c r="M104" s="11">
        <v>0</v>
      </c>
      <c r="N104" s="13">
        <v>6623</v>
      </c>
      <c r="O104" s="11">
        <v>0</v>
      </c>
      <c r="P104" s="11">
        <v>0</v>
      </c>
      <c r="Q104" s="13">
        <f>K104+N104</f>
        <v>6623</v>
      </c>
      <c r="R104" s="11">
        <f>L104+O104</f>
        <v>0</v>
      </c>
      <c r="S104" s="11">
        <f>M104+P104</f>
        <v>0</v>
      </c>
      <c r="T104" s="8">
        <f>I104-Q104</f>
        <v>-6623</v>
      </c>
      <c r="U104" s="18" t="s">
        <v>1803</v>
      </c>
      <c r="V104" s="11">
        <v>0</v>
      </c>
      <c r="W104" s="11">
        <v>0</v>
      </c>
      <c r="X104" s="11">
        <v>0</v>
      </c>
      <c r="Y104" s="11">
        <v>0</v>
      </c>
      <c r="Z104" t="s">
        <v>7</v>
      </c>
    </row>
    <row r="105" spans="1:26" x14ac:dyDescent="0.25">
      <c r="A105" s="20" t="s">
        <v>263</v>
      </c>
      <c r="B105" s="20" t="s">
        <v>124</v>
      </c>
      <c r="C105" s="20" t="s">
        <v>264</v>
      </c>
      <c r="D105" s="20" t="s">
        <v>216</v>
      </c>
      <c r="E105" s="13">
        <v>0</v>
      </c>
      <c r="F105" s="11">
        <v>0</v>
      </c>
      <c r="G105" s="13">
        <v>0</v>
      </c>
      <c r="H105" s="11">
        <v>0</v>
      </c>
      <c r="I105" s="13">
        <f>E105+G105</f>
        <v>0</v>
      </c>
      <c r="J105" s="11">
        <f>F105+H105</f>
        <v>0</v>
      </c>
      <c r="K105" s="13">
        <v>0</v>
      </c>
      <c r="L105" s="11">
        <v>0</v>
      </c>
      <c r="M105" s="11">
        <v>0</v>
      </c>
      <c r="N105" s="13">
        <v>6133</v>
      </c>
      <c r="O105" s="11">
        <v>0</v>
      </c>
      <c r="P105" s="11">
        <v>1</v>
      </c>
      <c r="Q105" s="13">
        <f>K105+N105</f>
        <v>6133</v>
      </c>
      <c r="R105" s="11">
        <f>L105+O105</f>
        <v>0</v>
      </c>
      <c r="S105" s="11">
        <f>M105+P105</f>
        <v>1</v>
      </c>
      <c r="T105" s="8">
        <f>I105-Q105</f>
        <v>-6133</v>
      </c>
      <c r="U105" s="18">
        <v>-3.0451872164453268E-2</v>
      </c>
      <c r="V105" s="11">
        <v>0.33</v>
      </c>
      <c r="W105" s="11">
        <v>1</v>
      </c>
      <c r="X105" s="11">
        <v>2</v>
      </c>
      <c r="Y105" s="11">
        <v>0</v>
      </c>
      <c r="Z105" t="s">
        <v>7</v>
      </c>
    </row>
    <row r="106" spans="1:26" x14ac:dyDescent="0.25">
      <c r="A106" s="20" t="s">
        <v>124</v>
      </c>
      <c r="B106" s="20" t="s">
        <v>124</v>
      </c>
      <c r="C106" s="20" t="s">
        <v>265</v>
      </c>
      <c r="D106" s="20" t="s">
        <v>216</v>
      </c>
      <c r="E106" s="13">
        <v>10157.290000000001</v>
      </c>
      <c r="F106" s="11">
        <v>1</v>
      </c>
      <c r="G106" s="13">
        <v>17007.88</v>
      </c>
      <c r="H106" s="11">
        <v>0</v>
      </c>
      <c r="I106" s="13">
        <f>E106+G106</f>
        <v>27165.170000000002</v>
      </c>
      <c r="J106" s="11">
        <f>F106+H106</f>
        <v>1</v>
      </c>
      <c r="K106" s="13">
        <v>31050.44</v>
      </c>
      <c r="L106" s="11">
        <v>2</v>
      </c>
      <c r="M106" s="11">
        <v>10</v>
      </c>
      <c r="N106" s="13">
        <v>42524</v>
      </c>
      <c r="O106" s="11">
        <v>2</v>
      </c>
      <c r="P106" s="11">
        <v>11</v>
      </c>
      <c r="Q106" s="13">
        <f>K106+N106</f>
        <v>73574.44</v>
      </c>
      <c r="R106" s="11">
        <f>L106+O106</f>
        <v>4</v>
      </c>
      <c r="S106" s="11">
        <f>M106+P106</f>
        <v>21</v>
      </c>
      <c r="T106" s="8">
        <f>I106-Q106</f>
        <v>-46409.270000000004</v>
      </c>
      <c r="U106" s="18">
        <v>6.7150598868508188E-2</v>
      </c>
      <c r="V106" s="11">
        <v>0.31</v>
      </c>
      <c r="W106" s="11">
        <v>18</v>
      </c>
      <c r="X106" s="11">
        <v>40</v>
      </c>
      <c r="Y106" s="11">
        <v>15</v>
      </c>
      <c r="Z106" t="s">
        <v>7</v>
      </c>
    </row>
    <row r="107" spans="1:26" x14ac:dyDescent="0.25">
      <c r="A107" s="20" t="s">
        <v>270</v>
      </c>
      <c r="B107" s="20" t="s">
        <v>270</v>
      </c>
      <c r="C107" s="20" t="s">
        <v>272</v>
      </c>
      <c r="D107" s="20" t="s">
        <v>216</v>
      </c>
      <c r="E107" s="13">
        <v>110346.81</v>
      </c>
      <c r="F107" s="11">
        <v>3</v>
      </c>
      <c r="G107" s="13">
        <v>102601.33</v>
      </c>
      <c r="H107" s="11">
        <v>1</v>
      </c>
      <c r="I107" s="13">
        <f>E107+G107</f>
        <v>212948.14</v>
      </c>
      <c r="J107" s="11">
        <f>F107+H107</f>
        <v>4</v>
      </c>
      <c r="K107" s="13">
        <v>93634.64</v>
      </c>
      <c r="L107" s="11">
        <v>0</v>
      </c>
      <c r="M107" s="11">
        <v>20</v>
      </c>
      <c r="N107" s="13">
        <v>87970.84</v>
      </c>
      <c r="O107" s="11">
        <v>2</v>
      </c>
      <c r="P107" s="11">
        <v>22</v>
      </c>
      <c r="Q107" s="13">
        <f>K107+N107</f>
        <v>181605.47999999998</v>
      </c>
      <c r="R107" s="11">
        <f>L107+O107</f>
        <v>2</v>
      </c>
      <c r="S107" s="11">
        <f>M107+P107</f>
        <v>42</v>
      </c>
      <c r="T107" s="8">
        <f>I107-Q107</f>
        <v>31342.660000000033</v>
      </c>
      <c r="U107" s="18">
        <v>0.28592947255474543</v>
      </c>
      <c r="V107" s="11">
        <v>0.23</v>
      </c>
      <c r="W107" s="11">
        <v>45</v>
      </c>
      <c r="X107" s="11">
        <v>148</v>
      </c>
      <c r="Y107" s="11">
        <v>25</v>
      </c>
      <c r="Z107" t="s">
        <v>7</v>
      </c>
    </row>
    <row r="108" spans="1:26" x14ac:dyDescent="0.25">
      <c r="A108" s="20" t="s">
        <v>280</v>
      </c>
      <c r="B108" s="20" t="s">
        <v>58</v>
      </c>
      <c r="C108" s="20" t="s">
        <v>281</v>
      </c>
      <c r="D108" s="20" t="s">
        <v>216</v>
      </c>
      <c r="E108" s="13">
        <v>6109</v>
      </c>
      <c r="F108" s="11">
        <v>0</v>
      </c>
      <c r="G108" s="13">
        <v>3000</v>
      </c>
      <c r="H108" s="11">
        <v>0</v>
      </c>
      <c r="I108" s="13">
        <f>E108+G108</f>
        <v>9109</v>
      </c>
      <c r="J108" s="11">
        <f>F108+H108</f>
        <v>0</v>
      </c>
      <c r="K108" s="13">
        <v>6415</v>
      </c>
      <c r="L108" s="11">
        <v>0</v>
      </c>
      <c r="M108" s="11">
        <v>0</v>
      </c>
      <c r="N108" s="13">
        <v>5120</v>
      </c>
      <c r="O108" s="11">
        <v>0</v>
      </c>
      <c r="P108" s="11">
        <v>0</v>
      </c>
      <c r="Q108" s="13">
        <f>K108+N108</f>
        <v>11535</v>
      </c>
      <c r="R108" s="11">
        <f>L108+O108</f>
        <v>0</v>
      </c>
      <c r="S108" s="11">
        <f>M108+P108</f>
        <v>0</v>
      </c>
      <c r="T108" s="8">
        <f>I108-Q108</f>
        <v>-2426</v>
      </c>
      <c r="U108" s="18">
        <v>0.22642939803673687</v>
      </c>
      <c r="V108" s="11">
        <v>0</v>
      </c>
      <c r="W108" s="11">
        <v>0</v>
      </c>
      <c r="X108" s="11">
        <v>1</v>
      </c>
      <c r="Y108" s="11">
        <v>0</v>
      </c>
      <c r="Z108" t="s">
        <v>7</v>
      </c>
    </row>
    <row r="109" spans="1:26" x14ac:dyDescent="0.25">
      <c r="A109" s="20" t="s">
        <v>282</v>
      </c>
      <c r="B109" s="20" t="s">
        <v>3588</v>
      </c>
      <c r="C109" s="20" t="s">
        <v>3600</v>
      </c>
      <c r="D109" s="20" t="s">
        <v>215</v>
      </c>
      <c r="E109" s="13">
        <v>5901.38</v>
      </c>
      <c r="F109" s="11">
        <v>0</v>
      </c>
      <c r="G109" s="13">
        <v>0</v>
      </c>
      <c r="H109" s="11">
        <v>0</v>
      </c>
      <c r="I109" s="13">
        <f>E109+G109</f>
        <v>5901.38</v>
      </c>
      <c r="J109" s="11">
        <f>F109+H109</f>
        <v>0</v>
      </c>
      <c r="K109" s="13">
        <v>71616.899999999994</v>
      </c>
      <c r="L109" s="11">
        <v>1</v>
      </c>
      <c r="M109" s="11">
        <v>5</v>
      </c>
      <c r="N109" s="13">
        <v>81257.33</v>
      </c>
      <c r="O109" s="11">
        <v>7</v>
      </c>
      <c r="P109" s="11">
        <v>15</v>
      </c>
      <c r="Q109" s="13">
        <f>K109+N109</f>
        <v>152874.22999999998</v>
      </c>
      <c r="R109" s="11">
        <f>L109+O109</f>
        <v>8</v>
      </c>
      <c r="S109" s="11">
        <f>M109+P109</f>
        <v>20</v>
      </c>
      <c r="T109" s="8">
        <f>I109-Q109</f>
        <v>-146972.84999999998</v>
      </c>
      <c r="U109" s="18" t="s">
        <v>1803</v>
      </c>
      <c r="V109" s="11">
        <v>0.32</v>
      </c>
      <c r="W109" s="11">
        <v>13</v>
      </c>
      <c r="X109" s="11">
        <v>28</v>
      </c>
      <c r="Y109" s="11">
        <v>7</v>
      </c>
      <c r="Z109" t="s">
        <v>7</v>
      </c>
    </row>
    <row r="110" spans="1:26" x14ac:dyDescent="0.25">
      <c r="A110" s="20" t="s">
        <v>252</v>
      </c>
      <c r="B110" s="20" t="s">
        <v>252</v>
      </c>
      <c r="C110" s="20" t="s">
        <v>284</v>
      </c>
      <c r="D110" s="20" t="s">
        <v>216</v>
      </c>
      <c r="E110" s="13">
        <v>49096.66</v>
      </c>
      <c r="F110" s="11">
        <v>2</v>
      </c>
      <c r="G110" s="13">
        <v>12165.13</v>
      </c>
      <c r="H110" s="11">
        <v>0</v>
      </c>
      <c r="I110" s="13">
        <f>E110+G110</f>
        <v>61261.79</v>
      </c>
      <c r="J110" s="11">
        <f>F110+H110</f>
        <v>2</v>
      </c>
      <c r="K110" s="13">
        <v>58257.87</v>
      </c>
      <c r="L110" s="11">
        <v>0</v>
      </c>
      <c r="M110" s="11">
        <v>2</v>
      </c>
      <c r="N110" s="13">
        <v>35815</v>
      </c>
      <c r="O110" s="11">
        <v>0</v>
      </c>
      <c r="P110" s="11">
        <v>12</v>
      </c>
      <c r="Q110" s="13">
        <f>K110+N110</f>
        <v>94072.87</v>
      </c>
      <c r="R110" s="11">
        <f>L110+O110</f>
        <v>0</v>
      </c>
      <c r="S110" s="11">
        <f>M110+P110</f>
        <v>14</v>
      </c>
      <c r="T110" s="8">
        <f>I110-Q110</f>
        <v>-32811.079999999994</v>
      </c>
      <c r="U110" s="18">
        <v>0.31539075278875389</v>
      </c>
      <c r="V110" s="11">
        <v>0.33</v>
      </c>
      <c r="W110" s="11">
        <v>16</v>
      </c>
      <c r="X110" s="11">
        <v>32</v>
      </c>
      <c r="Y110" s="11">
        <v>3</v>
      </c>
      <c r="Z110" t="s">
        <v>7</v>
      </c>
    </row>
    <row r="111" spans="1:26" x14ac:dyDescent="0.25">
      <c r="A111" s="20" t="s">
        <v>287</v>
      </c>
      <c r="B111" s="20" t="s">
        <v>60</v>
      </c>
      <c r="C111" s="20" t="s">
        <v>288</v>
      </c>
      <c r="D111" s="20" t="s">
        <v>216</v>
      </c>
      <c r="E111" s="13">
        <v>-40.07</v>
      </c>
      <c r="F111" s="11">
        <v>0</v>
      </c>
      <c r="G111" s="13">
        <v>40277.089999999997</v>
      </c>
      <c r="H111" s="11">
        <v>0</v>
      </c>
      <c r="I111" s="13">
        <f>E111+G111</f>
        <v>40237.019999999997</v>
      </c>
      <c r="J111" s="11">
        <f>F111+H111</f>
        <v>0</v>
      </c>
      <c r="K111" s="13">
        <v>1870.22</v>
      </c>
      <c r="L111" s="11">
        <v>0</v>
      </c>
      <c r="M111" s="11">
        <v>0</v>
      </c>
      <c r="N111" s="13">
        <v>39126.199999999997</v>
      </c>
      <c r="O111" s="11">
        <v>1</v>
      </c>
      <c r="P111" s="11">
        <v>4</v>
      </c>
      <c r="Q111" s="13">
        <f>K111+N111</f>
        <v>40996.42</v>
      </c>
      <c r="R111" s="11">
        <f>L111+O111</f>
        <v>1</v>
      </c>
      <c r="S111" s="11">
        <f>M111+P111</f>
        <v>4</v>
      </c>
      <c r="T111" s="8">
        <f>I111-Q111</f>
        <v>-759.40000000000146</v>
      </c>
      <c r="U111" s="18">
        <v>3.0729595822785911E-2</v>
      </c>
      <c r="V111" s="11">
        <v>0.33</v>
      </c>
      <c r="W111" s="11">
        <v>3</v>
      </c>
      <c r="X111" s="11">
        <v>6</v>
      </c>
      <c r="Y111" s="11">
        <v>0</v>
      </c>
      <c r="Z111" t="s">
        <v>7</v>
      </c>
    </row>
    <row r="112" spans="1:26" x14ac:dyDescent="0.25">
      <c r="A112" s="20" t="s">
        <v>2636</v>
      </c>
      <c r="B112" s="20" t="s">
        <v>91</v>
      </c>
      <c r="C112" s="20" t="s">
        <v>3409</v>
      </c>
      <c r="D112" s="20" t="s">
        <v>216</v>
      </c>
      <c r="E112" s="13">
        <v>0</v>
      </c>
      <c r="F112" s="11">
        <v>0</v>
      </c>
      <c r="G112" s="13">
        <v>6683</v>
      </c>
      <c r="H112" s="11">
        <v>1</v>
      </c>
      <c r="I112" s="13">
        <f>E112+G112</f>
        <v>6683</v>
      </c>
      <c r="J112" s="11">
        <f>F112+H112</f>
        <v>1</v>
      </c>
      <c r="K112" s="13">
        <v>0</v>
      </c>
      <c r="L112" s="11">
        <v>0</v>
      </c>
      <c r="M112" s="11">
        <v>0</v>
      </c>
      <c r="N112" s="13">
        <v>0</v>
      </c>
      <c r="O112" s="11">
        <v>0</v>
      </c>
      <c r="P112" s="11">
        <v>0</v>
      </c>
      <c r="Q112" s="13">
        <f>K112+N112</f>
        <v>0</v>
      </c>
      <c r="R112" s="11">
        <f>L112+O112</f>
        <v>0</v>
      </c>
      <c r="S112" s="11">
        <f>M112+P112</f>
        <v>0</v>
      </c>
      <c r="T112" s="8">
        <f>I112-Q112</f>
        <v>6683</v>
      </c>
      <c r="U112" s="18">
        <v>0.17563871904328796</v>
      </c>
      <c r="V112" s="11">
        <v>0.5</v>
      </c>
      <c r="W112" s="11">
        <v>1</v>
      </c>
      <c r="X112" s="11">
        <v>1</v>
      </c>
      <c r="Y112" s="11">
        <v>2</v>
      </c>
      <c r="Z112" t="s">
        <v>7</v>
      </c>
    </row>
    <row r="113" spans="1:26" x14ac:dyDescent="0.25">
      <c r="A113" s="20" t="s">
        <v>289</v>
      </c>
      <c r="B113" s="20" t="s">
        <v>60</v>
      </c>
      <c r="C113" s="20" t="s">
        <v>290</v>
      </c>
      <c r="D113" s="20" t="s">
        <v>216</v>
      </c>
      <c r="E113" s="13">
        <v>23651</v>
      </c>
      <c r="F113" s="11">
        <v>0</v>
      </c>
      <c r="G113" s="13">
        <v>51302.33</v>
      </c>
      <c r="H113" s="11">
        <v>1</v>
      </c>
      <c r="I113" s="13">
        <f>E113+G113</f>
        <v>74953.33</v>
      </c>
      <c r="J113" s="11">
        <f>F113+H113</f>
        <v>1</v>
      </c>
      <c r="K113" s="13">
        <v>25795.98</v>
      </c>
      <c r="L113" s="11">
        <v>0</v>
      </c>
      <c r="M113" s="11">
        <v>0</v>
      </c>
      <c r="N113" s="13">
        <v>45857.64</v>
      </c>
      <c r="O113" s="11">
        <v>1</v>
      </c>
      <c r="P113" s="11">
        <v>5</v>
      </c>
      <c r="Q113" s="13">
        <f>K113+N113</f>
        <v>71653.62</v>
      </c>
      <c r="R113" s="11">
        <f>L113+O113</f>
        <v>1</v>
      </c>
      <c r="S113" s="11">
        <f>M113+P113</f>
        <v>5</v>
      </c>
      <c r="T113" s="8">
        <f>I113-Q113</f>
        <v>3299.7100000000064</v>
      </c>
      <c r="U113" s="18">
        <v>0.11327346359196873</v>
      </c>
      <c r="V113" s="11">
        <v>0.16</v>
      </c>
      <c r="W113" s="11">
        <v>5</v>
      </c>
      <c r="X113" s="11">
        <v>26</v>
      </c>
      <c r="Y113" s="11">
        <v>6</v>
      </c>
      <c r="Z113" t="s">
        <v>7</v>
      </c>
    </row>
    <row r="114" spans="1:26" x14ac:dyDescent="0.25">
      <c r="A114" s="20" t="s">
        <v>291</v>
      </c>
      <c r="B114" s="20" t="s">
        <v>3096</v>
      </c>
      <c r="C114" s="20" t="s">
        <v>292</v>
      </c>
      <c r="D114" s="20" t="s">
        <v>216</v>
      </c>
      <c r="E114" s="13">
        <v>17415</v>
      </c>
      <c r="F114" s="11">
        <v>1</v>
      </c>
      <c r="G114" s="13">
        <v>6076</v>
      </c>
      <c r="H114" s="11">
        <v>0</v>
      </c>
      <c r="I114" s="13">
        <f>E114+G114</f>
        <v>23491</v>
      </c>
      <c r="J114" s="11">
        <f>F114+H114</f>
        <v>1</v>
      </c>
      <c r="K114" s="13">
        <v>19408</v>
      </c>
      <c r="L114" s="11">
        <v>0</v>
      </c>
      <c r="M114" s="11">
        <v>0</v>
      </c>
      <c r="N114" s="13">
        <v>11206.5</v>
      </c>
      <c r="O114" s="11">
        <v>0</v>
      </c>
      <c r="P114" s="11">
        <v>0</v>
      </c>
      <c r="Q114" s="13">
        <f>K114+N114</f>
        <v>30614.5</v>
      </c>
      <c r="R114" s="11">
        <f>L114+O114</f>
        <v>0</v>
      </c>
      <c r="S114" s="11">
        <f>M114+P114</f>
        <v>0</v>
      </c>
      <c r="T114" s="8">
        <f>I114-Q114</f>
        <v>-7123.5</v>
      </c>
      <c r="U114" s="18">
        <v>5.6287164714747422E-2</v>
      </c>
      <c r="V114" s="11">
        <v>0</v>
      </c>
      <c r="W114" s="11">
        <v>1</v>
      </c>
      <c r="X114" s="11"/>
      <c r="Y114" s="11">
        <v>0</v>
      </c>
      <c r="Z114" t="s">
        <v>7</v>
      </c>
    </row>
    <row r="115" spans="1:26" x14ac:dyDescent="0.25">
      <c r="A115" s="20" t="s">
        <v>245</v>
      </c>
      <c r="B115" s="20" t="s">
        <v>245</v>
      </c>
      <c r="C115" s="20" t="s">
        <v>293</v>
      </c>
      <c r="D115" s="20" t="s">
        <v>216</v>
      </c>
      <c r="E115" s="13">
        <v>12972</v>
      </c>
      <c r="F115" s="11">
        <v>0</v>
      </c>
      <c r="G115" s="13">
        <v>18220</v>
      </c>
      <c r="H115" s="11">
        <v>0</v>
      </c>
      <c r="I115" s="13">
        <f>E115+G115</f>
        <v>31192</v>
      </c>
      <c r="J115" s="11">
        <f>F115+H115</f>
        <v>0</v>
      </c>
      <c r="K115" s="13">
        <v>7302</v>
      </c>
      <c r="L115" s="11">
        <v>0</v>
      </c>
      <c r="M115" s="11">
        <v>0</v>
      </c>
      <c r="N115" s="13">
        <v>20460</v>
      </c>
      <c r="O115" s="11">
        <v>0</v>
      </c>
      <c r="P115" s="11">
        <v>1</v>
      </c>
      <c r="Q115" s="13">
        <f>K115+N115</f>
        <v>27762</v>
      </c>
      <c r="R115" s="11">
        <f>L115+O115</f>
        <v>0</v>
      </c>
      <c r="S115" s="11">
        <f>M115+P115</f>
        <v>1</v>
      </c>
      <c r="T115" s="8">
        <f>I115-Q115</f>
        <v>3430</v>
      </c>
      <c r="U115" s="18">
        <v>9.2176985418976592E-2</v>
      </c>
      <c r="V115" s="11">
        <v>0.5</v>
      </c>
      <c r="W115" s="11">
        <v>1</v>
      </c>
      <c r="X115" s="11">
        <v>1</v>
      </c>
      <c r="Y115" s="11">
        <v>0</v>
      </c>
      <c r="Z115" t="s">
        <v>7</v>
      </c>
    </row>
    <row r="116" spans="1:26" x14ac:dyDescent="0.25">
      <c r="A116" s="20" t="s">
        <v>296</v>
      </c>
      <c r="B116" s="20" t="s">
        <v>225</v>
      </c>
      <c r="C116" s="20" t="s">
        <v>297</v>
      </c>
      <c r="D116" s="20" t="s">
        <v>216</v>
      </c>
      <c r="E116" s="13">
        <v>15274</v>
      </c>
      <c r="F116" s="11">
        <v>0</v>
      </c>
      <c r="G116" s="13">
        <v>-3166.73</v>
      </c>
      <c r="H116" s="11">
        <v>0</v>
      </c>
      <c r="I116" s="13">
        <f>E116+G116</f>
        <v>12107.27</v>
      </c>
      <c r="J116" s="11">
        <f>F116+H116</f>
        <v>0</v>
      </c>
      <c r="K116" s="13">
        <v>14390.86</v>
      </c>
      <c r="L116" s="11">
        <v>0</v>
      </c>
      <c r="M116" s="11">
        <v>0</v>
      </c>
      <c r="N116" s="13">
        <v>0</v>
      </c>
      <c r="O116" s="11">
        <v>0</v>
      </c>
      <c r="P116" s="11">
        <v>1</v>
      </c>
      <c r="Q116" s="13">
        <f>K116+N116</f>
        <v>14390.86</v>
      </c>
      <c r="R116" s="11">
        <f>L116+O116</f>
        <v>0</v>
      </c>
      <c r="S116" s="11">
        <f>M116+P116</f>
        <v>1</v>
      </c>
      <c r="T116" s="8">
        <f>I116-Q116</f>
        <v>-2283.59</v>
      </c>
      <c r="U116" s="18">
        <v>3.8821762730332772E-3</v>
      </c>
      <c r="V116" s="11">
        <v>0.5</v>
      </c>
      <c r="W116" s="11">
        <v>1</v>
      </c>
      <c r="X116" s="11">
        <v>1</v>
      </c>
      <c r="Y116" s="11">
        <v>0</v>
      </c>
      <c r="Z116" t="s">
        <v>7</v>
      </c>
    </row>
    <row r="117" spans="1:26" x14ac:dyDescent="0.25">
      <c r="A117" s="20" t="s">
        <v>298</v>
      </c>
      <c r="B117" s="20" t="s">
        <v>91</v>
      </c>
      <c r="C117" s="20" t="s">
        <v>299</v>
      </c>
      <c r="D117" s="20" t="s">
        <v>216</v>
      </c>
      <c r="E117" s="13">
        <v>0</v>
      </c>
      <c r="F117" s="11">
        <v>0</v>
      </c>
      <c r="G117" s="13">
        <v>0</v>
      </c>
      <c r="H117" s="11">
        <v>0</v>
      </c>
      <c r="I117" s="13">
        <f>E117+G117</f>
        <v>0</v>
      </c>
      <c r="J117" s="11">
        <f>F117+H117</f>
        <v>0</v>
      </c>
      <c r="K117" s="13">
        <v>0</v>
      </c>
      <c r="L117" s="11">
        <v>0</v>
      </c>
      <c r="M117" s="11">
        <v>0</v>
      </c>
      <c r="N117" s="13">
        <v>0</v>
      </c>
      <c r="O117" s="11">
        <v>0</v>
      </c>
      <c r="P117" s="11">
        <v>2</v>
      </c>
      <c r="Q117" s="13">
        <f>K117+N117</f>
        <v>0</v>
      </c>
      <c r="R117" s="11">
        <f>L117+O117</f>
        <v>0</v>
      </c>
      <c r="S117" s="11">
        <f>M117+P117</f>
        <v>2</v>
      </c>
      <c r="T117" s="8">
        <f>I117-Q117</f>
        <v>0</v>
      </c>
      <c r="U117" s="18">
        <v>-4.0716929828649231E-2</v>
      </c>
      <c r="V117" s="11">
        <v>0.4</v>
      </c>
      <c r="W117" s="11">
        <v>2</v>
      </c>
      <c r="X117" s="11">
        <v>3</v>
      </c>
      <c r="Y117" s="11">
        <v>1</v>
      </c>
      <c r="Z117" t="s">
        <v>7</v>
      </c>
    </row>
    <row r="118" spans="1:26" x14ac:dyDescent="0.25">
      <c r="A118" s="20" t="s">
        <v>300</v>
      </c>
      <c r="B118" s="20" t="s">
        <v>91</v>
      </c>
      <c r="C118" s="20" t="s">
        <v>301</v>
      </c>
      <c r="D118" s="20" t="s">
        <v>216</v>
      </c>
      <c r="E118" s="13">
        <v>807.37</v>
      </c>
      <c r="F118" s="11">
        <v>0</v>
      </c>
      <c r="G118" s="13">
        <v>0</v>
      </c>
      <c r="H118" s="11">
        <v>0</v>
      </c>
      <c r="I118" s="13">
        <f>E118+G118</f>
        <v>807.37</v>
      </c>
      <c r="J118" s="11">
        <f>F118+H118</f>
        <v>0</v>
      </c>
      <c r="K118" s="13">
        <v>2971.8</v>
      </c>
      <c r="L118" s="11">
        <v>0</v>
      </c>
      <c r="M118" s="11">
        <v>0</v>
      </c>
      <c r="N118" s="13">
        <v>1789.52</v>
      </c>
      <c r="O118" s="11">
        <v>0</v>
      </c>
      <c r="P118" s="11">
        <v>2</v>
      </c>
      <c r="Q118" s="13">
        <f>K118+N118</f>
        <v>4761.32</v>
      </c>
      <c r="R118" s="11">
        <f>L118+O118</f>
        <v>0</v>
      </c>
      <c r="S118" s="11">
        <f>M118+P118</f>
        <v>2</v>
      </c>
      <c r="T118" s="8">
        <f>I118-Q118</f>
        <v>-3953.95</v>
      </c>
      <c r="U118" s="18">
        <v>1.0477925548165576</v>
      </c>
      <c r="V118" s="11">
        <v>0.2</v>
      </c>
      <c r="W118" s="11">
        <v>2</v>
      </c>
      <c r="X118" s="11">
        <v>8</v>
      </c>
      <c r="Y118" s="11">
        <v>2</v>
      </c>
      <c r="Z118" t="s">
        <v>7</v>
      </c>
    </row>
    <row r="119" spans="1:26" x14ac:dyDescent="0.25">
      <c r="A119" s="20" t="s">
        <v>303</v>
      </c>
      <c r="B119" s="20" t="s">
        <v>91</v>
      </c>
      <c r="C119" s="20" t="s">
        <v>304</v>
      </c>
      <c r="D119" s="20" t="s">
        <v>216</v>
      </c>
      <c r="E119" s="13">
        <v>46807.37</v>
      </c>
      <c r="F119" s="11">
        <v>0</v>
      </c>
      <c r="G119" s="13">
        <v>1644</v>
      </c>
      <c r="H119" s="11">
        <v>1</v>
      </c>
      <c r="I119" s="13">
        <f>E119+G119</f>
        <v>48451.37</v>
      </c>
      <c r="J119" s="11">
        <f>F119+H119</f>
        <v>1</v>
      </c>
      <c r="K119" s="13">
        <v>46276.59</v>
      </c>
      <c r="L119" s="11">
        <v>0</v>
      </c>
      <c r="M119" s="11">
        <v>1</v>
      </c>
      <c r="N119" s="13">
        <v>0</v>
      </c>
      <c r="O119" s="11">
        <v>0</v>
      </c>
      <c r="P119" s="11">
        <v>0</v>
      </c>
      <c r="Q119" s="13">
        <f>K119+N119</f>
        <v>46276.59</v>
      </c>
      <c r="R119" s="11">
        <f>L119+O119</f>
        <v>0</v>
      </c>
      <c r="S119" s="11">
        <f>M119+P119</f>
        <v>1</v>
      </c>
      <c r="T119" s="8">
        <f>I119-Q119</f>
        <v>2174.7800000000061</v>
      </c>
      <c r="U119" s="18">
        <v>7.4817234113445971E-2</v>
      </c>
      <c r="V119" s="11">
        <v>0.22</v>
      </c>
      <c r="W119" s="11">
        <v>2</v>
      </c>
      <c r="X119" s="11">
        <v>7</v>
      </c>
      <c r="Y119" s="11">
        <v>3</v>
      </c>
      <c r="Z119" t="s">
        <v>7</v>
      </c>
    </row>
    <row r="120" spans="1:26" x14ac:dyDescent="0.25">
      <c r="A120" s="20" t="s">
        <v>305</v>
      </c>
      <c r="B120" s="20" t="s">
        <v>124</v>
      </c>
      <c r="C120" s="20" t="s">
        <v>306</v>
      </c>
      <c r="D120" s="20" t="s">
        <v>216</v>
      </c>
      <c r="E120" s="13">
        <v>0</v>
      </c>
      <c r="F120" s="11">
        <v>0</v>
      </c>
      <c r="G120" s="13">
        <v>0</v>
      </c>
      <c r="H120" s="11">
        <v>0</v>
      </c>
      <c r="I120" s="13">
        <f>E120+G120</f>
        <v>0</v>
      </c>
      <c r="J120" s="11">
        <f>F120+H120</f>
        <v>0</v>
      </c>
      <c r="K120" s="13">
        <v>0</v>
      </c>
      <c r="L120" s="11">
        <v>0</v>
      </c>
      <c r="M120" s="11">
        <v>0</v>
      </c>
      <c r="N120" s="13">
        <v>-2658.08</v>
      </c>
      <c r="O120" s="11">
        <v>0</v>
      </c>
      <c r="P120" s="11">
        <v>1</v>
      </c>
      <c r="Q120" s="13">
        <f>K120+N120</f>
        <v>-2658.08</v>
      </c>
      <c r="R120" s="11">
        <f>L120+O120</f>
        <v>0</v>
      </c>
      <c r="S120" s="11">
        <f>M120+P120</f>
        <v>1</v>
      </c>
      <c r="T120" s="8">
        <f>I120-Q120</f>
        <v>2658.08</v>
      </c>
      <c r="U120" s="18">
        <v>3.6838819096427819E-2</v>
      </c>
      <c r="V120" s="11">
        <v>0.17</v>
      </c>
      <c r="W120" s="11">
        <v>1</v>
      </c>
      <c r="X120" s="11">
        <v>5</v>
      </c>
      <c r="Y120" s="11">
        <v>0</v>
      </c>
      <c r="Z120" t="s">
        <v>7</v>
      </c>
    </row>
    <row r="121" spans="1:26" x14ac:dyDescent="0.25">
      <c r="A121" s="20" t="s">
        <v>307</v>
      </c>
      <c r="B121" s="20" t="s">
        <v>124</v>
      </c>
      <c r="C121" s="20" t="s">
        <v>308</v>
      </c>
      <c r="D121" s="20" t="s">
        <v>216</v>
      </c>
      <c r="E121" s="13">
        <v>0</v>
      </c>
      <c r="F121" s="11">
        <v>0</v>
      </c>
      <c r="G121" s="13">
        <v>3407</v>
      </c>
      <c r="H121" s="11">
        <v>0</v>
      </c>
      <c r="I121" s="13">
        <f>E121+G121</f>
        <v>3407</v>
      </c>
      <c r="J121" s="11">
        <f>F121+H121</f>
        <v>0</v>
      </c>
      <c r="K121" s="13">
        <v>0</v>
      </c>
      <c r="L121" s="11">
        <v>0</v>
      </c>
      <c r="M121" s="11">
        <v>0</v>
      </c>
      <c r="N121" s="13">
        <v>3407</v>
      </c>
      <c r="O121" s="11">
        <v>0</v>
      </c>
      <c r="P121" s="11">
        <v>0</v>
      </c>
      <c r="Q121" s="13">
        <f>K121+N121</f>
        <v>3407</v>
      </c>
      <c r="R121" s="11">
        <f>L121+O121</f>
        <v>0</v>
      </c>
      <c r="S121" s="11">
        <f>M121+P121</f>
        <v>0</v>
      </c>
      <c r="T121" s="8">
        <f>I121-Q121</f>
        <v>0</v>
      </c>
      <c r="U121" s="18">
        <v>-6.271477653079803E-2</v>
      </c>
      <c r="V121" s="11">
        <v>0</v>
      </c>
      <c r="W121" s="11">
        <v>0</v>
      </c>
      <c r="X121" s="11">
        <v>1</v>
      </c>
      <c r="Y121" s="11">
        <v>0</v>
      </c>
      <c r="Z121" t="s">
        <v>7</v>
      </c>
    </row>
    <row r="122" spans="1:26" x14ac:dyDescent="0.25">
      <c r="A122" s="20" t="s">
        <v>309</v>
      </c>
      <c r="B122" s="20" t="s">
        <v>124</v>
      </c>
      <c r="C122" s="20" t="s">
        <v>310</v>
      </c>
      <c r="D122" s="20" t="s">
        <v>216</v>
      </c>
      <c r="E122" s="13">
        <v>0</v>
      </c>
      <c r="F122" s="11">
        <v>0</v>
      </c>
      <c r="G122" s="13">
        <v>0</v>
      </c>
      <c r="H122" s="11">
        <v>0</v>
      </c>
      <c r="I122" s="13">
        <f>E122+G122</f>
        <v>0</v>
      </c>
      <c r="J122" s="11">
        <f>F122+H122</f>
        <v>0</v>
      </c>
      <c r="K122" s="13">
        <v>0</v>
      </c>
      <c r="L122" s="11">
        <v>0</v>
      </c>
      <c r="M122" s="11">
        <v>2</v>
      </c>
      <c r="N122" s="13">
        <v>0</v>
      </c>
      <c r="O122" s="11">
        <v>0</v>
      </c>
      <c r="P122" s="11">
        <v>0</v>
      </c>
      <c r="Q122" s="13">
        <f>K122+N122</f>
        <v>0</v>
      </c>
      <c r="R122" s="11">
        <f>L122+O122</f>
        <v>0</v>
      </c>
      <c r="S122" s="11">
        <f>M122+P122</f>
        <v>2</v>
      </c>
      <c r="T122" s="8">
        <f>I122-Q122</f>
        <v>0</v>
      </c>
      <c r="U122" s="18">
        <v>0.1259754251197272</v>
      </c>
      <c r="V122" s="11">
        <v>0.4</v>
      </c>
      <c r="W122" s="11">
        <v>2</v>
      </c>
      <c r="X122" s="11">
        <v>3</v>
      </c>
      <c r="Y122" s="11">
        <v>0</v>
      </c>
      <c r="Z122" t="s">
        <v>7</v>
      </c>
    </row>
    <row r="123" spans="1:26" x14ac:dyDescent="0.25">
      <c r="A123" s="20" t="s">
        <v>311</v>
      </c>
      <c r="B123" s="20" t="s">
        <v>260</v>
      </c>
      <c r="C123" s="20" t="s">
        <v>286</v>
      </c>
      <c r="D123" s="20" t="s">
        <v>215</v>
      </c>
      <c r="E123" s="13">
        <v>0</v>
      </c>
      <c r="F123" s="11">
        <v>0</v>
      </c>
      <c r="G123" s="13">
        <v>0</v>
      </c>
      <c r="H123" s="11">
        <v>0</v>
      </c>
      <c r="I123" s="13">
        <f>E123+G123</f>
        <v>0</v>
      </c>
      <c r="J123" s="11">
        <f>F123+H123</f>
        <v>0</v>
      </c>
      <c r="K123" s="13">
        <v>3850</v>
      </c>
      <c r="L123" s="11">
        <v>0</v>
      </c>
      <c r="M123" s="11">
        <v>1</v>
      </c>
      <c r="N123" s="13">
        <v>0</v>
      </c>
      <c r="O123" s="11">
        <v>0</v>
      </c>
      <c r="P123" s="11">
        <v>0</v>
      </c>
      <c r="Q123" s="13">
        <f>K123+N123</f>
        <v>3850</v>
      </c>
      <c r="R123" s="11">
        <f>L123+O123</f>
        <v>0</v>
      </c>
      <c r="S123" s="11">
        <f>M123+P123</f>
        <v>1</v>
      </c>
      <c r="T123" s="8">
        <f>I123-Q123</f>
        <v>-3850</v>
      </c>
      <c r="U123" s="18" t="s">
        <v>1803</v>
      </c>
      <c r="V123" s="11">
        <v>0.5</v>
      </c>
      <c r="W123" s="11">
        <v>1</v>
      </c>
      <c r="X123" s="11">
        <v>1</v>
      </c>
      <c r="Y123" s="11">
        <v>4</v>
      </c>
      <c r="Z123" t="s">
        <v>7</v>
      </c>
    </row>
    <row r="124" spans="1:26" x14ac:dyDescent="0.25">
      <c r="A124" s="20" t="s">
        <v>316</v>
      </c>
      <c r="B124" s="20" t="s">
        <v>237</v>
      </c>
      <c r="C124" s="20" t="s">
        <v>317</v>
      </c>
      <c r="D124" s="20" t="s">
        <v>216</v>
      </c>
      <c r="E124" s="13">
        <v>0</v>
      </c>
      <c r="F124" s="11">
        <v>0</v>
      </c>
      <c r="G124" s="13">
        <v>0</v>
      </c>
      <c r="H124" s="11">
        <v>0</v>
      </c>
      <c r="I124" s="13">
        <f>E124+G124</f>
        <v>0</v>
      </c>
      <c r="J124" s="11">
        <f>F124+H124</f>
        <v>0</v>
      </c>
      <c r="K124" s="13">
        <v>0</v>
      </c>
      <c r="L124" s="11">
        <v>0</v>
      </c>
      <c r="M124" s="11">
        <v>0</v>
      </c>
      <c r="N124" s="13">
        <v>0</v>
      </c>
      <c r="O124" s="11">
        <v>0</v>
      </c>
      <c r="P124" s="11">
        <v>0</v>
      </c>
      <c r="Q124" s="13">
        <f>K124+N124</f>
        <v>0</v>
      </c>
      <c r="R124" s="11">
        <f>L124+O124</f>
        <v>0</v>
      </c>
      <c r="S124" s="11">
        <f>M124+P124</f>
        <v>0</v>
      </c>
      <c r="T124" s="8">
        <f>I124-Q124</f>
        <v>0</v>
      </c>
      <c r="U124" s="18">
        <v>-9.7318012691371327E-3</v>
      </c>
      <c r="V124" s="11">
        <v>0</v>
      </c>
      <c r="W124" s="11">
        <v>0</v>
      </c>
      <c r="X124" s="11">
        <v>0</v>
      </c>
      <c r="Y124" s="11">
        <v>0</v>
      </c>
      <c r="Z124" t="s">
        <v>7</v>
      </c>
    </row>
    <row r="125" spans="1:26" x14ac:dyDescent="0.25">
      <c r="A125" s="20" t="s">
        <v>319</v>
      </c>
      <c r="B125" s="20" t="s">
        <v>202</v>
      </c>
      <c r="C125" s="20" t="s">
        <v>320</v>
      </c>
      <c r="D125" s="20" t="s">
        <v>216</v>
      </c>
      <c r="E125" s="13">
        <v>0</v>
      </c>
      <c r="F125" s="11">
        <v>0</v>
      </c>
      <c r="G125" s="13">
        <v>0</v>
      </c>
      <c r="H125" s="11">
        <v>0</v>
      </c>
      <c r="I125" s="13">
        <f>E125+G125</f>
        <v>0</v>
      </c>
      <c r="J125" s="11">
        <f>F125+H125</f>
        <v>0</v>
      </c>
      <c r="K125" s="13">
        <v>0</v>
      </c>
      <c r="L125" s="11">
        <v>0</v>
      </c>
      <c r="M125" s="11">
        <v>0</v>
      </c>
      <c r="N125" s="13">
        <v>0</v>
      </c>
      <c r="O125" s="11">
        <v>0</v>
      </c>
      <c r="P125" s="11">
        <v>0</v>
      </c>
      <c r="Q125" s="13">
        <f>K125+N125</f>
        <v>0</v>
      </c>
      <c r="R125" s="11">
        <f>L125+O125</f>
        <v>0</v>
      </c>
      <c r="S125" s="11">
        <f>M125+P125</f>
        <v>0</v>
      </c>
      <c r="T125" s="8">
        <f>I125-Q125</f>
        <v>0</v>
      </c>
      <c r="U125" s="18">
        <v>-0.13499340454119801</v>
      </c>
      <c r="V125" s="11">
        <v>0</v>
      </c>
      <c r="W125" s="11">
        <v>0</v>
      </c>
      <c r="X125" s="11">
        <v>0</v>
      </c>
      <c r="Y125" s="11">
        <v>0</v>
      </c>
      <c r="Z125" t="s">
        <v>7</v>
      </c>
    </row>
    <row r="126" spans="1:26" x14ac:dyDescent="0.25">
      <c r="A126" s="20" t="s">
        <v>321</v>
      </c>
      <c r="B126" s="20" t="s">
        <v>321</v>
      </c>
      <c r="C126" s="20" t="s">
        <v>273</v>
      </c>
      <c r="D126" s="20" t="s">
        <v>216</v>
      </c>
      <c r="E126" s="13">
        <v>3013</v>
      </c>
      <c r="F126" s="11">
        <v>0</v>
      </c>
      <c r="G126" s="13">
        <v>5868.79</v>
      </c>
      <c r="H126" s="11">
        <v>0</v>
      </c>
      <c r="I126" s="13">
        <f>E126+G126</f>
        <v>8881.7900000000009</v>
      </c>
      <c r="J126" s="11">
        <f>F126+H126</f>
        <v>0</v>
      </c>
      <c r="K126" s="13">
        <v>2100.08</v>
      </c>
      <c r="L126" s="11">
        <v>0</v>
      </c>
      <c r="M126" s="11">
        <v>1</v>
      </c>
      <c r="N126" s="13">
        <v>10811.72</v>
      </c>
      <c r="O126" s="11">
        <v>0</v>
      </c>
      <c r="P126" s="11">
        <v>4</v>
      </c>
      <c r="Q126" s="13">
        <f>K126+N126</f>
        <v>12911.8</v>
      </c>
      <c r="R126" s="11">
        <f>L126+O126</f>
        <v>0</v>
      </c>
      <c r="S126" s="11">
        <f>M126+P126</f>
        <v>5</v>
      </c>
      <c r="T126" s="8">
        <f>I126-Q126</f>
        <v>-4030.0099999999984</v>
      </c>
      <c r="U126" s="18">
        <v>5.1193657933350845E-2</v>
      </c>
      <c r="V126" s="11">
        <v>0.25</v>
      </c>
      <c r="W126" s="11">
        <v>5</v>
      </c>
      <c r="X126" s="11">
        <v>15</v>
      </c>
      <c r="Y126" s="11">
        <v>2</v>
      </c>
      <c r="Z126" t="s">
        <v>7</v>
      </c>
    </row>
    <row r="127" spans="1:26" x14ac:dyDescent="0.25">
      <c r="A127" s="20" t="s">
        <v>225</v>
      </c>
      <c r="B127" s="20" t="s">
        <v>225</v>
      </c>
      <c r="C127" s="20" t="s">
        <v>325</v>
      </c>
      <c r="D127" s="20" t="s">
        <v>216</v>
      </c>
      <c r="E127" s="13">
        <v>0</v>
      </c>
      <c r="F127" s="11">
        <v>0</v>
      </c>
      <c r="G127" s="13">
        <v>0</v>
      </c>
      <c r="H127" s="11">
        <v>0</v>
      </c>
      <c r="I127" s="13">
        <f>E127+G127</f>
        <v>0</v>
      </c>
      <c r="J127" s="11">
        <f>F127+H127</f>
        <v>0</v>
      </c>
      <c r="K127" s="13">
        <v>0</v>
      </c>
      <c r="L127" s="11">
        <v>0</v>
      </c>
      <c r="M127" s="11">
        <v>0</v>
      </c>
      <c r="N127" s="13">
        <v>0</v>
      </c>
      <c r="O127" s="11">
        <v>0</v>
      </c>
      <c r="P127" s="11">
        <v>0</v>
      </c>
      <c r="Q127" s="13">
        <f>K127+N127</f>
        <v>0</v>
      </c>
      <c r="R127" s="11">
        <f>L127+O127</f>
        <v>0</v>
      </c>
      <c r="S127" s="11">
        <f>M127+P127</f>
        <v>0</v>
      </c>
      <c r="T127" s="8">
        <f>I127-Q127</f>
        <v>0</v>
      </c>
      <c r="U127" s="18">
        <v>2.7286222815069883E-3</v>
      </c>
      <c r="V127" s="11">
        <v>0</v>
      </c>
      <c r="W127" s="11">
        <v>0</v>
      </c>
      <c r="X127" s="11">
        <v>0</v>
      </c>
      <c r="Y127" s="11">
        <v>3</v>
      </c>
      <c r="Z127" t="s">
        <v>7</v>
      </c>
    </row>
    <row r="128" spans="1:26" x14ac:dyDescent="0.25">
      <c r="A128" s="20" t="s">
        <v>329</v>
      </c>
      <c r="B128" s="20" t="s">
        <v>225</v>
      </c>
      <c r="C128" s="20" t="s">
        <v>330</v>
      </c>
      <c r="D128" s="20" t="s">
        <v>216</v>
      </c>
      <c r="E128" s="13">
        <v>0</v>
      </c>
      <c r="F128" s="11">
        <v>0</v>
      </c>
      <c r="G128" s="13">
        <v>0</v>
      </c>
      <c r="H128" s="11">
        <v>0</v>
      </c>
      <c r="I128" s="13">
        <f>E128+G128</f>
        <v>0</v>
      </c>
      <c r="J128" s="11">
        <f>F128+H128</f>
        <v>0</v>
      </c>
      <c r="K128" s="13">
        <v>0</v>
      </c>
      <c r="L128" s="11">
        <v>0</v>
      </c>
      <c r="M128" s="11">
        <v>0</v>
      </c>
      <c r="N128" s="13">
        <v>0</v>
      </c>
      <c r="O128" s="11">
        <v>0</v>
      </c>
      <c r="P128" s="11">
        <v>0</v>
      </c>
      <c r="Q128" s="13">
        <f>K128+N128</f>
        <v>0</v>
      </c>
      <c r="R128" s="11">
        <f>L128+O128</f>
        <v>0</v>
      </c>
      <c r="S128" s="11">
        <f>M128+P128</f>
        <v>0</v>
      </c>
      <c r="T128" s="8">
        <f>I128-Q128</f>
        <v>0</v>
      </c>
      <c r="U128" s="18" t="s">
        <v>1803</v>
      </c>
      <c r="V128" s="11">
        <v>0</v>
      </c>
      <c r="W128" s="11">
        <v>0</v>
      </c>
      <c r="X128" s="11">
        <v>0</v>
      </c>
      <c r="Y128" s="11">
        <v>0</v>
      </c>
      <c r="Z128" t="s">
        <v>7</v>
      </c>
    </row>
    <row r="129" spans="1:26" x14ac:dyDescent="0.25">
      <c r="A129" s="20" t="s">
        <v>331</v>
      </c>
      <c r="B129" s="20" t="s">
        <v>60</v>
      </c>
      <c r="C129" s="20" t="s">
        <v>332</v>
      </c>
      <c r="D129" s="20" t="s">
        <v>216</v>
      </c>
      <c r="E129" s="13">
        <v>0</v>
      </c>
      <c r="F129" s="11">
        <v>0</v>
      </c>
      <c r="G129" s="13">
        <v>0</v>
      </c>
      <c r="H129" s="11">
        <v>0</v>
      </c>
      <c r="I129" s="13">
        <f>E129+G129</f>
        <v>0</v>
      </c>
      <c r="J129" s="11">
        <f>F129+H129</f>
        <v>0</v>
      </c>
      <c r="K129" s="13">
        <v>0</v>
      </c>
      <c r="L129" s="11">
        <v>0</v>
      </c>
      <c r="M129" s="11">
        <v>0</v>
      </c>
      <c r="N129" s="13">
        <v>0</v>
      </c>
      <c r="O129" s="11">
        <v>0</v>
      </c>
      <c r="P129" s="11">
        <v>0</v>
      </c>
      <c r="Q129" s="13">
        <f>K129+N129</f>
        <v>0</v>
      </c>
      <c r="R129" s="11">
        <f>L129+O129</f>
        <v>0</v>
      </c>
      <c r="S129" s="11">
        <f>M129+P129</f>
        <v>0</v>
      </c>
      <c r="T129" s="8">
        <f>I129-Q129</f>
        <v>0</v>
      </c>
      <c r="U129" s="18" t="s">
        <v>1803</v>
      </c>
      <c r="V129" s="11">
        <v>0</v>
      </c>
      <c r="W129" s="11">
        <v>0</v>
      </c>
      <c r="X129" s="11">
        <v>0</v>
      </c>
      <c r="Y129" s="11">
        <v>0</v>
      </c>
      <c r="Z129" t="s">
        <v>7</v>
      </c>
    </row>
    <row r="130" spans="1:26" x14ac:dyDescent="0.25">
      <c r="A130" s="20" t="s">
        <v>1870</v>
      </c>
      <c r="B130" s="20" t="s">
        <v>60</v>
      </c>
      <c r="C130" s="20" t="s">
        <v>3352</v>
      </c>
      <c r="D130" s="20" t="s">
        <v>216</v>
      </c>
      <c r="E130" s="13">
        <v>0</v>
      </c>
      <c r="F130" s="11">
        <v>0</v>
      </c>
      <c r="G130" s="13">
        <v>0</v>
      </c>
      <c r="H130" s="11">
        <v>0</v>
      </c>
      <c r="I130" s="13">
        <f>E130+G130</f>
        <v>0</v>
      </c>
      <c r="J130" s="11">
        <f>F130+H130</f>
        <v>0</v>
      </c>
      <c r="K130" s="13">
        <v>0</v>
      </c>
      <c r="L130" s="11">
        <v>0</v>
      </c>
      <c r="M130" s="11">
        <v>0</v>
      </c>
      <c r="N130" s="13">
        <v>0</v>
      </c>
      <c r="O130" s="11">
        <v>0</v>
      </c>
      <c r="P130" s="11">
        <v>0</v>
      </c>
      <c r="Q130" s="13">
        <f>K130+N130</f>
        <v>0</v>
      </c>
      <c r="R130" s="11">
        <f>L130+O130</f>
        <v>0</v>
      </c>
      <c r="S130" s="11">
        <f>M130+P130</f>
        <v>0</v>
      </c>
      <c r="T130" s="8">
        <f>I130-Q130</f>
        <v>0</v>
      </c>
      <c r="U130" s="18" t="s">
        <v>1803</v>
      </c>
      <c r="V130" s="11">
        <v>0</v>
      </c>
      <c r="W130" s="11">
        <v>0</v>
      </c>
      <c r="X130" s="11">
        <v>0</v>
      </c>
      <c r="Y130" s="11">
        <v>0</v>
      </c>
      <c r="Z130" t="s">
        <v>7</v>
      </c>
    </row>
    <row r="131" spans="1:26" x14ac:dyDescent="0.25">
      <c r="A131" s="20" t="s">
        <v>334</v>
      </c>
      <c r="B131" s="20" t="s">
        <v>91</v>
      </c>
      <c r="C131" s="20" t="s">
        <v>335</v>
      </c>
      <c r="D131" s="20" t="s">
        <v>216</v>
      </c>
      <c r="E131" s="13">
        <v>0</v>
      </c>
      <c r="F131" s="11">
        <v>0</v>
      </c>
      <c r="G131" s="13">
        <v>0</v>
      </c>
      <c r="H131" s="11">
        <v>0</v>
      </c>
      <c r="I131" s="13">
        <f>E131+G131</f>
        <v>0</v>
      </c>
      <c r="J131" s="11">
        <f>F131+H131</f>
        <v>0</v>
      </c>
      <c r="K131" s="13">
        <v>0</v>
      </c>
      <c r="L131" s="11">
        <v>0</v>
      </c>
      <c r="M131" s="11">
        <v>0</v>
      </c>
      <c r="N131" s="13">
        <v>0</v>
      </c>
      <c r="O131" s="11">
        <v>0</v>
      </c>
      <c r="P131" s="11">
        <v>0</v>
      </c>
      <c r="Q131" s="13">
        <f>K131+N131</f>
        <v>0</v>
      </c>
      <c r="R131" s="11">
        <f>L131+O131</f>
        <v>0</v>
      </c>
      <c r="S131" s="11">
        <f>M131+P131</f>
        <v>0</v>
      </c>
      <c r="T131" s="8">
        <f>I131-Q131</f>
        <v>0</v>
      </c>
      <c r="U131" s="18">
        <v>0.15236652794292507</v>
      </c>
      <c r="V131" s="11">
        <v>0</v>
      </c>
      <c r="W131" s="11">
        <v>0</v>
      </c>
      <c r="X131" s="11">
        <v>0</v>
      </c>
      <c r="Y131" s="11">
        <v>0</v>
      </c>
      <c r="Z131" t="s">
        <v>7</v>
      </c>
    </row>
    <row r="132" spans="1:26" x14ac:dyDescent="0.25">
      <c r="A132" s="20" t="s">
        <v>339</v>
      </c>
      <c r="B132" s="20" t="s">
        <v>91</v>
      </c>
      <c r="C132" s="20" t="s">
        <v>323</v>
      </c>
      <c r="D132" s="20" t="s">
        <v>216</v>
      </c>
      <c r="E132" s="13">
        <v>0</v>
      </c>
      <c r="F132" s="11">
        <v>0</v>
      </c>
      <c r="G132" s="13">
        <v>0</v>
      </c>
      <c r="H132" s="11">
        <v>0</v>
      </c>
      <c r="I132" s="13">
        <f>E132+G132</f>
        <v>0</v>
      </c>
      <c r="J132" s="11">
        <f>F132+H132</f>
        <v>0</v>
      </c>
      <c r="K132" s="13">
        <v>0</v>
      </c>
      <c r="L132" s="11">
        <v>0</v>
      </c>
      <c r="M132" s="11">
        <v>0</v>
      </c>
      <c r="N132" s="13">
        <v>0</v>
      </c>
      <c r="O132" s="11">
        <v>0</v>
      </c>
      <c r="P132" s="11">
        <v>0</v>
      </c>
      <c r="Q132" s="13">
        <f>K132+N132</f>
        <v>0</v>
      </c>
      <c r="R132" s="11">
        <f>L132+O132</f>
        <v>0</v>
      </c>
      <c r="S132" s="11">
        <f>M132+P132</f>
        <v>0</v>
      </c>
      <c r="T132" s="8">
        <f>I132-Q132</f>
        <v>0</v>
      </c>
      <c r="U132" s="18">
        <v>-0.98825946580569413</v>
      </c>
      <c r="V132" s="11">
        <v>0</v>
      </c>
      <c r="W132" s="11">
        <v>0</v>
      </c>
      <c r="X132" s="11">
        <v>0</v>
      </c>
      <c r="Y132" s="11">
        <v>0</v>
      </c>
      <c r="Z132" t="s">
        <v>7</v>
      </c>
    </row>
    <row r="133" spans="1:26" x14ac:dyDescent="0.25">
      <c r="A133" s="20" t="s">
        <v>237</v>
      </c>
      <c r="B133" s="20" t="s">
        <v>237</v>
      </c>
      <c r="C133" s="20" t="s">
        <v>340</v>
      </c>
      <c r="D133" s="20" t="s">
        <v>216</v>
      </c>
      <c r="E133" s="13">
        <v>0</v>
      </c>
      <c r="F133" s="11">
        <v>0</v>
      </c>
      <c r="G133" s="13">
        <v>0</v>
      </c>
      <c r="H133" s="11">
        <v>0</v>
      </c>
      <c r="I133" s="13">
        <f>E133+G133</f>
        <v>0</v>
      </c>
      <c r="J133" s="11">
        <f>F133+H133</f>
        <v>0</v>
      </c>
      <c r="K133" s="13">
        <v>0</v>
      </c>
      <c r="L133" s="11">
        <v>0</v>
      </c>
      <c r="M133" s="11">
        <v>0</v>
      </c>
      <c r="N133" s="13">
        <v>0</v>
      </c>
      <c r="O133" s="11">
        <v>0</v>
      </c>
      <c r="P133" s="11">
        <v>0</v>
      </c>
      <c r="Q133" s="13">
        <f>K133+N133</f>
        <v>0</v>
      </c>
      <c r="R133" s="11">
        <f>L133+O133</f>
        <v>0</v>
      </c>
      <c r="S133" s="11">
        <f>M133+P133</f>
        <v>0</v>
      </c>
      <c r="T133" s="8">
        <f>I133-Q133</f>
        <v>0</v>
      </c>
      <c r="U133" s="18">
        <v>-6.1761474859392096E-2</v>
      </c>
      <c r="V133" s="11">
        <v>0</v>
      </c>
      <c r="W133" s="11">
        <v>0</v>
      </c>
      <c r="X133" s="11">
        <v>2</v>
      </c>
      <c r="Y133" s="11">
        <v>0</v>
      </c>
      <c r="Z133" t="s">
        <v>7</v>
      </c>
    </row>
    <row r="134" spans="1:26" x14ac:dyDescent="0.25">
      <c r="A134" s="20" t="s">
        <v>341</v>
      </c>
      <c r="B134" s="20" t="s">
        <v>3096</v>
      </c>
      <c r="C134" s="20" t="s">
        <v>342</v>
      </c>
      <c r="D134" s="20" t="s">
        <v>216</v>
      </c>
      <c r="E134" s="13">
        <v>12949</v>
      </c>
      <c r="F134" s="11">
        <v>0</v>
      </c>
      <c r="G134" s="13">
        <v>7499</v>
      </c>
      <c r="H134" s="11">
        <v>0</v>
      </c>
      <c r="I134" s="13">
        <f>E134+G134</f>
        <v>20448</v>
      </c>
      <c r="J134" s="11">
        <f>F134+H134</f>
        <v>0</v>
      </c>
      <c r="K134" s="13">
        <v>11199</v>
      </c>
      <c r="L134" s="11">
        <v>2</v>
      </c>
      <c r="M134" s="11">
        <v>4</v>
      </c>
      <c r="N134" s="13">
        <v>7243</v>
      </c>
      <c r="O134" s="11">
        <v>1</v>
      </c>
      <c r="P134" s="11">
        <v>2</v>
      </c>
      <c r="Q134" s="13">
        <f>K134+N134</f>
        <v>18442</v>
      </c>
      <c r="R134" s="11">
        <f>L134+O134</f>
        <v>3</v>
      </c>
      <c r="S134" s="11">
        <f>M134+P134</f>
        <v>6</v>
      </c>
      <c r="T134" s="8">
        <f>I134-Q134</f>
        <v>2006</v>
      </c>
      <c r="U134" s="18">
        <v>0.31214686535776165</v>
      </c>
      <c r="V134" s="11">
        <v>0.19</v>
      </c>
      <c r="W134" s="11">
        <v>3</v>
      </c>
      <c r="X134" s="11">
        <v>13</v>
      </c>
      <c r="Y134" s="11">
        <v>4</v>
      </c>
      <c r="Z134" t="s">
        <v>7</v>
      </c>
    </row>
    <row r="135" spans="1:26" x14ac:dyDescent="0.25">
      <c r="A135" s="20" t="s">
        <v>344</v>
      </c>
      <c r="B135" s="20" t="s">
        <v>77</v>
      </c>
      <c r="C135" s="20" t="s">
        <v>314</v>
      </c>
      <c r="D135" s="20" t="s">
        <v>216</v>
      </c>
      <c r="E135" s="13">
        <v>0</v>
      </c>
      <c r="F135" s="11">
        <v>0</v>
      </c>
      <c r="G135" s="13">
        <v>0</v>
      </c>
      <c r="H135" s="11">
        <v>0</v>
      </c>
      <c r="I135" s="13">
        <f>E135+G135</f>
        <v>0</v>
      </c>
      <c r="J135" s="11">
        <f>F135+H135</f>
        <v>0</v>
      </c>
      <c r="K135" s="13">
        <v>0</v>
      </c>
      <c r="L135" s="11">
        <v>0</v>
      </c>
      <c r="M135" s="11">
        <v>0</v>
      </c>
      <c r="N135" s="13">
        <v>0</v>
      </c>
      <c r="O135" s="11">
        <v>0</v>
      </c>
      <c r="P135" s="11">
        <v>0</v>
      </c>
      <c r="Q135" s="13">
        <f>K135+N135</f>
        <v>0</v>
      </c>
      <c r="R135" s="11">
        <f>L135+O135</f>
        <v>0</v>
      </c>
      <c r="S135" s="11">
        <f>M135+P135</f>
        <v>0</v>
      </c>
      <c r="T135" s="8">
        <f>I135-Q135</f>
        <v>0</v>
      </c>
      <c r="U135" s="18">
        <v>6.7137524131676896E-2</v>
      </c>
      <c r="V135" s="11">
        <v>0</v>
      </c>
      <c r="W135" s="11">
        <v>0</v>
      </c>
      <c r="X135" s="11">
        <v>0</v>
      </c>
      <c r="Y135" s="11">
        <v>0</v>
      </c>
      <c r="Z135" t="s">
        <v>7</v>
      </c>
    </row>
    <row r="136" spans="1:26" x14ac:dyDescent="0.25">
      <c r="A136" s="20" t="s">
        <v>345</v>
      </c>
      <c r="B136" s="20" t="s">
        <v>60</v>
      </c>
      <c r="C136" s="20" t="s">
        <v>346</v>
      </c>
      <c r="D136" s="20" t="s">
        <v>216</v>
      </c>
      <c r="E136" s="13">
        <v>2025</v>
      </c>
      <c r="F136" s="11">
        <v>1</v>
      </c>
      <c r="G136" s="13">
        <v>0</v>
      </c>
      <c r="H136" s="11">
        <v>0</v>
      </c>
      <c r="I136" s="13">
        <f>E136+G136</f>
        <v>2025</v>
      </c>
      <c r="J136" s="11">
        <f>F136+H136</f>
        <v>1</v>
      </c>
      <c r="K136" s="13">
        <v>0</v>
      </c>
      <c r="L136" s="11">
        <v>0</v>
      </c>
      <c r="M136" s="11">
        <v>0</v>
      </c>
      <c r="N136" s="13">
        <v>0</v>
      </c>
      <c r="O136" s="11">
        <v>0</v>
      </c>
      <c r="P136" s="11">
        <v>1</v>
      </c>
      <c r="Q136" s="13">
        <f>K136+N136</f>
        <v>0</v>
      </c>
      <c r="R136" s="11">
        <f>L136+O136</f>
        <v>0</v>
      </c>
      <c r="S136" s="11">
        <f>M136+P136</f>
        <v>1</v>
      </c>
      <c r="T136" s="8">
        <f>I136-Q136</f>
        <v>2025</v>
      </c>
      <c r="U136" s="18">
        <v>-3.559495163850504E-2</v>
      </c>
      <c r="V136" s="11">
        <v>0.28999999999999998</v>
      </c>
      <c r="W136" s="11">
        <v>2</v>
      </c>
      <c r="X136" s="11">
        <v>5</v>
      </c>
      <c r="Y136" s="11">
        <v>0</v>
      </c>
      <c r="Z136" t="s">
        <v>7</v>
      </c>
    </row>
    <row r="137" spans="1:26" x14ac:dyDescent="0.25">
      <c r="A137" s="20" t="s">
        <v>350</v>
      </c>
      <c r="B137" s="20" t="s">
        <v>83</v>
      </c>
      <c r="C137" s="20" t="s">
        <v>351</v>
      </c>
      <c r="D137" s="20" t="s">
        <v>216</v>
      </c>
      <c r="E137" s="13">
        <v>0</v>
      </c>
      <c r="F137" s="11">
        <v>0</v>
      </c>
      <c r="G137" s="13">
        <v>0</v>
      </c>
      <c r="H137" s="11">
        <v>0</v>
      </c>
      <c r="I137" s="13">
        <f>E137+G137</f>
        <v>0</v>
      </c>
      <c r="J137" s="11">
        <f>F137+H137</f>
        <v>0</v>
      </c>
      <c r="K137" s="13">
        <v>0</v>
      </c>
      <c r="L137" s="11">
        <v>0</v>
      </c>
      <c r="M137" s="11">
        <v>2</v>
      </c>
      <c r="N137" s="13">
        <v>5860</v>
      </c>
      <c r="O137" s="11">
        <v>1</v>
      </c>
      <c r="P137" s="11">
        <v>5</v>
      </c>
      <c r="Q137" s="13">
        <f>K137+N137</f>
        <v>5860</v>
      </c>
      <c r="R137" s="11">
        <f>L137+O137</f>
        <v>1</v>
      </c>
      <c r="S137" s="11">
        <f>M137+P137</f>
        <v>7</v>
      </c>
      <c r="T137" s="8">
        <f>I137-Q137</f>
        <v>-5860</v>
      </c>
      <c r="U137" s="18">
        <v>2.2853426425362623E-2</v>
      </c>
      <c r="V137" s="11">
        <v>0.5</v>
      </c>
      <c r="W137" s="11">
        <v>6</v>
      </c>
      <c r="X137" s="11">
        <v>6</v>
      </c>
      <c r="Y137" s="11">
        <v>0</v>
      </c>
      <c r="Z137" t="s">
        <v>7</v>
      </c>
    </row>
    <row r="138" spans="1:26" x14ac:dyDescent="0.25">
      <c r="A138" s="20" t="s">
        <v>352</v>
      </c>
      <c r="B138" s="20" t="s">
        <v>172</v>
      </c>
      <c r="C138" s="20" t="s">
        <v>353</v>
      </c>
      <c r="D138" s="20" t="s">
        <v>216</v>
      </c>
      <c r="E138" s="13">
        <v>7272</v>
      </c>
      <c r="F138" s="11">
        <v>0</v>
      </c>
      <c r="G138" s="13">
        <v>7512</v>
      </c>
      <c r="H138" s="11">
        <v>0</v>
      </c>
      <c r="I138" s="13">
        <f>E138+G138</f>
        <v>14784</v>
      </c>
      <c r="J138" s="11">
        <f>F138+H138</f>
        <v>0</v>
      </c>
      <c r="K138" s="13">
        <v>7036</v>
      </c>
      <c r="L138" s="11">
        <v>0</v>
      </c>
      <c r="M138" s="11">
        <v>2</v>
      </c>
      <c r="N138" s="13">
        <v>7397</v>
      </c>
      <c r="O138" s="11">
        <v>0</v>
      </c>
      <c r="P138" s="11">
        <v>0</v>
      </c>
      <c r="Q138" s="13">
        <f>K138+N138</f>
        <v>14433</v>
      </c>
      <c r="R138" s="11">
        <f>L138+O138</f>
        <v>0</v>
      </c>
      <c r="S138" s="11">
        <f>M138+P138</f>
        <v>2</v>
      </c>
      <c r="T138" s="8">
        <f>I138-Q138</f>
        <v>351</v>
      </c>
      <c r="U138" s="18">
        <v>0.14708271107783713</v>
      </c>
      <c r="V138" s="11">
        <v>0.5</v>
      </c>
      <c r="W138" s="11">
        <v>2</v>
      </c>
      <c r="X138" s="11">
        <v>2</v>
      </c>
      <c r="Y138" s="11">
        <v>2</v>
      </c>
      <c r="Z138" t="s">
        <v>7</v>
      </c>
    </row>
    <row r="139" spans="1:26" x14ac:dyDescent="0.25">
      <c r="A139" s="20" t="s">
        <v>354</v>
      </c>
      <c r="B139" s="20" t="s">
        <v>77</v>
      </c>
      <c r="C139" s="20" t="s">
        <v>262</v>
      </c>
      <c r="D139" s="20" t="s">
        <v>216</v>
      </c>
      <c r="E139" s="13">
        <v>0</v>
      </c>
      <c r="F139" s="11">
        <v>0</v>
      </c>
      <c r="G139" s="13">
        <v>0</v>
      </c>
      <c r="H139" s="11">
        <v>0</v>
      </c>
      <c r="I139" s="13">
        <f>E139+G139</f>
        <v>0</v>
      </c>
      <c r="J139" s="11">
        <f>F139+H139</f>
        <v>0</v>
      </c>
      <c r="K139" s="13">
        <v>37.86</v>
      </c>
      <c r="L139" s="11">
        <v>0</v>
      </c>
      <c r="M139" s="11">
        <v>0</v>
      </c>
      <c r="N139" s="13">
        <v>0</v>
      </c>
      <c r="O139" s="11">
        <v>0</v>
      </c>
      <c r="P139" s="11">
        <v>1</v>
      </c>
      <c r="Q139" s="13">
        <f>K139+N139</f>
        <v>37.86</v>
      </c>
      <c r="R139" s="11">
        <f>L139+O139</f>
        <v>0</v>
      </c>
      <c r="S139" s="11">
        <f>M139+P139</f>
        <v>1</v>
      </c>
      <c r="T139" s="8">
        <f>I139-Q139</f>
        <v>-37.86</v>
      </c>
      <c r="U139" s="18">
        <v>6.7347222555201262E-3</v>
      </c>
      <c r="V139" s="11">
        <v>0.33</v>
      </c>
      <c r="W139" s="11">
        <v>1</v>
      </c>
      <c r="X139" s="11">
        <v>2</v>
      </c>
      <c r="Y139" s="11">
        <v>0</v>
      </c>
      <c r="Z139" t="s">
        <v>7</v>
      </c>
    </row>
    <row r="140" spans="1:26" x14ac:dyDescent="0.25">
      <c r="A140" s="20" t="s">
        <v>360</v>
      </c>
      <c r="B140" s="20" t="s">
        <v>295</v>
      </c>
      <c r="C140" s="20" t="s">
        <v>964</v>
      </c>
      <c r="D140" s="20" t="s">
        <v>216</v>
      </c>
      <c r="E140" s="13">
        <v>0</v>
      </c>
      <c r="F140" s="11">
        <v>0</v>
      </c>
      <c r="G140" s="13">
        <v>0</v>
      </c>
      <c r="H140" s="11">
        <v>0</v>
      </c>
      <c r="I140" s="13">
        <f>E140+G140</f>
        <v>0</v>
      </c>
      <c r="J140" s="11">
        <f>F140+H140</f>
        <v>0</v>
      </c>
      <c r="K140" s="13">
        <v>0</v>
      </c>
      <c r="L140" s="11">
        <v>0</v>
      </c>
      <c r="M140" s="11">
        <v>0</v>
      </c>
      <c r="N140" s="13">
        <v>0</v>
      </c>
      <c r="O140" s="11">
        <v>0</v>
      </c>
      <c r="P140" s="11">
        <v>0</v>
      </c>
      <c r="Q140" s="13">
        <f>K140+N140</f>
        <v>0</v>
      </c>
      <c r="R140" s="11">
        <f>L140+O140</f>
        <v>0</v>
      </c>
      <c r="S140" s="11">
        <f>M140+P140</f>
        <v>0</v>
      </c>
      <c r="T140" s="8">
        <f>I140-Q140</f>
        <v>0</v>
      </c>
      <c r="U140" s="18">
        <v>4.1915843772569926E-2</v>
      </c>
      <c r="V140" s="11">
        <v>0</v>
      </c>
      <c r="W140" s="11">
        <v>0</v>
      </c>
      <c r="X140" s="11">
        <v>2</v>
      </c>
      <c r="Y140" s="11">
        <v>3</v>
      </c>
      <c r="Z140" t="s">
        <v>7</v>
      </c>
    </row>
    <row r="141" spans="1:26" x14ac:dyDescent="0.25">
      <c r="A141" s="20" t="s">
        <v>364</v>
      </c>
      <c r="B141" s="20" t="s">
        <v>77</v>
      </c>
      <c r="C141" s="20" t="s">
        <v>365</v>
      </c>
      <c r="D141" s="20" t="s">
        <v>216</v>
      </c>
      <c r="E141" s="13">
        <v>27916</v>
      </c>
      <c r="F141" s="11">
        <v>1</v>
      </c>
      <c r="G141" s="13">
        <v>2281</v>
      </c>
      <c r="H141" s="11">
        <v>1</v>
      </c>
      <c r="I141" s="13">
        <f>E141+G141</f>
        <v>30197</v>
      </c>
      <c r="J141" s="11">
        <f>F141+H141</f>
        <v>2</v>
      </c>
      <c r="K141" s="13">
        <v>-1914.92</v>
      </c>
      <c r="L141" s="11">
        <v>0</v>
      </c>
      <c r="M141" s="11">
        <v>0</v>
      </c>
      <c r="N141" s="13">
        <v>0</v>
      </c>
      <c r="O141" s="11">
        <v>0</v>
      </c>
      <c r="P141" s="11">
        <v>0</v>
      </c>
      <c r="Q141" s="13">
        <f>K141+N141</f>
        <v>-1914.92</v>
      </c>
      <c r="R141" s="11">
        <f>L141+O141</f>
        <v>0</v>
      </c>
      <c r="S141" s="11">
        <f>M141+P141</f>
        <v>0</v>
      </c>
      <c r="T141" s="8">
        <f>I141-Q141</f>
        <v>32111.919999999998</v>
      </c>
      <c r="U141" s="18">
        <v>-0.38266426765393746</v>
      </c>
      <c r="V141" s="11">
        <v>0.33</v>
      </c>
      <c r="W141" s="11">
        <v>2</v>
      </c>
      <c r="X141" s="11">
        <v>4</v>
      </c>
      <c r="Y141" s="11">
        <v>0</v>
      </c>
      <c r="Z141" t="s">
        <v>7</v>
      </c>
    </row>
    <row r="142" spans="1:26" x14ac:dyDescent="0.25">
      <c r="A142" s="20" t="s">
        <v>366</v>
      </c>
      <c r="B142" s="20" t="s">
        <v>366</v>
      </c>
      <c r="C142" s="20" t="s">
        <v>367</v>
      </c>
      <c r="D142" s="20" t="s">
        <v>216</v>
      </c>
      <c r="E142" s="13">
        <v>0</v>
      </c>
      <c r="F142" s="11">
        <v>0</v>
      </c>
      <c r="G142" s="13">
        <v>0</v>
      </c>
      <c r="H142" s="11">
        <v>0</v>
      </c>
      <c r="I142" s="13">
        <f>E142+G142</f>
        <v>0</v>
      </c>
      <c r="J142" s="11">
        <f>F142+H142</f>
        <v>0</v>
      </c>
      <c r="K142" s="13">
        <v>0</v>
      </c>
      <c r="L142" s="11">
        <v>0</v>
      </c>
      <c r="M142" s="11">
        <v>0</v>
      </c>
      <c r="N142" s="13">
        <v>0</v>
      </c>
      <c r="O142" s="11">
        <v>0</v>
      </c>
      <c r="P142" s="11">
        <v>0</v>
      </c>
      <c r="Q142" s="13">
        <f>K142+N142</f>
        <v>0</v>
      </c>
      <c r="R142" s="11">
        <f>L142+O142</f>
        <v>0</v>
      </c>
      <c r="S142" s="11">
        <f>M142+P142</f>
        <v>0</v>
      </c>
      <c r="T142" s="8">
        <f>I142-Q142</f>
        <v>0</v>
      </c>
      <c r="U142" s="18">
        <v>-2.2400754465855474E-2</v>
      </c>
      <c r="V142" s="11">
        <v>0</v>
      </c>
      <c r="W142" s="11">
        <v>0</v>
      </c>
      <c r="X142" s="11">
        <v>0</v>
      </c>
      <c r="Y142" s="11">
        <v>0</v>
      </c>
      <c r="Z142" t="s">
        <v>7</v>
      </c>
    </row>
    <row r="143" spans="1:26" x14ac:dyDescent="0.25">
      <c r="A143" s="20" t="s">
        <v>368</v>
      </c>
      <c r="B143" s="20" t="s">
        <v>295</v>
      </c>
      <c r="C143" s="20" t="s">
        <v>964</v>
      </c>
      <c r="D143" s="20" t="s">
        <v>216</v>
      </c>
      <c r="E143" s="13">
        <v>0</v>
      </c>
      <c r="F143" s="11">
        <v>0</v>
      </c>
      <c r="G143" s="13">
        <v>501</v>
      </c>
      <c r="H143" s="11">
        <v>0</v>
      </c>
      <c r="I143" s="13">
        <f>E143+G143</f>
        <v>501</v>
      </c>
      <c r="J143" s="11">
        <f>F143+H143</f>
        <v>0</v>
      </c>
      <c r="K143" s="13">
        <v>0</v>
      </c>
      <c r="L143" s="11">
        <v>0</v>
      </c>
      <c r="M143" s="11">
        <v>0</v>
      </c>
      <c r="N143" s="13">
        <v>501</v>
      </c>
      <c r="O143" s="11">
        <v>1</v>
      </c>
      <c r="P143" s="11">
        <v>1</v>
      </c>
      <c r="Q143" s="13">
        <f>K143+N143</f>
        <v>501</v>
      </c>
      <c r="R143" s="11">
        <f>L143+O143</f>
        <v>1</v>
      </c>
      <c r="S143" s="11">
        <f>M143+P143</f>
        <v>1</v>
      </c>
      <c r="T143" s="8">
        <f>I143-Q143</f>
        <v>0</v>
      </c>
      <c r="U143" s="18">
        <v>1.0631655309998187</v>
      </c>
      <c r="V143" s="11">
        <v>0</v>
      </c>
      <c r="W143" s="11">
        <v>0</v>
      </c>
      <c r="X143" s="11">
        <v>0</v>
      </c>
      <c r="Y143" s="11">
        <v>0</v>
      </c>
      <c r="Z143" t="s">
        <v>7</v>
      </c>
    </row>
    <row r="144" spans="1:26" x14ac:dyDescent="0.25">
      <c r="A144" s="20" t="s">
        <v>348</v>
      </c>
      <c r="B144" s="20" t="s">
        <v>348</v>
      </c>
      <c r="C144" s="20" t="s">
        <v>349</v>
      </c>
      <c r="D144" s="20" t="s">
        <v>216</v>
      </c>
      <c r="E144" s="13">
        <v>0</v>
      </c>
      <c r="F144" s="11">
        <v>0</v>
      </c>
      <c r="G144" s="13">
        <v>0</v>
      </c>
      <c r="H144" s="11">
        <v>0</v>
      </c>
      <c r="I144" s="13">
        <f>E144+G144</f>
        <v>0</v>
      </c>
      <c r="J144" s="11">
        <f>F144+H144</f>
        <v>0</v>
      </c>
      <c r="K144" s="13">
        <v>4844</v>
      </c>
      <c r="L144" s="11">
        <v>0</v>
      </c>
      <c r="M144" s="11">
        <v>0</v>
      </c>
      <c r="N144" s="13">
        <v>0</v>
      </c>
      <c r="O144" s="11">
        <v>0</v>
      </c>
      <c r="P144" s="11">
        <v>0</v>
      </c>
      <c r="Q144" s="13">
        <f>K144+N144</f>
        <v>4844</v>
      </c>
      <c r="R144" s="11">
        <f>L144+O144</f>
        <v>0</v>
      </c>
      <c r="S144" s="11">
        <f>M144+P144</f>
        <v>0</v>
      </c>
      <c r="T144" s="8">
        <f>I144-Q144</f>
        <v>-4844</v>
      </c>
      <c r="U144" s="18">
        <v>-5.6115875896342003E-2</v>
      </c>
      <c r="V144" s="11">
        <v>0</v>
      </c>
      <c r="W144" s="11">
        <v>0</v>
      </c>
      <c r="X144" s="11">
        <v>0</v>
      </c>
      <c r="Y144" s="11">
        <v>0</v>
      </c>
      <c r="Z144" t="s">
        <v>7</v>
      </c>
    </row>
    <row r="145" spans="1:26" x14ac:dyDescent="0.25">
      <c r="A145" s="20" t="s">
        <v>370</v>
      </c>
      <c r="B145" s="20" t="s">
        <v>225</v>
      </c>
      <c r="C145" s="20" t="s">
        <v>313</v>
      </c>
      <c r="D145" s="20" t="s">
        <v>216</v>
      </c>
      <c r="E145" s="13">
        <v>0</v>
      </c>
      <c r="F145" s="11">
        <v>0</v>
      </c>
      <c r="G145" s="13">
        <v>0</v>
      </c>
      <c r="H145" s="11">
        <v>0</v>
      </c>
      <c r="I145" s="13">
        <f>E145+G145</f>
        <v>0</v>
      </c>
      <c r="J145" s="11">
        <f>F145+H145</f>
        <v>0</v>
      </c>
      <c r="K145" s="13">
        <v>0</v>
      </c>
      <c r="L145" s="11">
        <v>0</v>
      </c>
      <c r="M145" s="11">
        <v>0</v>
      </c>
      <c r="N145" s="13">
        <v>0</v>
      </c>
      <c r="O145" s="11">
        <v>0</v>
      </c>
      <c r="P145" s="11">
        <v>0</v>
      </c>
      <c r="Q145" s="13">
        <f>K145+N145</f>
        <v>0</v>
      </c>
      <c r="R145" s="11">
        <f>L145+O145</f>
        <v>0</v>
      </c>
      <c r="S145" s="11">
        <f>M145+P145</f>
        <v>0</v>
      </c>
      <c r="T145" s="8">
        <f>I145-Q145</f>
        <v>0</v>
      </c>
      <c r="U145" s="18">
        <v>-4.772607723606965E-3</v>
      </c>
      <c r="V145" s="11">
        <v>0</v>
      </c>
      <c r="W145" s="11">
        <v>0</v>
      </c>
      <c r="X145" s="11">
        <v>0</v>
      </c>
      <c r="Y145" s="11">
        <v>0</v>
      </c>
      <c r="Z145" t="s">
        <v>7</v>
      </c>
    </row>
    <row r="146" spans="1:26" x14ac:dyDescent="0.25">
      <c r="A146" s="20" t="s">
        <v>371</v>
      </c>
      <c r="B146" s="20" t="s">
        <v>60</v>
      </c>
      <c r="C146" s="20" t="s">
        <v>372</v>
      </c>
      <c r="D146" s="20" t="s">
        <v>216</v>
      </c>
      <c r="E146" s="13">
        <v>2494</v>
      </c>
      <c r="F146" s="11">
        <v>0</v>
      </c>
      <c r="G146" s="13">
        <v>0</v>
      </c>
      <c r="H146" s="11">
        <v>0</v>
      </c>
      <c r="I146" s="13">
        <f>E146+G146</f>
        <v>2494</v>
      </c>
      <c r="J146" s="11">
        <f>F146+H146</f>
        <v>0</v>
      </c>
      <c r="K146" s="13">
        <v>1753</v>
      </c>
      <c r="L146" s="11">
        <v>0</v>
      </c>
      <c r="M146" s="11">
        <v>0</v>
      </c>
      <c r="N146" s="13">
        <v>0</v>
      </c>
      <c r="O146" s="11">
        <v>0</v>
      </c>
      <c r="P146" s="11">
        <v>0</v>
      </c>
      <c r="Q146" s="13">
        <f>K146+N146</f>
        <v>1753</v>
      </c>
      <c r="R146" s="11">
        <f>L146+O146</f>
        <v>0</v>
      </c>
      <c r="S146" s="11">
        <f>M146+P146</f>
        <v>0</v>
      </c>
      <c r="T146" s="8">
        <f>I146-Q146</f>
        <v>741</v>
      </c>
      <c r="U146" s="18">
        <v>1.25020386761858</v>
      </c>
      <c r="V146" s="11">
        <v>0</v>
      </c>
      <c r="W146" s="11">
        <v>0</v>
      </c>
      <c r="X146" s="11">
        <v>0</v>
      </c>
      <c r="Y146" s="11">
        <v>0</v>
      </c>
      <c r="Z146" t="s">
        <v>7</v>
      </c>
    </row>
    <row r="147" spans="1:26" x14ac:dyDescent="0.25">
      <c r="A147" s="20" t="s">
        <v>373</v>
      </c>
      <c r="B147" s="20" t="s">
        <v>247</v>
      </c>
      <c r="C147" s="20" t="s">
        <v>374</v>
      </c>
      <c r="D147" s="20" t="s">
        <v>216</v>
      </c>
      <c r="E147" s="13">
        <v>0</v>
      </c>
      <c r="F147" s="11">
        <v>0</v>
      </c>
      <c r="G147" s="13">
        <v>0</v>
      </c>
      <c r="H147" s="11">
        <v>0</v>
      </c>
      <c r="I147" s="13">
        <f>E147+G147</f>
        <v>0</v>
      </c>
      <c r="J147" s="11">
        <f>F147+H147</f>
        <v>0</v>
      </c>
      <c r="K147" s="13">
        <v>0</v>
      </c>
      <c r="L147" s="11">
        <v>0</v>
      </c>
      <c r="M147" s="11">
        <v>0</v>
      </c>
      <c r="N147" s="13">
        <v>0</v>
      </c>
      <c r="O147" s="11">
        <v>0</v>
      </c>
      <c r="P147" s="11">
        <v>0</v>
      </c>
      <c r="Q147" s="13">
        <f>K147+N147</f>
        <v>0</v>
      </c>
      <c r="R147" s="11">
        <f>L147+O147</f>
        <v>0</v>
      </c>
      <c r="S147" s="11">
        <f>M147+P147</f>
        <v>0</v>
      </c>
      <c r="T147" s="8">
        <f>I147-Q147</f>
        <v>0</v>
      </c>
      <c r="U147" s="18">
        <v>-1.7237466153024232E-2</v>
      </c>
      <c r="V147" s="11">
        <v>0</v>
      </c>
      <c r="W147" s="11">
        <v>0</v>
      </c>
      <c r="X147" s="11">
        <v>0</v>
      </c>
      <c r="Y147" s="11">
        <v>0</v>
      </c>
      <c r="Z147" t="s">
        <v>7</v>
      </c>
    </row>
    <row r="148" spans="1:26" x14ac:dyDescent="0.25">
      <c r="A148" s="20" t="s">
        <v>375</v>
      </c>
      <c r="B148" s="20" t="s">
        <v>225</v>
      </c>
      <c r="C148" s="20" t="s">
        <v>376</v>
      </c>
      <c r="D148" s="20" t="s">
        <v>216</v>
      </c>
      <c r="E148" s="13">
        <v>0</v>
      </c>
      <c r="F148" s="11">
        <v>0</v>
      </c>
      <c r="G148" s="13">
        <v>0</v>
      </c>
      <c r="H148" s="11">
        <v>0</v>
      </c>
      <c r="I148" s="13">
        <f>E148+G148</f>
        <v>0</v>
      </c>
      <c r="J148" s="11">
        <f>F148+H148</f>
        <v>0</v>
      </c>
      <c r="K148" s="13">
        <v>0</v>
      </c>
      <c r="L148" s="11">
        <v>0</v>
      </c>
      <c r="M148" s="11">
        <v>0</v>
      </c>
      <c r="N148" s="13">
        <v>0</v>
      </c>
      <c r="O148" s="11">
        <v>0</v>
      </c>
      <c r="P148" s="11">
        <v>1</v>
      </c>
      <c r="Q148" s="13">
        <f>K148+N148</f>
        <v>0</v>
      </c>
      <c r="R148" s="11">
        <f>L148+O148</f>
        <v>0</v>
      </c>
      <c r="S148" s="11">
        <f>M148+P148</f>
        <v>1</v>
      </c>
      <c r="T148" s="8">
        <f>I148-Q148</f>
        <v>0</v>
      </c>
      <c r="U148" s="18">
        <v>7.7770289060838563E-2</v>
      </c>
      <c r="V148" s="11">
        <v>0.5</v>
      </c>
      <c r="W148" s="11">
        <v>1</v>
      </c>
      <c r="X148" s="11">
        <v>1</v>
      </c>
      <c r="Y148" s="11">
        <v>1</v>
      </c>
      <c r="Z148" t="s">
        <v>7</v>
      </c>
    </row>
    <row r="149" spans="1:26" x14ac:dyDescent="0.25">
      <c r="A149" s="20" t="s">
        <v>377</v>
      </c>
      <c r="B149" s="20" t="s">
        <v>124</v>
      </c>
      <c r="C149" s="20" t="s">
        <v>378</v>
      </c>
      <c r="D149" s="20" t="s">
        <v>216</v>
      </c>
      <c r="E149" s="13">
        <v>0</v>
      </c>
      <c r="F149" s="11">
        <v>0</v>
      </c>
      <c r="G149" s="13">
        <v>0</v>
      </c>
      <c r="H149" s="11">
        <v>0</v>
      </c>
      <c r="I149" s="13">
        <f>E149+G149</f>
        <v>0</v>
      </c>
      <c r="J149" s="11">
        <f>F149+H149</f>
        <v>0</v>
      </c>
      <c r="K149" s="13">
        <v>0</v>
      </c>
      <c r="L149" s="11">
        <v>0</v>
      </c>
      <c r="M149" s="11">
        <v>0</v>
      </c>
      <c r="N149" s="13">
        <v>0</v>
      </c>
      <c r="O149" s="11">
        <v>0</v>
      </c>
      <c r="P149" s="11">
        <v>0</v>
      </c>
      <c r="Q149" s="13">
        <f>K149+N149</f>
        <v>0</v>
      </c>
      <c r="R149" s="11">
        <f>L149+O149</f>
        <v>0</v>
      </c>
      <c r="S149" s="11">
        <f>M149+P149</f>
        <v>0</v>
      </c>
      <c r="T149" s="8">
        <f>I149-Q149</f>
        <v>0</v>
      </c>
      <c r="U149" s="18">
        <v>0.10084778121612295</v>
      </c>
      <c r="V149" s="11">
        <v>0</v>
      </c>
      <c r="W149" s="11">
        <v>0</v>
      </c>
      <c r="X149" s="11">
        <v>0</v>
      </c>
      <c r="Y149" s="11">
        <v>0</v>
      </c>
      <c r="Z149" t="s">
        <v>7</v>
      </c>
    </row>
    <row r="150" spans="1:26" x14ac:dyDescent="0.25">
      <c r="A150" s="20" t="s">
        <v>379</v>
      </c>
      <c r="B150" s="20" t="s">
        <v>257</v>
      </c>
      <c r="C150" s="20" t="s">
        <v>279</v>
      </c>
      <c r="D150" s="20" t="s">
        <v>216</v>
      </c>
      <c r="E150" s="13">
        <v>32147.1</v>
      </c>
      <c r="F150" s="11">
        <v>0</v>
      </c>
      <c r="G150" s="13">
        <v>112748.76</v>
      </c>
      <c r="H150" s="11">
        <v>0</v>
      </c>
      <c r="I150" s="13">
        <f>E150+G150</f>
        <v>144895.85999999999</v>
      </c>
      <c r="J150" s="11">
        <f>F150+H150</f>
        <v>0</v>
      </c>
      <c r="K150" s="13">
        <v>30622.68</v>
      </c>
      <c r="L150" s="11">
        <v>1</v>
      </c>
      <c r="M150" s="11">
        <v>7</v>
      </c>
      <c r="N150" s="13">
        <v>64287.61</v>
      </c>
      <c r="O150" s="11">
        <v>3</v>
      </c>
      <c r="P150" s="11">
        <v>16</v>
      </c>
      <c r="Q150" s="13">
        <f>K150+N150</f>
        <v>94910.290000000008</v>
      </c>
      <c r="R150" s="11">
        <f>L150+O150</f>
        <v>4</v>
      </c>
      <c r="S150" s="11">
        <f>M150+P150</f>
        <v>23</v>
      </c>
      <c r="T150" s="8">
        <f>I150-Q150</f>
        <v>49985.569999999978</v>
      </c>
      <c r="U150" s="18">
        <v>0.79660891531718003</v>
      </c>
      <c r="V150" s="11">
        <v>0.37</v>
      </c>
      <c r="W150" s="11">
        <v>19</v>
      </c>
      <c r="X150" s="11">
        <v>33</v>
      </c>
      <c r="Y150" s="11">
        <v>5</v>
      </c>
      <c r="Z150" t="s">
        <v>7</v>
      </c>
    </row>
    <row r="151" spans="1:26" x14ac:dyDescent="0.25">
      <c r="A151" s="20" t="s">
        <v>380</v>
      </c>
      <c r="B151" s="20" t="s">
        <v>225</v>
      </c>
      <c r="C151" s="20" t="s">
        <v>381</v>
      </c>
      <c r="D151" s="20" t="s">
        <v>216</v>
      </c>
      <c r="E151" s="13">
        <v>0</v>
      </c>
      <c r="F151" s="11">
        <v>0</v>
      </c>
      <c r="G151" s="13">
        <v>0</v>
      </c>
      <c r="H151" s="11">
        <v>0</v>
      </c>
      <c r="I151" s="13">
        <f>E151+G151</f>
        <v>0</v>
      </c>
      <c r="J151" s="11">
        <f>F151+H151</f>
        <v>0</v>
      </c>
      <c r="K151" s="13">
        <v>0</v>
      </c>
      <c r="L151" s="11">
        <v>0</v>
      </c>
      <c r="M151" s="11">
        <v>0</v>
      </c>
      <c r="N151" s="13">
        <v>0</v>
      </c>
      <c r="O151" s="11">
        <v>0</v>
      </c>
      <c r="P151" s="11">
        <v>0</v>
      </c>
      <c r="Q151" s="13">
        <f>K151+N151</f>
        <v>0</v>
      </c>
      <c r="R151" s="11">
        <f>L151+O151</f>
        <v>0</v>
      </c>
      <c r="S151" s="11">
        <f>M151+P151</f>
        <v>0</v>
      </c>
      <c r="T151" s="8">
        <f>I151-Q151</f>
        <v>0</v>
      </c>
      <c r="U151" s="18" t="s">
        <v>1803</v>
      </c>
      <c r="V151" s="11">
        <v>0</v>
      </c>
      <c r="W151" s="11">
        <v>0</v>
      </c>
      <c r="X151" s="11">
        <v>0</v>
      </c>
      <c r="Y151" s="11">
        <v>0</v>
      </c>
      <c r="Z151" t="s">
        <v>7</v>
      </c>
    </row>
    <row r="152" spans="1:26" x14ac:dyDescent="0.25">
      <c r="A152" s="20" t="s">
        <v>327</v>
      </c>
      <c r="B152" s="20" t="s">
        <v>327</v>
      </c>
      <c r="C152" s="20" t="s">
        <v>328</v>
      </c>
      <c r="D152" s="20" t="s">
        <v>216</v>
      </c>
      <c r="E152" s="13">
        <v>41959</v>
      </c>
      <c r="F152" s="11">
        <v>2</v>
      </c>
      <c r="G152" s="13">
        <v>71010.2</v>
      </c>
      <c r="H152" s="11">
        <v>1</v>
      </c>
      <c r="I152" s="13">
        <f>E152+G152</f>
        <v>112969.2</v>
      </c>
      <c r="J152" s="11">
        <f>F152+H152</f>
        <v>3</v>
      </c>
      <c r="K152" s="13">
        <v>67242.2</v>
      </c>
      <c r="L152" s="11">
        <v>0</v>
      </c>
      <c r="M152" s="11">
        <v>1</v>
      </c>
      <c r="N152" s="13">
        <v>31892</v>
      </c>
      <c r="O152" s="11">
        <v>1</v>
      </c>
      <c r="P152" s="11">
        <v>4</v>
      </c>
      <c r="Q152" s="13">
        <f>K152+N152</f>
        <v>99134.2</v>
      </c>
      <c r="R152" s="11">
        <f>L152+O152</f>
        <v>1</v>
      </c>
      <c r="S152" s="11">
        <f>M152+P152</f>
        <v>5</v>
      </c>
      <c r="T152" s="8">
        <f>I152-Q152</f>
        <v>13835</v>
      </c>
      <c r="U152" s="18">
        <v>1.6159144497002131</v>
      </c>
      <c r="V152" s="11">
        <v>0.24</v>
      </c>
      <c r="W152" s="11">
        <v>8</v>
      </c>
      <c r="X152" s="11">
        <v>26</v>
      </c>
      <c r="Y152" s="11">
        <v>14</v>
      </c>
      <c r="Z152" t="s">
        <v>7</v>
      </c>
    </row>
    <row r="153" spans="1:26" x14ac:dyDescent="0.25">
      <c r="A153" s="20" t="s">
        <v>382</v>
      </c>
      <c r="B153" s="20" t="s">
        <v>83</v>
      </c>
      <c r="C153" s="20" t="s">
        <v>383</v>
      </c>
      <c r="D153" s="20" t="s">
        <v>216</v>
      </c>
      <c r="E153" s="13">
        <v>0</v>
      </c>
      <c r="F153" s="11">
        <v>0</v>
      </c>
      <c r="G153" s="13">
        <v>0</v>
      </c>
      <c r="H153" s="11">
        <v>0</v>
      </c>
      <c r="I153" s="13">
        <f>E153+G153</f>
        <v>0</v>
      </c>
      <c r="J153" s="11">
        <f>F153+H153</f>
        <v>0</v>
      </c>
      <c r="K153" s="13">
        <v>0</v>
      </c>
      <c r="L153" s="11">
        <v>0</v>
      </c>
      <c r="M153" s="11">
        <v>0</v>
      </c>
      <c r="N153" s="13">
        <v>0</v>
      </c>
      <c r="O153" s="11">
        <v>0</v>
      </c>
      <c r="P153" s="11">
        <v>0</v>
      </c>
      <c r="Q153" s="13">
        <f>K153+N153</f>
        <v>0</v>
      </c>
      <c r="R153" s="11">
        <f>L153+O153</f>
        <v>0</v>
      </c>
      <c r="S153" s="11">
        <f>M153+P153</f>
        <v>0</v>
      </c>
      <c r="T153" s="8">
        <f>I153-Q153</f>
        <v>0</v>
      </c>
      <c r="U153" s="18" t="s">
        <v>1803</v>
      </c>
      <c r="V153" s="11">
        <v>0</v>
      </c>
      <c r="W153" s="11">
        <v>0</v>
      </c>
      <c r="X153" s="11">
        <v>0</v>
      </c>
      <c r="Y153" s="11">
        <v>0</v>
      </c>
      <c r="Z153" t="s">
        <v>7</v>
      </c>
    </row>
    <row r="154" spans="1:26" x14ac:dyDescent="0.25">
      <c r="A154" s="20" t="s">
        <v>357</v>
      </c>
      <c r="B154" s="20" t="s">
        <v>357</v>
      </c>
      <c r="C154" s="20" t="s">
        <v>358</v>
      </c>
      <c r="D154" s="20" t="s">
        <v>216</v>
      </c>
      <c r="E154" s="13">
        <v>0</v>
      </c>
      <c r="F154" s="11">
        <v>0</v>
      </c>
      <c r="G154" s="13">
        <v>0</v>
      </c>
      <c r="H154" s="11">
        <v>0</v>
      </c>
      <c r="I154" s="13">
        <f>E154+G154</f>
        <v>0</v>
      </c>
      <c r="J154" s="11">
        <f>F154+H154</f>
        <v>0</v>
      </c>
      <c r="K154" s="13">
        <v>0</v>
      </c>
      <c r="L154" s="11">
        <v>0</v>
      </c>
      <c r="M154" s="11">
        <v>0</v>
      </c>
      <c r="N154" s="13">
        <v>0</v>
      </c>
      <c r="O154" s="11">
        <v>0</v>
      </c>
      <c r="P154" s="11">
        <v>0</v>
      </c>
      <c r="Q154" s="13">
        <f>K154+N154</f>
        <v>0</v>
      </c>
      <c r="R154" s="11">
        <f>L154+O154</f>
        <v>0</v>
      </c>
      <c r="S154" s="11">
        <f>M154+P154</f>
        <v>0</v>
      </c>
      <c r="T154" s="8">
        <f>I154-Q154</f>
        <v>0</v>
      </c>
      <c r="U154" s="18">
        <v>-8.9959229486819732E-3</v>
      </c>
      <c r="V154" s="11">
        <v>0</v>
      </c>
      <c r="W154" s="11">
        <v>0</v>
      </c>
      <c r="X154" s="11">
        <v>0</v>
      </c>
      <c r="Y154" s="11">
        <v>0</v>
      </c>
      <c r="Z154" t="s">
        <v>7</v>
      </c>
    </row>
    <row r="155" spans="1:26" x14ac:dyDescent="0.25">
      <c r="A155" s="20" t="s">
        <v>384</v>
      </c>
      <c r="B155" s="20" t="s">
        <v>260</v>
      </c>
      <c r="C155" s="20" t="s">
        <v>286</v>
      </c>
      <c r="D155" s="20" t="s">
        <v>216</v>
      </c>
      <c r="E155" s="13">
        <v>0</v>
      </c>
      <c r="F155" s="11">
        <v>0</v>
      </c>
      <c r="G155" s="13">
        <v>0</v>
      </c>
      <c r="H155" s="11">
        <v>0</v>
      </c>
      <c r="I155" s="13">
        <f>E155+G155</f>
        <v>0</v>
      </c>
      <c r="J155" s="11">
        <f>F155+H155</f>
        <v>0</v>
      </c>
      <c r="K155" s="13">
        <v>0</v>
      </c>
      <c r="L155" s="11">
        <v>0</v>
      </c>
      <c r="M155" s="11">
        <v>0</v>
      </c>
      <c r="N155" s="13">
        <v>0</v>
      </c>
      <c r="O155" s="11">
        <v>0</v>
      </c>
      <c r="P155" s="11">
        <v>0</v>
      </c>
      <c r="Q155" s="13">
        <f>K155+N155</f>
        <v>0</v>
      </c>
      <c r="R155" s="11">
        <f>L155+O155</f>
        <v>0</v>
      </c>
      <c r="S155" s="11">
        <f>M155+P155</f>
        <v>0</v>
      </c>
      <c r="T155" s="8">
        <f>I155-Q155</f>
        <v>0</v>
      </c>
      <c r="U155" s="18">
        <v>0.37347196551944789</v>
      </c>
      <c r="V155" s="11">
        <v>0</v>
      </c>
      <c r="W155" s="11">
        <v>0</v>
      </c>
      <c r="X155" s="11">
        <v>0</v>
      </c>
      <c r="Y155" s="11">
        <v>1</v>
      </c>
      <c r="Z155" t="s">
        <v>7</v>
      </c>
    </row>
    <row r="156" spans="1:26" x14ac:dyDescent="0.25">
      <c r="A156" s="20" t="s">
        <v>385</v>
      </c>
      <c r="B156" s="20" t="s">
        <v>257</v>
      </c>
      <c r="C156" s="20" t="s">
        <v>386</v>
      </c>
      <c r="D156" s="20" t="s">
        <v>216</v>
      </c>
      <c r="E156" s="13">
        <v>4775</v>
      </c>
      <c r="F156" s="11">
        <v>0</v>
      </c>
      <c r="G156" s="13">
        <v>2612</v>
      </c>
      <c r="H156" s="11">
        <v>0</v>
      </c>
      <c r="I156" s="13">
        <f>E156+G156</f>
        <v>7387</v>
      </c>
      <c r="J156" s="11">
        <f>F156+H156</f>
        <v>0</v>
      </c>
      <c r="K156" s="13">
        <v>4354.63</v>
      </c>
      <c r="L156" s="11">
        <v>0</v>
      </c>
      <c r="M156" s="11">
        <v>1</v>
      </c>
      <c r="N156" s="13">
        <v>2543</v>
      </c>
      <c r="O156" s="11">
        <v>0</v>
      </c>
      <c r="P156" s="11">
        <v>3</v>
      </c>
      <c r="Q156" s="13">
        <f>K156+N156</f>
        <v>6897.63</v>
      </c>
      <c r="R156" s="11">
        <f>L156+O156</f>
        <v>0</v>
      </c>
      <c r="S156" s="11">
        <f>M156+P156</f>
        <v>4</v>
      </c>
      <c r="T156" s="8">
        <f>I156-Q156</f>
        <v>489.36999999999989</v>
      </c>
      <c r="U156" s="18">
        <v>8.6107139879311276E-2</v>
      </c>
      <c r="V156" s="11">
        <v>0.19</v>
      </c>
      <c r="W156" s="11">
        <v>3</v>
      </c>
      <c r="X156" s="11">
        <v>13</v>
      </c>
      <c r="Y156" s="11">
        <v>2</v>
      </c>
      <c r="Z156" t="s">
        <v>7</v>
      </c>
    </row>
    <row r="157" spans="1:26" x14ac:dyDescent="0.25">
      <c r="A157" s="20" t="s">
        <v>2996</v>
      </c>
      <c r="B157" s="20" t="s">
        <v>60</v>
      </c>
      <c r="C157" s="20" t="s">
        <v>2997</v>
      </c>
      <c r="D157" s="20" t="s">
        <v>216</v>
      </c>
      <c r="E157" s="13">
        <v>0</v>
      </c>
      <c r="F157" s="11">
        <v>0</v>
      </c>
      <c r="G157" s="13">
        <v>0</v>
      </c>
      <c r="H157" s="11">
        <v>0</v>
      </c>
      <c r="I157" s="13">
        <f>E157+G157</f>
        <v>0</v>
      </c>
      <c r="J157" s="11">
        <f>F157+H157</f>
        <v>0</v>
      </c>
      <c r="K157" s="13">
        <v>0</v>
      </c>
      <c r="L157" s="11">
        <v>0</v>
      </c>
      <c r="M157" s="11">
        <v>0</v>
      </c>
      <c r="N157" s="13">
        <v>0</v>
      </c>
      <c r="O157" s="11">
        <v>0</v>
      </c>
      <c r="P157" s="11">
        <v>0</v>
      </c>
      <c r="Q157" s="13">
        <f>K157+N157</f>
        <v>0</v>
      </c>
      <c r="R157" s="11">
        <f>L157+O157</f>
        <v>0</v>
      </c>
      <c r="S157" s="11">
        <f>M157+P157</f>
        <v>0</v>
      </c>
      <c r="T157" s="8">
        <f>I157-Q157</f>
        <v>0</v>
      </c>
      <c r="U157" s="18" t="s">
        <v>1803</v>
      </c>
      <c r="V157" s="11">
        <v>0</v>
      </c>
      <c r="W157" s="11">
        <v>0</v>
      </c>
      <c r="X157" s="11">
        <v>0</v>
      </c>
      <c r="Y157" s="11">
        <v>0</v>
      </c>
      <c r="Z157" t="s">
        <v>7</v>
      </c>
    </row>
    <row r="158" spans="1:26" x14ac:dyDescent="0.25">
      <c r="A158" s="20" t="s">
        <v>3027</v>
      </c>
      <c r="B158" s="20" t="s">
        <v>60</v>
      </c>
      <c r="C158" s="20" t="s">
        <v>3028</v>
      </c>
      <c r="D158" s="20" t="s">
        <v>216</v>
      </c>
      <c r="E158" s="13">
        <v>0</v>
      </c>
      <c r="F158" s="11">
        <v>0</v>
      </c>
      <c r="G158" s="13">
        <v>0</v>
      </c>
      <c r="H158" s="11">
        <v>0</v>
      </c>
      <c r="I158" s="13">
        <f>E158+G158</f>
        <v>0</v>
      </c>
      <c r="J158" s="11">
        <f>F158+H158</f>
        <v>0</v>
      </c>
      <c r="K158" s="13">
        <v>0</v>
      </c>
      <c r="L158" s="11">
        <v>0</v>
      </c>
      <c r="M158" s="11">
        <v>0</v>
      </c>
      <c r="N158" s="13">
        <v>0</v>
      </c>
      <c r="O158" s="11">
        <v>0</v>
      </c>
      <c r="P158" s="11">
        <v>0</v>
      </c>
      <c r="Q158" s="13">
        <f>K158+N158</f>
        <v>0</v>
      </c>
      <c r="R158" s="11">
        <f>L158+O158</f>
        <v>0</v>
      </c>
      <c r="S158" s="11">
        <f>M158+P158</f>
        <v>0</v>
      </c>
      <c r="T158" s="8">
        <f>I158-Q158</f>
        <v>0</v>
      </c>
      <c r="U158" s="18">
        <v>-4.5679500896490745E-4</v>
      </c>
      <c r="V158" s="11">
        <v>0</v>
      </c>
      <c r="W158" s="11">
        <v>0</v>
      </c>
      <c r="X158" s="11">
        <v>0</v>
      </c>
      <c r="Y158" s="11">
        <v>0</v>
      </c>
      <c r="Z158" t="s">
        <v>7</v>
      </c>
    </row>
    <row r="159" spans="1:26" x14ac:dyDescent="0.25">
      <c r="A159" s="20" t="s">
        <v>3060</v>
      </c>
      <c r="B159" s="20" t="s">
        <v>519</v>
      </c>
      <c r="C159" s="20" t="s">
        <v>221</v>
      </c>
      <c r="D159" s="20" t="s">
        <v>216</v>
      </c>
      <c r="E159" s="13">
        <v>0</v>
      </c>
      <c r="F159" s="11">
        <v>0</v>
      </c>
      <c r="G159" s="13">
        <v>15824</v>
      </c>
      <c r="H159" s="11">
        <v>0</v>
      </c>
      <c r="I159" s="13">
        <f>E159+G159</f>
        <v>15824</v>
      </c>
      <c r="J159" s="11">
        <f>F159+H159</f>
        <v>0</v>
      </c>
      <c r="K159" s="13">
        <v>0</v>
      </c>
      <c r="L159" s="11">
        <v>0</v>
      </c>
      <c r="M159" s="11">
        <v>0</v>
      </c>
      <c r="N159" s="13">
        <v>17098</v>
      </c>
      <c r="O159" s="11">
        <v>0</v>
      </c>
      <c r="P159" s="11">
        <v>0</v>
      </c>
      <c r="Q159" s="13">
        <f>K159+N159</f>
        <v>17098</v>
      </c>
      <c r="R159" s="11">
        <f>L159+O159</f>
        <v>0</v>
      </c>
      <c r="S159" s="11">
        <f>M159+P159</f>
        <v>0</v>
      </c>
      <c r="T159" s="8">
        <f>I159-Q159</f>
        <v>-1274</v>
      </c>
      <c r="U159" s="18">
        <v>1.4725766438425403E-2</v>
      </c>
      <c r="V159" s="11">
        <v>0</v>
      </c>
      <c r="W159" s="11">
        <v>0</v>
      </c>
      <c r="X159" s="11">
        <v>0</v>
      </c>
      <c r="Y159" s="11">
        <v>0</v>
      </c>
      <c r="Z159" t="s">
        <v>7</v>
      </c>
    </row>
    <row r="160" spans="1:26" x14ac:dyDescent="0.25">
      <c r="A160" s="20" t="s">
        <v>3061</v>
      </c>
      <c r="B160" s="20" t="s">
        <v>519</v>
      </c>
      <c r="C160" s="20" t="s">
        <v>221</v>
      </c>
      <c r="D160" s="20" t="s">
        <v>216</v>
      </c>
      <c r="E160" s="13">
        <v>6186</v>
      </c>
      <c r="F160" s="11">
        <v>1</v>
      </c>
      <c r="G160" s="13">
        <v>0</v>
      </c>
      <c r="H160" s="11">
        <v>0</v>
      </c>
      <c r="I160" s="13">
        <f>E160+G160</f>
        <v>6186</v>
      </c>
      <c r="J160" s="11">
        <f>F160+H160</f>
        <v>1</v>
      </c>
      <c r="K160" s="13">
        <v>16390</v>
      </c>
      <c r="L160" s="11">
        <v>0</v>
      </c>
      <c r="M160" s="11">
        <v>0</v>
      </c>
      <c r="N160" s="13">
        <v>-1894.64</v>
      </c>
      <c r="O160" s="11">
        <v>0</v>
      </c>
      <c r="P160" s="11">
        <v>0</v>
      </c>
      <c r="Q160" s="13">
        <f>K160+N160</f>
        <v>14495.36</v>
      </c>
      <c r="R160" s="11">
        <f>L160+O160</f>
        <v>0</v>
      </c>
      <c r="S160" s="11">
        <f>M160+P160</f>
        <v>0</v>
      </c>
      <c r="T160" s="8">
        <f>I160-Q160</f>
        <v>-8309.36</v>
      </c>
      <c r="U160" s="18">
        <v>0.51878464307440264</v>
      </c>
      <c r="V160" s="11">
        <v>0.17</v>
      </c>
      <c r="W160" s="11">
        <v>1</v>
      </c>
      <c r="X160" s="11">
        <v>5</v>
      </c>
      <c r="Y160" s="11">
        <v>0</v>
      </c>
      <c r="Z160" t="s">
        <v>7</v>
      </c>
    </row>
    <row r="161" spans="1:26" x14ac:dyDescent="0.25">
      <c r="A161" s="20" t="s">
        <v>3076</v>
      </c>
      <c r="B161" s="20" t="s">
        <v>3076</v>
      </c>
      <c r="C161" s="20" t="s">
        <v>3077</v>
      </c>
      <c r="D161" s="20" t="s">
        <v>216</v>
      </c>
      <c r="E161" s="13">
        <v>0</v>
      </c>
      <c r="F161" s="11">
        <v>0</v>
      </c>
      <c r="G161" s="13">
        <v>0</v>
      </c>
      <c r="H161" s="11">
        <v>0</v>
      </c>
      <c r="I161" s="13">
        <f>E161+G161</f>
        <v>0</v>
      </c>
      <c r="J161" s="11">
        <f>F161+H161</f>
        <v>0</v>
      </c>
      <c r="K161" s="13">
        <v>0</v>
      </c>
      <c r="L161" s="11">
        <v>0</v>
      </c>
      <c r="M161" s="11">
        <v>0</v>
      </c>
      <c r="N161" s="13">
        <v>0</v>
      </c>
      <c r="O161" s="11">
        <v>0</v>
      </c>
      <c r="P161" s="11">
        <v>0</v>
      </c>
      <c r="Q161" s="13">
        <f>K161+N161</f>
        <v>0</v>
      </c>
      <c r="R161" s="11">
        <f>L161+O161</f>
        <v>0</v>
      </c>
      <c r="S161" s="11">
        <f>M161+P161</f>
        <v>0</v>
      </c>
      <c r="T161" s="8">
        <f>I161-Q161</f>
        <v>0</v>
      </c>
      <c r="U161" s="18">
        <v>-0.10840263604273827</v>
      </c>
      <c r="V161" s="11">
        <v>0</v>
      </c>
      <c r="W161" s="11">
        <v>0</v>
      </c>
      <c r="X161" s="11">
        <v>0</v>
      </c>
      <c r="Y161" s="11">
        <v>0</v>
      </c>
      <c r="Z161" t="s">
        <v>7</v>
      </c>
    </row>
    <row r="162" spans="1:26" x14ac:dyDescent="0.25">
      <c r="A162" s="20" t="s">
        <v>3078</v>
      </c>
      <c r="B162" s="20" t="s">
        <v>83</v>
      </c>
      <c r="C162" s="20" t="s">
        <v>638</v>
      </c>
      <c r="D162" s="20" t="s">
        <v>216</v>
      </c>
      <c r="E162" s="13">
        <v>36882</v>
      </c>
      <c r="F162" s="11">
        <v>0</v>
      </c>
      <c r="G162" s="13">
        <v>1173</v>
      </c>
      <c r="H162" s="11">
        <v>0</v>
      </c>
      <c r="I162" s="13">
        <f>E162+G162</f>
        <v>38055</v>
      </c>
      <c r="J162" s="11">
        <f>F162+H162</f>
        <v>0</v>
      </c>
      <c r="K162" s="13">
        <v>44866.400000000001</v>
      </c>
      <c r="L162" s="11">
        <v>0</v>
      </c>
      <c r="M162" s="11">
        <v>3</v>
      </c>
      <c r="N162" s="13">
        <v>9506</v>
      </c>
      <c r="O162" s="11">
        <v>1</v>
      </c>
      <c r="P162" s="11">
        <v>1</v>
      </c>
      <c r="Q162" s="13">
        <f>K162+N162</f>
        <v>54372.4</v>
      </c>
      <c r="R162" s="11">
        <f>L162+O162</f>
        <v>1</v>
      </c>
      <c r="S162" s="11">
        <f>M162+P162</f>
        <v>4</v>
      </c>
      <c r="T162" s="8">
        <f>I162-Q162</f>
        <v>-16317.400000000001</v>
      </c>
      <c r="U162" s="18">
        <v>5.0090205314667666E-2</v>
      </c>
      <c r="V162" s="11">
        <v>0.36</v>
      </c>
      <c r="W162" s="11">
        <v>4</v>
      </c>
      <c r="X162" s="11">
        <v>7</v>
      </c>
      <c r="Y162" s="11">
        <v>1</v>
      </c>
      <c r="Z162" t="s">
        <v>7</v>
      </c>
    </row>
    <row r="163" spans="1:26" x14ac:dyDescent="0.25">
      <c r="A163" s="20" t="s">
        <v>3125</v>
      </c>
      <c r="B163" s="20" t="s">
        <v>3125</v>
      </c>
      <c r="C163" s="20" t="s">
        <v>3126</v>
      </c>
      <c r="D163" s="20" t="s">
        <v>216</v>
      </c>
      <c r="E163" s="13">
        <v>33807.94</v>
      </c>
      <c r="F163" s="11">
        <v>0</v>
      </c>
      <c r="G163" s="13">
        <v>64194</v>
      </c>
      <c r="H163" s="11">
        <v>0</v>
      </c>
      <c r="I163" s="13">
        <f>E163+G163</f>
        <v>98001.94</v>
      </c>
      <c r="J163" s="11">
        <f>F163+H163</f>
        <v>0</v>
      </c>
      <c r="K163" s="13">
        <v>34802</v>
      </c>
      <c r="L163" s="11">
        <v>0</v>
      </c>
      <c r="M163" s="11">
        <v>0</v>
      </c>
      <c r="N163" s="13">
        <v>74178</v>
      </c>
      <c r="O163" s="11">
        <v>0</v>
      </c>
      <c r="P163" s="11">
        <v>2</v>
      </c>
      <c r="Q163" s="13">
        <f>K163+N163</f>
        <v>108980</v>
      </c>
      <c r="R163" s="11">
        <f>L163+O163</f>
        <v>0</v>
      </c>
      <c r="S163" s="11">
        <f>M163+P163</f>
        <v>2</v>
      </c>
      <c r="T163" s="8">
        <f>I163-Q163</f>
        <v>-10978.059999999998</v>
      </c>
      <c r="U163" s="18">
        <v>0.10930926853851772</v>
      </c>
      <c r="V163" s="11">
        <v>0.27</v>
      </c>
      <c r="W163" s="11">
        <v>3</v>
      </c>
      <c r="X163" s="11">
        <v>8</v>
      </c>
      <c r="Y163" s="11">
        <v>3</v>
      </c>
      <c r="Z163" t="s">
        <v>7</v>
      </c>
    </row>
    <row r="164" spans="1:26" x14ac:dyDescent="0.25">
      <c r="A164" s="20" t="s">
        <v>3214</v>
      </c>
      <c r="B164" s="20" t="s">
        <v>124</v>
      </c>
      <c r="C164" s="20" t="s">
        <v>265</v>
      </c>
      <c r="D164" s="20" t="s">
        <v>215</v>
      </c>
      <c r="E164" s="13">
        <v>0</v>
      </c>
      <c r="F164" s="11">
        <v>0</v>
      </c>
      <c r="G164" s="13">
        <v>0</v>
      </c>
      <c r="H164" s="11">
        <v>0</v>
      </c>
      <c r="I164" s="13">
        <f>E164+G164</f>
        <v>0</v>
      </c>
      <c r="J164" s="11">
        <f>F164+H164</f>
        <v>0</v>
      </c>
      <c r="K164" s="13">
        <v>5979</v>
      </c>
      <c r="L164" s="11">
        <v>0</v>
      </c>
      <c r="M164" s="11">
        <v>0</v>
      </c>
      <c r="N164" s="13">
        <v>7208.5</v>
      </c>
      <c r="O164" s="11">
        <v>0</v>
      </c>
      <c r="P164" s="11">
        <v>0</v>
      </c>
      <c r="Q164" s="13">
        <f>K164+N164</f>
        <v>13187.5</v>
      </c>
      <c r="R164" s="11">
        <f>L164+O164</f>
        <v>0</v>
      </c>
      <c r="S164" s="11">
        <f>M164+P164</f>
        <v>0</v>
      </c>
      <c r="T164" s="8">
        <f>I164-Q164</f>
        <v>-13187.5</v>
      </c>
      <c r="U164" s="18" t="s">
        <v>1803</v>
      </c>
      <c r="V164" s="11">
        <v>0</v>
      </c>
      <c r="W164" s="11">
        <v>0</v>
      </c>
      <c r="X164" s="11">
        <v>0</v>
      </c>
      <c r="Y164" s="11">
        <v>0</v>
      </c>
      <c r="Z164" t="s">
        <v>7</v>
      </c>
    </row>
    <row r="165" spans="1:26" x14ac:dyDescent="0.25">
      <c r="A165" s="20" t="s">
        <v>3224</v>
      </c>
      <c r="B165" s="20" t="s">
        <v>77</v>
      </c>
      <c r="C165" s="20" t="s">
        <v>3225</v>
      </c>
      <c r="D165" s="20" t="s">
        <v>216</v>
      </c>
      <c r="E165" s="13">
        <v>0</v>
      </c>
      <c r="F165" s="11">
        <v>0</v>
      </c>
      <c r="G165" s="13">
        <v>0</v>
      </c>
      <c r="H165" s="11">
        <v>0</v>
      </c>
      <c r="I165" s="13">
        <f>E165+G165</f>
        <v>0</v>
      </c>
      <c r="J165" s="11">
        <f>F165+H165</f>
        <v>0</v>
      </c>
      <c r="K165" s="13">
        <v>0</v>
      </c>
      <c r="L165" s="11">
        <v>0</v>
      </c>
      <c r="M165" s="11">
        <v>0</v>
      </c>
      <c r="N165" s="13">
        <v>0</v>
      </c>
      <c r="O165" s="11">
        <v>0</v>
      </c>
      <c r="P165" s="11">
        <v>0</v>
      </c>
      <c r="Q165" s="13">
        <f>K165+N165</f>
        <v>0</v>
      </c>
      <c r="R165" s="11">
        <f>L165+O165</f>
        <v>0</v>
      </c>
      <c r="S165" s="11">
        <f>M165+P165</f>
        <v>0</v>
      </c>
      <c r="T165" s="8">
        <f>I165-Q165</f>
        <v>0</v>
      </c>
      <c r="U165" s="18">
        <v>0.12329856746226324</v>
      </c>
      <c r="V165" s="11">
        <v>0</v>
      </c>
      <c r="W165" s="11">
        <v>0</v>
      </c>
      <c r="X165" s="11">
        <v>0</v>
      </c>
      <c r="Y165" s="11">
        <v>0</v>
      </c>
      <c r="Z165" t="s">
        <v>7</v>
      </c>
    </row>
    <row r="166" spans="1:26" x14ac:dyDescent="0.25">
      <c r="A166" s="20" t="s">
        <v>3288</v>
      </c>
      <c r="B166" s="20" t="s">
        <v>3203</v>
      </c>
      <c r="C166" s="20" t="s">
        <v>277</v>
      </c>
      <c r="D166" s="20" t="s">
        <v>216</v>
      </c>
      <c r="E166" s="13">
        <v>19105</v>
      </c>
      <c r="F166" s="11">
        <v>0</v>
      </c>
      <c r="G166" s="13">
        <v>4675</v>
      </c>
      <c r="H166" s="11">
        <v>0</v>
      </c>
      <c r="I166" s="13">
        <f>E166+G166</f>
        <v>23780</v>
      </c>
      <c r="J166" s="11">
        <f>F166+H166</f>
        <v>0</v>
      </c>
      <c r="K166" s="13">
        <v>17079</v>
      </c>
      <c r="L166" s="11">
        <v>0</v>
      </c>
      <c r="M166" s="11">
        <v>0</v>
      </c>
      <c r="N166" s="13">
        <v>1467</v>
      </c>
      <c r="O166" s="11">
        <v>0</v>
      </c>
      <c r="P166" s="11">
        <v>0</v>
      </c>
      <c r="Q166" s="13">
        <f>K166+N166</f>
        <v>18546</v>
      </c>
      <c r="R166" s="11">
        <f>L166+O166</f>
        <v>0</v>
      </c>
      <c r="S166" s="11">
        <f>M166+P166</f>
        <v>0</v>
      </c>
      <c r="T166" s="8">
        <f>I166-Q166</f>
        <v>5234</v>
      </c>
      <c r="U166" s="18">
        <v>0.23296703804279342</v>
      </c>
      <c r="V166" s="11">
        <v>0.33</v>
      </c>
      <c r="W166" s="11">
        <v>1</v>
      </c>
      <c r="X166" s="11">
        <v>2</v>
      </c>
      <c r="Y166" s="11">
        <v>0</v>
      </c>
      <c r="Z166" t="s">
        <v>7</v>
      </c>
    </row>
    <row r="167" spans="1:26" x14ac:dyDescent="0.25">
      <c r="A167" s="20" t="s">
        <v>3289</v>
      </c>
      <c r="B167" s="20" t="s">
        <v>3203</v>
      </c>
      <c r="C167" s="20" t="s">
        <v>3011</v>
      </c>
      <c r="D167" s="20" t="s">
        <v>216</v>
      </c>
      <c r="E167" s="13">
        <v>2401</v>
      </c>
      <c r="F167" s="11">
        <v>0</v>
      </c>
      <c r="G167" s="13">
        <v>0</v>
      </c>
      <c r="H167" s="11">
        <v>0</v>
      </c>
      <c r="I167" s="13">
        <f>E167+G167</f>
        <v>2401</v>
      </c>
      <c r="J167" s="11">
        <f>F167+H167</f>
        <v>0</v>
      </c>
      <c r="K167" s="13">
        <v>560</v>
      </c>
      <c r="L167" s="11">
        <v>1</v>
      </c>
      <c r="M167" s="11">
        <v>2</v>
      </c>
      <c r="N167" s="13">
        <v>0</v>
      </c>
      <c r="O167" s="11">
        <v>0</v>
      </c>
      <c r="P167" s="11">
        <v>0</v>
      </c>
      <c r="Q167" s="13">
        <f>K167+N167</f>
        <v>560</v>
      </c>
      <c r="R167" s="11">
        <f>L167+O167</f>
        <v>1</v>
      </c>
      <c r="S167" s="11">
        <f>M167+P167</f>
        <v>2</v>
      </c>
      <c r="T167" s="8">
        <f>I167-Q167</f>
        <v>1841</v>
      </c>
      <c r="U167" s="18">
        <v>7.1494224917742835E-2</v>
      </c>
      <c r="V167" s="11">
        <v>0.17</v>
      </c>
      <c r="W167" s="11">
        <v>1</v>
      </c>
      <c r="X167" s="11">
        <v>5</v>
      </c>
      <c r="Y167" s="11">
        <v>0</v>
      </c>
      <c r="Z167" t="s">
        <v>7</v>
      </c>
    </row>
    <row r="168" spans="1:26" x14ac:dyDescent="0.25">
      <c r="A168" s="20" t="s">
        <v>3336</v>
      </c>
      <c r="B168" s="20" t="s">
        <v>519</v>
      </c>
      <c r="C168" s="20" t="s">
        <v>221</v>
      </c>
      <c r="D168" s="20" t="s">
        <v>216</v>
      </c>
      <c r="E168" s="13">
        <v>0</v>
      </c>
      <c r="F168" s="11">
        <v>0</v>
      </c>
      <c r="G168" s="13">
        <v>0</v>
      </c>
      <c r="H168" s="11">
        <v>0</v>
      </c>
      <c r="I168" s="13">
        <f>E168+G168</f>
        <v>0</v>
      </c>
      <c r="J168" s="11">
        <f>F168+H168</f>
        <v>0</v>
      </c>
      <c r="K168" s="13">
        <v>0</v>
      </c>
      <c r="L168" s="11">
        <v>0</v>
      </c>
      <c r="M168" s="11">
        <v>0</v>
      </c>
      <c r="N168" s="13">
        <v>0</v>
      </c>
      <c r="O168" s="11">
        <v>0</v>
      </c>
      <c r="P168" s="11">
        <v>1</v>
      </c>
      <c r="Q168" s="13">
        <f>K168+N168</f>
        <v>0</v>
      </c>
      <c r="R168" s="11">
        <f>L168+O168</f>
        <v>0</v>
      </c>
      <c r="S168" s="11">
        <f>M168+P168</f>
        <v>1</v>
      </c>
      <c r="T168" s="8">
        <f>I168-Q168</f>
        <v>0</v>
      </c>
      <c r="U168" s="18">
        <v>0.12307287658196314</v>
      </c>
      <c r="V168" s="11">
        <v>0.25</v>
      </c>
      <c r="W168" s="11">
        <v>1</v>
      </c>
      <c r="X168" s="11">
        <v>3</v>
      </c>
      <c r="Y168" s="11">
        <v>0</v>
      </c>
      <c r="Z168" t="s">
        <v>7</v>
      </c>
    </row>
    <row r="169" spans="1:26" x14ac:dyDescent="0.25">
      <c r="A169" s="20" t="s">
        <v>3337</v>
      </c>
      <c r="B169" s="20" t="s">
        <v>3203</v>
      </c>
      <c r="C169" s="20" t="s">
        <v>3338</v>
      </c>
      <c r="D169" s="20" t="s">
        <v>216</v>
      </c>
      <c r="E169" s="13">
        <v>0</v>
      </c>
      <c r="F169" s="11">
        <v>0</v>
      </c>
      <c r="G169" s="13">
        <v>0</v>
      </c>
      <c r="H169" s="11">
        <v>0</v>
      </c>
      <c r="I169" s="13">
        <f>E169+G169</f>
        <v>0</v>
      </c>
      <c r="J169" s="11">
        <f>F169+H169</f>
        <v>0</v>
      </c>
      <c r="K169" s="13">
        <v>0</v>
      </c>
      <c r="L169" s="11">
        <v>0</v>
      </c>
      <c r="M169" s="11">
        <v>0</v>
      </c>
      <c r="N169" s="13">
        <v>0</v>
      </c>
      <c r="O169" s="11">
        <v>0</v>
      </c>
      <c r="P169" s="11">
        <v>0</v>
      </c>
      <c r="Q169" s="13">
        <f>K169+N169</f>
        <v>0</v>
      </c>
      <c r="R169" s="11">
        <f>L169+O169</f>
        <v>0</v>
      </c>
      <c r="S169" s="11">
        <f>M169+P169</f>
        <v>0</v>
      </c>
      <c r="T169" s="8">
        <f>I169-Q169</f>
        <v>0</v>
      </c>
      <c r="U169" s="18" t="s">
        <v>1803</v>
      </c>
      <c r="V169" s="11">
        <v>0</v>
      </c>
      <c r="W169" s="11">
        <v>0</v>
      </c>
      <c r="X169" s="11">
        <v>0</v>
      </c>
      <c r="Y169" s="11">
        <v>0</v>
      </c>
      <c r="Z169" t="s">
        <v>7</v>
      </c>
    </row>
    <row r="170" spans="1:26" x14ac:dyDescent="0.25">
      <c r="A170" s="20" t="s">
        <v>3335</v>
      </c>
      <c r="B170" s="20" t="s">
        <v>3335</v>
      </c>
      <c r="C170" s="20" t="s">
        <v>3339</v>
      </c>
      <c r="D170" s="20" t="s">
        <v>216</v>
      </c>
      <c r="E170" s="13">
        <v>0</v>
      </c>
      <c r="F170" s="11">
        <v>0</v>
      </c>
      <c r="G170" s="13">
        <v>10527</v>
      </c>
      <c r="H170" s="11">
        <v>0</v>
      </c>
      <c r="I170" s="13">
        <f>E170+G170</f>
        <v>10527</v>
      </c>
      <c r="J170" s="11">
        <f>F170+H170</f>
        <v>0</v>
      </c>
      <c r="K170" s="13">
        <v>0</v>
      </c>
      <c r="L170" s="11">
        <v>0</v>
      </c>
      <c r="M170" s="11">
        <v>0</v>
      </c>
      <c r="N170" s="13">
        <v>9963</v>
      </c>
      <c r="O170" s="11">
        <v>0</v>
      </c>
      <c r="P170" s="11">
        <v>1</v>
      </c>
      <c r="Q170" s="13">
        <f>K170+N170</f>
        <v>9963</v>
      </c>
      <c r="R170" s="11">
        <f>L170+O170</f>
        <v>0</v>
      </c>
      <c r="S170" s="11">
        <f>M170+P170</f>
        <v>1</v>
      </c>
      <c r="T170" s="8">
        <f>I170-Q170</f>
        <v>564</v>
      </c>
      <c r="U170" s="18">
        <v>0.23655717013827113</v>
      </c>
      <c r="V170" s="11">
        <v>0.2</v>
      </c>
      <c r="W170" s="11">
        <v>1</v>
      </c>
      <c r="X170" s="11">
        <v>4</v>
      </c>
      <c r="Y170" s="11">
        <v>0</v>
      </c>
      <c r="Z170" t="s">
        <v>7</v>
      </c>
    </row>
    <row r="171" spans="1:26" x14ac:dyDescent="0.25">
      <c r="A171" s="20" t="s">
        <v>3360</v>
      </c>
      <c r="B171" s="20" t="s">
        <v>91</v>
      </c>
      <c r="C171" s="20" t="s">
        <v>3361</v>
      </c>
      <c r="D171" s="20" t="s">
        <v>216</v>
      </c>
      <c r="E171" s="13">
        <v>0</v>
      </c>
      <c r="F171" s="11">
        <v>0</v>
      </c>
      <c r="G171" s="13">
        <v>0</v>
      </c>
      <c r="H171" s="11">
        <v>0</v>
      </c>
      <c r="I171" s="13">
        <f>E171+G171</f>
        <v>0</v>
      </c>
      <c r="J171" s="11">
        <f>F171+H171</f>
        <v>0</v>
      </c>
      <c r="K171" s="13">
        <v>0</v>
      </c>
      <c r="L171" s="11">
        <v>0</v>
      </c>
      <c r="M171" s="11">
        <v>0</v>
      </c>
      <c r="N171" s="13">
        <v>0</v>
      </c>
      <c r="O171" s="11">
        <v>0</v>
      </c>
      <c r="P171" s="11">
        <v>0</v>
      </c>
      <c r="Q171" s="13">
        <f>K171+N171</f>
        <v>0</v>
      </c>
      <c r="R171" s="11">
        <f>L171+O171</f>
        <v>0</v>
      </c>
      <c r="S171" s="11">
        <f>M171+P171</f>
        <v>0</v>
      </c>
      <c r="T171" s="8">
        <f>I171-Q171</f>
        <v>0</v>
      </c>
      <c r="U171" s="18" t="s">
        <v>1803</v>
      </c>
      <c r="V171" s="11">
        <v>0</v>
      </c>
      <c r="W171" s="11">
        <v>0</v>
      </c>
      <c r="X171" s="11">
        <v>2</v>
      </c>
      <c r="Y171" s="11">
        <v>0</v>
      </c>
      <c r="Z171" t="s">
        <v>7</v>
      </c>
    </row>
    <row r="172" spans="1:26" x14ac:dyDescent="0.25">
      <c r="A172" s="20" t="s">
        <v>3380</v>
      </c>
      <c r="B172" s="20" t="s">
        <v>60</v>
      </c>
      <c r="C172" s="20" t="s">
        <v>3381</v>
      </c>
      <c r="D172" s="20" t="s">
        <v>216</v>
      </c>
      <c r="E172" s="13">
        <v>0</v>
      </c>
      <c r="F172" s="11">
        <v>0</v>
      </c>
      <c r="G172" s="13">
        <v>-4976.3900000000003</v>
      </c>
      <c r="H172" s="11">
        <v>0</v>
      </c>
      <c r="I172" s="13">
        <f>E172+G172</f>
        <v>-4976.3900000000003</v>
      </c>
      <c r="J172" s="11">
        <f>F172+H172</f>
        <v>0</v>
      </c>
      <c r="K172" s="13">
        <v>0</v>
      </c>
      <c r="L172" s="11">
        <v>0</v>
      </c>
      <c r="M172" s="11">
        <v>0</v>
      </c>
      <c r="N172" s="13">
        <v>0</v>
      </c>
      <c r="O172" s="11">
        <v>0</v>
      </c>
      <c r="P172" s="11">
        <v>4</v>
      </c>
      <c r="Q172" s="13">
        <f>K172+N172</f>
        <v>0</v>
      </c>
      <c r="R172" s="11">
        <f>L172+O172</f>
        <v>0</v>
      </c>
      <c r="S172" s="11">
        <f>M172+P172</f>
        <v>4</v>
      </c>
      <c r="T172" s="8">
        <f>I172-Q172</f>
        <v>-4976.3900000000003</v>
      </c>
      <c r="U172" s="18">
        <v>1.7026531331101134E-2</v>
      </c>
      <c r="V172" s="11">
        <v>0.36</v>
      </c>
      <c r="W172" s="11">
        <v>4</v>
      </c>
      <c r="X172" s="11">
        <v>7</v>
      </c>
      <c r="Y172" s="11">
        <v>0</v>
      </c>
      <c r="Z172" t="s">
        <v>7</v>
      </c>
    </row>
    <row r="173" spans="1:26" x14ac:dyDescent="0.25">
      <c r="A173" s="20" t="s">
        <v>3382</v>
      </c>
      <c r="B173" s="20" t="s">
        <v>60</v>
      </c>
      <c r="C173" s="20" t="s">
        <v>3383</v>
      </c>
      <c r="D173" s="20" t="s">
        <v>216</v>
      </c>
      <c r="E173" s="13">
        <v>6639</v>
      </c>
      <c r="F173" s="11">
        <v>1</v>
      </c>
      <c r="G173" s="13">
        <v>0</v>
      </c>
      <c r="H173" s="11">
        <v>0</v>
      </c>
      <c r="I173" s="13">
        <f>E173+G173</f>
        <v>6639</v>
      </c>
      <c r="J173" s="11">
        <f>F173+H173</f>
        <v>1</v>
      </c>
      <c r="K173" s="13">
        <v>0</v>
      </c>
      <c r="L173" s="11">
        <v>0</v>
      </c>
      <c r="M173" s="11">
        <v>0</v>
      </c>
      <c r="N173" s="13">
        <v>0</v>
      </c>
      <c r="O173" s="11">
        <v>0</v>
      </c>
      <c r="P173" s="11">
        <v>0</v>
      </c>
      <c r="Q173" s="13">
        <f>K173+N173</f>
        <v>0</v>
      </c>
      <c r="R173" s="11">
        <f>L173+O173</f>
        <v>0</v>
      </c>
      <c r="S173" s="11">
        <f>M173+P173</f>
        <v>0</v>
      </c>
      <c r="T173" s="8">
        <f>I173-Q173</f>
        <v>6639</v>
      </c>
      <c r="U173" s="18">
        <v>0.3381462253947653</v>
      </c>
      <c r="V173" s="11">
        <v>0.25</v>
      </c>
      <c r="W173" s="11">
        <v>1</v>
      </c>
      <c r="X173" s="11">
        <v>3</v>
      </c>
      <c r="Y173" s="11">
        <v>0</v>
      </c>
      <c r="Z173" t="s">
        <v>7</v>
      </c>
    </row>
    <row r="174" spans="1:26" x14ac:dyDescent="0.25">
      <c r="A174" s="20" t="s">
        <v>3578</v>
      </c>
      <c r="B174" s="20" t="s">
        <v>60</v>
      </c>
      <c r="C174" s="20" t="s">
        <v>3579</v>
      </c>
      <c r="D174" s="20" t="s">
        <v>216</v>
      </c>
      <c r="E174" s="13">
        <v>0</v>
      </c>
      <c r="F174" s="11">
        <v>0</v>
      </c>
      <c r="G174" s="13">
        <v>0</v>
      </c>
      <c r="H174" s="11">
        <v>0</v>
      </c>
      <c r="I174" s="13">
        <f>E174+G174</f>
        <v>0</v>
      </c>
      <c r="J174" s="11">
        <f>F174+H174</f>
        <v>0</v>
      </c>
      <c r="K174" s="13">
        <v>0</v>
      </c>
      <c r="L174" s="11">
        <v>0</v>
      </c>
      <c r="M174" s="11">
        <v>0</v>
      </c>
      <c r="N174" s="13">
        <v>0</v>
      </c>
      <c r="O174" s="11">
        <v>0</v>
      </c>
      <c r="P174" s="11">
        <v>0</v>
      </c>
      <c r="Q174" s="13">
        <f>K174+N174</f>
        <v>0</v>
      </c>
      <c r="R174" s="11">
        <f>L174+O174</f>
        <v>0</v>
      </c>
      <c r="S174" s="11">
        <f>M174+P174</f>
        <v>0</v>
      </c>
      <c r="T174" s="8">
        <f>I174-Q174</f>
        <v>0</v>
      </c>
      <c r="U174" s="18">
        <v>0.11522215471494622</v>
      </c>
      <c r="V174" s="11">
        <v>0</v>
      </c>
      <c r="W174" s="11">
        <v>0</v>
      </c>
      <c r="X174" s="11">
        <v>2</v>
      </c>
      <c r="Y174" s="11">
        <v>0</v>
      </c>
      <c r="Z174" t="s">
        <v>7</v>
      </c>
    </row>
    <row r="175" spans="1:26" x14ac:dyDescent="0.25">
      <c r="A175" s="20" t="s">
        <v>3588</v>
      </c>
      <c r="B175" s="20" t="s">
        <v>3588</v>
      </c>
      <c r="C175" s="20" t="s">
        <v>283</v>
      </c>
      <c r="D175" s="20" t="s">
        <v>216</v>
      </c>
      <c r="E175" s="13">
        <v>66885.009999999995</v>
      </c>
      <c r="F175" s="11">
        <v>1</v>
      </c>
      <c r="G175" s="13">
        <v>47930.5</v>
      </c>
      <c r="H175" s="11">
        <v>1</v>
      </c>
      <c r="I175" s="13">
        <f>E175+G175</f>
        <v>114815.51</v>
      </c>
      <c r="J175" s="11">
        <f>F175+H175</f>
        <v>2</v>
      </c>
      <c r="K175" s="13">
        <v>0</v>
      </c>
      <c r="L175" s="11">
        <v>0</v>
      </c>
      <c r="M175" s="11">
        <v>2</v>
      </c>
      <c r="N175" s="13">
        <v>0</v>
      </c>
      <c r="O175" s="11">
        <v>4</v>
      </c>
      <c r="P175" s="11">
        <v>9</v>
      </c>
      <c r="Q175" s="13">
        <f>K175+N175</f>
        <v>0</v>
      </c>
      <c r="R175" s="11">
        <f>L175+O175</f>
        <v>4</v>
      </c>
      <c r="S175" s="11">
        <f>M175+P175</f>
        <v>11</v>
      </c>
      <c r="T175" s="8">
        <f>I175-Q175</f>
        <v>114815.51</v>
      </c>
      <c r="U175" s="18">
        <v>0.1193336625416456</v>
      </c>
      <c r="V175" s="11">
        <v>0.38</v>
      </c>
      <c r="W175" s="11">
        <v>10</v>
      </c>
      <c r="X175" s="11">
        <v>16</v>
      </c>
      <c r="Y175" s="11">
        <v>0</v>
      </c>
      <c r="Z175" t="s">
        <v>7</v>
      </c>
    </row>
    <row r="176" spans="1:26" x14ac:dyDescent="0.25">
      <c r="A176" s="20" t="s">
        <v>3593</v>
      </c>
      <c r="B176" s="20" t="s">
        <v>260</v>
      </c>
      <c r="C176" s="20" t="s">
        <v>286</v>
      </c>
      <c r="D176" s="20" t="s">
        <v>216</v>
      </c>
      <c r="E176" s="13">
        <v>3024</v>
      </c>
      <c r="F176" s="11">
        <v>0</v>
      </c>
      <c r="G176" s="13">
        <v>2091</v>
      </c>
      <c r="H176" s="11">
        <v>0</v>
      </c>
      <c r="I176" s="13">
        <f>E176+G176</f>
        <v>5115</v>
      </c>
      <c r="J176" s="11">
        <f>F176+H176</f>
        <v>0</v>
      </c>
      <c r="K176" s="13">
        <v>0</v>
      </c>
      <c r="L176" s="11">
        <v>0</v>
      </c>
      <c r="M176" s="11">
        <v>1</v>
      </c>
      <c r="N176" s="13">
        <v>0</v>
      </c>
      <c r="O176" s="11">
        <v>0</v>
      </c>
      <c r="P176" s="11">
        <v>0</v>
      </c>
      <c r="Q176" s="13">
        <f>K176+N176</f>
        <v>0</v>
      </c>
      <c r="R176" s="11">
        <f>L176+O176</f>
        <v>0</v>
      </c>
      <c r="S176" s="11">
        <f>M176+P176</f>
        <v>1</v>
      </c>
      <c r="T176" s="8">
        <f>I176-Q176</f>
        <v>5115</v>
      </c>
      <c r="U176" s="18">
        <v>-5.0370100090768293E-3</v>
      </c>
      <c r="V176" s="11">
        <v>0.33</v>
      </c>
      <c r="W176" s="11">
        <v>1</v>
      </c>
      <c r="X176" s="11">
        <v>2</v>
      </c>
      <c r="Y176" s="11">
        <v>0</v>
      </c>
      <c r="Z176" t="s">
        <v>7</v>
      </c>
    </row>
    <row r="177" spans="1:26" x14ac:dyDescent="0.25">
      <c r="A177" s="20" t="s">
        <v>3601</v>
      </c>
      <c r="B177" s="20" t="s">
        <v>3588</v>
      </c>
      <c r="C177" s="20" t="s">
        <v>2995</v>
      </c>
      <c r="D177" s="20" t="s">
        <v>216</v>
      </c>
      <c r="E177" s="13">
        <v>0</v>
      </c>
      <c r="F177" s="11">
        <v>0</v>
      </c>
      <c r="G177" s="13">
        <v>0</v>
      </c>
      <c r="H177" s="11">
        <v>0</v>
      </c>
      <c r="I177" s="13">
        <f>E177+G177</f>
        <v>0</v>
      </c>
      <c r="J177" s="11">
        <f>F177+H177</f>
        <v>0</v>
      </c>
      <c r="K177" s="13">
        <v>0</v>
      </c>
      <c r="L177" s="11">
        <v>0</v>
      </c>
      <c r="M177" s="11">
        <v>0</v>
      </c>
      <c r="N177" s="13">
        <v>0</v>
      </c>
      <c r="O177" s="11">
        <v>0</v>
      </c>
      <c r="P177" s="11">
        <v>0</v>
      </c>
      <c r="Q177" s="13">
        <f>K177+N177</f>
        <v>0</v>
      </c>
      <c r="R177" s="11">
        <f>L177+O177</f>
        <v>0</v>
      </c>
      <c r="S177" s="11">
        <f>M177+P177</f>
        <v>0</v>
      </c>
      <c r="T177" s="8">
        <f>I177-Q177</f>
        <v>0</v>
      </c>
      <c r="U177" s="18">
        <v>-0.11766060990007776</v>
      </c>
      <c r="V177" s="11">
        <v>0</v>
      </c>
      <c r="W177" s="11">
        <v>0</v>
      </c>
      <c r="X177" s="11">
        <v>0</v>
      </c>
      <c r="Y177" s="11">
        <v>0</v>
      </c>
      <c r="Z177" t="s">
        <v>7</v>
      </c>
    </row>
    <row r="178" spans="1:26" x14ac:dyDescent="0.25">
      <c r="A178" s="20" t="s">
        <v>3602</v>
      </c>
      <c r="B178" s="20" t="s">
        <v>260</v>
      </c>
      <c r="C178" s="20" t="s">
        <v>286</v>
      </c>
      <c r="D178" s="20" t="s">
        <v>216</v>
      </c>
      <c r="E178" s="13">
        <v>0</v>
      </c>
      <c r="F178" s="11">
        <v>0</v>
      </c>
      <c r="G178" s="13">
        <v>0</v>
      </c>
      <c r="H178" s="11">
        <v>0</v>
      </c>
      <c r="I178" s="13">
        <f>E178+G178</f>
        <v>0</v>
      </c>
      <c r="J178" s="11">
        <f>F178+H178</f>
        <v>0</v>
      </c>
      <c r="K178" s="13">
        <v>0</v>
      </c>
      <c r="L178" s="11">
        <v>0</v>
      </c>
      <c r="M178" s="11">
        <v>0</v>
      </c>
      <c r="N178" s="13">
        <v>0</v>
      </c>
      <c r="O178" s="11">
        <v>0</v>
      </c>
      <c r="P178" s="11">
        <v>0</v>
      </c>
      <c r="Q178" s="13">
        <f>K178+N178</f>
        <v>0</v>
      </c>
      <c r="R178" s="11">
        <f>L178+O178</f>
        <v>0</v>
      </c>
      <c r="S178" s="11">
        <f>M178+P178</f>
        <v>0</v>
      </c>
      <c r="T178" s="8">
        <f>I178-Q178</f>
        <v>0</v>
      </c>
      <c r="U178" s="18" t="s">
        <v>1803</v>
      </c>
      <c r="V178" s="11">
        <v>0</v>
      </c>
      <c r="W178" s="11">
        <v>0</v>
      </c>
      <c r="X178" s="11">
        <v>0</v>
      </c>
      <c r="Y178" s="11">
        <v>0</v>
      </c>
      <c r="Z178" t="s">
        <v>7</v>
      </c>
    </row>
    <row r="179" spans="1:26" x14ac:dyDescent="0.25">
      <c r="A179" s="20" t="s">
        <v>3603</v>
      </c>
      <c r="B179" s="20" t="s">
        <v>60</v>
      </c>
      <c r="C179" s="20" t="s">
        <v>3604</v>
      </c>
      <c r="D179" s="20" t="s">
        <v>216</v>
      </c>
      <c r="E179" s="13">
        <v>0</v>
      </c>
      <c r="F179" s="11">
        <v>0</v>
      </c>
      <c r="G179" s="13">
        <v>0</v>
      </c>
      <c r="H179" s="11">
        <v>0</v>
      </c>
      <c r="I179" s="13">
        <f>E179+G179</f>
        <v>0</v>
      </c>
      <c r="J179" s="11">
        <f>F179+H179</f>
        <v>0</v>
      </c>
      <c r="K179" s="13">
        <v>0</v>
      </c>
      <c r="L179" s="11">
        <v>0</v>
      </c>
      <c r="M179" s="11">
        <v>0</v>
      </c>
      <c r="N179" s="13">
        <v>0</v>
      </c>
      <c r="O179" s="11">
        <v>0</v>
      </c>
      <c r="P179" s="11">
        <v>0</v>
      </c>
      <c r="Q179" s="13">
        <f>K179+N179</f>
        <v>0</v>
      </c>
      <c r="R179" s="11">
        <f>L179+O179</f>
        <v>0</v>
      </c>
      <c r="S179" s="11">
        <f>M179+P179</f>
        <v>0</v>
      </c>
      <c r="T179" s="8">
        <f>I179-Q179</f>
        <v>0</v>
      </c>
      <c r="U179" s="18" t="s">
        <v>1803</v>
      </c>
      <c r="V179" s="11">
        <v>0</v>
      </c>
      <c r="W179" s="11">
        <v>0</v>
      </c>
      <c r="X179" s="11">
        <v>0</v>
      </c>
      <c r="Y179" s="11">
        <v>0</v>
      </c>
      <c r="Z179" t="s">
        <v>7</v>
      </c>
    </row>
    <row r="180" spans="1:26" x14ac:dyDescent="0.25">
      <c r="A180" s="20" t="s">
        <v>3615</v>
      </c>
      <c r="B180" s="20" t="s">
        <v>91</v>
      </c>
      <c r="C180" s="20" t="s">
        <v>3616</v>
      </c>
      <c r="D180" s="20" t="s">
        <v>216</v>
      </c>
      <c r="E180" s="13">
        <v>0</v>
      </c>
      <c r="F180" s="11">
        <v>0</v>
      </c>
      <c r="G180" s="13">
        <v>0</v>
      </c>
      <c r="H180" s="11">
        <v>0</v>
      </c>
      <c r="I180" s="13">
        <f>E180+G180</f>
        <v>0</v>
      </c>
      <c r="J180" s="11">
        <f>F180+H180</f>
        <v>0</v>
      </c>
      <c r="K180" s="13">
        <v>0</v>
      </c>
      <c r="L180" s="11">
        <v>0</v>
      </c>
      <c r="M180" s="11">
        <v>0</v>
      </c>
      <c r="N180" s="13">
        <v>0</v>
      </c>
      <c r="O180" s="11">
        <v>0</v>
      </c>
      <c r="P180" s="11">
        <v>0</v>
      </c>
      <c r="Q180" s="13">
        <f>K180+N180</f>
        <v>0</v>
      </c>
      <c r="R180" s="11">
        <f>L180+O180</f>
        <v>0</v>
      </c>
      <c r="S180" s="11">
        <f>M180+P180</f>
        <v>0</v>
      </c>
      <c r="T180" s="8">
        <f>I180-Q180</f>
        <v>0</v>
      </c>
      <c r="U180" s="18" t="s">
        <v>1803</v>
      </c>
      <c r="V180" s="11">
        <v>0</v>
      </c>
      <c r="W180" s="11">
        <v>0</v>
      </c>
      <c r="X180" s="11">
        <v>0</v>
      </c>
      <c r="Y180" s="11">
        <v>0</v>
      </c>
      <c r="Z180" t="s">
        <v>7</v>
      </c>
    </row>
    <row r="181" spans="1:26" x14ac:dyDescent="0.25">
      <c r="A181" s="20" t="s">
        <v>3639</v>
      </c>
      <c r="B181" s="20" t="s">
        <v>3639</v>
      </c>
      <c r="C181" s="20" t="s">
        <v>226</v>
      </c>
      <c r="D181" s="20" t="s">
        <v>216</v>
      </c>
      <c r="E181" s="13">
        <v>0</v>
      </c>
      <c r="F181" s="11">
        <v>0</v>
      </c>
      <c r="G181" s="13">
        <v>0</v>
      </c>
      <c r="H181" s="11">
        <v>0</v>
      </c>
      <c r="I181" s="13">
        <f>E181+G181</f>
        <v>0</v>
      </c>
      <c r="J181" s="11">
        <f>F181+H181</f>
        <v>0</v>
      </c>
      <c r="K181" s="13">
        <v>0</v>
      </c>
      <c r="L181" s="11">
        <v>0</v>
      </c>
      <c r="M181" s="11">
        <v>0</v>
      </c>
      <c r="N181" s="13">
        <v>0</v>
      </c>
      <c r="O181" s="11">
        <v>0</v>
      </c>
      <c r="P181" s="11">
        <v>0</v>
      </c>
      <c r="Q181" s="13">
        <f>K181+N181</f>
        <v>0</v>
      </c>
      <c r="R181" s="11">
        <f>L181+O181</f>
        <v>0</v>
      </c>
      <c r="S181" s="11">
        <f>M181+P181</f>
        <v>0</v>
      </c>
      <c r="T181" s="8">
        <f>I181-Q181</f>
        <v>0</v>
      </c>
      <c r="U181" s="18">
        <v>9.5135934464273833E-2</v>
      </c>
      <c r="V181" s="11">
        <v>0</v>
      </c>
      <c r="W181" s="11">
        <v>0</v>
      </c>
      <c r="X181" s="11">
        <v>0</v>
      </c>
      <c r="Y181" s="11">
        <v>0</v>
      </c>
      <c r="Z181" t="s">
        <v>7</v>
      </c>
    </row>
    <row r="182" spans="1:26" x14ac:dyDescent="0.25">
      <c r="A182" s="20" t="s">
        <v>3663</v>
      </c>
      <c r="B182" s="20" t="s">
        <v>77</v>
      </c>
      <c r="C182" s="20" t="s">
        <v>362</v>
      </c>
      <c r="D182" s="20" t="s">
        <v>216</v>
      </c>
      <c r="E182" s="13">
        <v>0</v>
      </c>
      <c r="F182" s="11">
        <v>0</v>
      </c>
      <c r="G182" s="13">
        <v>0</v>
      </c>
      <c r="H182" s="11">
        <v>0</v>
      </c>
      <c r="I182" s="13">
        <f>E182+G182</f>
        <v>0</v>
      </c>
      <c r="J182" s="11">
        <f>F182+H182</f>
        <v>0</v>
      </c>
      <c r="K182" s="13">
        <v>0</v>
      </c>
      <c r="L182" s="11">
        <v>0</v>
      </c>
      <c r="M182" s="11">
        <v>0</v>
      </c>
      <c r="N182" s="13">
        <v>0</v>
      </c>
      <c r="O182" s="11">
        <v>0</v>
      </c>
      <c r="P182" s="11">
        <v>0</v>
      </c>
      <c r="Q182" s="13">
        <f>K182+N182</f>
        <v>0</v>
      </c>
      <c r="R182" s="11">
        <f>L182+O182</f>
        <v>0</v>
      </c>
      <c r="S182" s="11">
        <f>M182+P182</f>
        <v>0</v>
      </c>
      <c r="T182" s="8">
        <f>I182-Q182</f>
        <v>0</v>
      </c>
      <c r="U182" s="18" t="s">
        <v>1803</v>
      </c>
      <c r="V182" s="11">
        <v>0</v>
      </c>
      <c r="W182" s="11">
        <v>0</v>
      </c>
      <c r="X182" s="11">
        <v>0</v>
      </c>
      <c r="Y182" s="11">
        <v>0</v>
      </c>
      <c r="Z182" t="s">
        <v>7</v>
      </c>
    </row>
    <row r="183" spans="1:26" x14ac:dyDescent="0.25">
      <c r="A183" s="20" t="s">
        <v>393</v>
      </c>
      <c r="B183" s="20" t="s">
        <v>393</v>
      </c>
      <c r="C183" s="20" t="s">
        <v>394</v>
      </c>
      <c r="D183" s="20" t="s">
        <v>216</v>
      </c>
      <c r="E183" s="13">
        <v>0</v>
      </c>
      <c r="F183" s="11">
        <v>0</v>
      </c>
      <c r="G183" s="13">
        <v>0</v>
      </c>
      <c r="H183" s="11">
        <v>0</v>
      </c>
      <c r="I183" s="13">
        <f>E183+G183</f>
        <v>0</v>
      </c>
      <c r="J183" s="11">
        <f>F183+H183</f>
        <v>0</v>
      </c>
      <c r="K183" s="13">
        <v>488.74</v>
      </c>
      <c r="L183" s="11">
        <v>0</v>
      </c>
      <c r="M183" s="11">
        <v>1</v>
      </c>
      <c r="N183" s="13">
        <v>0</v>
      </c>
      <c r="O183" s="11">
        <v>0</v>
      </c>
      <c r="P183" s="11">
        <v>2</v>
      </c>
      <c r="Q183" s="13">
        <f>K183+N183</f>
        <v>488.74</v>
      </c>
      <c r="R183" s="11">
        <f>L183+O183</f>
        <v>0</v>
      </c>
      <c r="S183" s="11">
        <f>M183+P183</f>
        <v>3</v>
      </c>
      <c r="T183" s="8">
        <f>I183-Q183</f>
        <v>-488.74</v>
      </c>
      <c r="U183" s="18">
        <v>5.0439496433130462E-2</v>
      </c>
      <c r="V183" s="11">
        <v>0.43</v>
      </c>
      <c r="W183" s="11">
        <v>3</v>
      </c>
      <c r="X183" s="11">
        <v>4</v>
      </c>
      <c r="Y183" s="11">
        <v>1</v>
      </c>
      <c r="Z183" t="s">
        <v>8</v>
      </c>
    </row>
    <row r="184" spans="1:26" x14ac:dyDescent="0.25">
      <c r="A184" s="20" t="s">
        <v>395</v>
      </c>
      <c r="B184" s="20" t="s">
        <v>321</v>
      </c>
      <c r="C184" s="20" t="s">
        <v>396</v>
      </c>
      <c r="D184" s="20" t="s">
        <v>216</v>
      </c>
      <c r="E184" s="13">
        <v>5762</v>
      </c>
      <c r="F184" s="11">
        <v>0</v>
      </c>
      <c r="G184" s="13">
        <v>0</v>
      </c>
      <c r="H184" s="11">
        <v>0</v>
      </c>
      <c r="I184" s="13">
        <f>E184+G184</f>
        <v>5762</v>
      </c>
      <c r="J184" s="11">
        <f>F184+H184</f>
        <v>0</v>
      </c>
      <c r="K184" s="13">
        <v>5208.6899999999996</v>
      </c>
      <c r="L184" s="11">
        <v>0</v>
      </c>
      <c r="M184" s="11">
        <v>0</v>
      </c>
      <c r="N184" s="13">
        <v>0</v>
      </c>
      <c r="O184" s="11">
        <v>0</v>
      </c>
      <c r="P184" s="11">
        <v>0</v>
      </c>
      <c r="Q184" s="13">
        <f>K184+N184</f>
        <v>5208.6899999999996</v>
      </c>
      <c r="R184" s="11">
        <f>L184+O184</f>
        <v>0</v>
      </c>
      <c r="S184" s="11">
        <f>M184+P184</f>
        <v>0</v>
      </c>
      <c r="T184" s="8">
        <f>I184-Q184</f>
        <v>553.3100000000004</v>
      </c>
      <c r="U184" s="18">
        <v>5.7795823868878576E-2</v>
      </c>
      <c r="V184" s="11">
        <v>0</v>
      </c>
      <c r="W184" s="11">
        <v>0</v>
      </c>
      <c r="X184" s="11">
        <v>0</v>
      </c>
      <c r="Y184" s="11">
        <v>0</v>
      </c>
      <c r="Z184" t="s">
        <v>8</v>
      </c>
    </row>
    <row r="185" spans="1:26" x14ac:dyDescent="0.25">
      <c r="A185" s="20" t="s">
        <v>401</v>
      </c>
      <c r="B185" s="20" t="s">
        <v>60</v>
      </c>
      <c r="C185" s="20" t="s">
        <v>402</v>
      </c>
      <c r="D185" s="20" t="s">
        <v>216</v>
      </c>
      <c r="E185" s="13">
        <v>652</v>
      </c>
      <c r="F185" s="11">
        <v>0</v>
      </c>
      <c r="G185" s="13">
        <v>0</v>
      </c>
      <c r="H185" s="11">
        <v>0</v>
      </c>
      <c r="I185" s="13">
        <f>E185+G185</f>
        <v>652</v>
      </c>
      <c r="J185" s="11">
        <f>F185+H185</f>
        <v>0</v>
      </c>
      <c r="K185" s="13">
        <v>605</v>
      </c>
      <c r="L185" s="11">
        <v>0</v>
      </c>
      <c r="M185" s="11">
        <v>0</v>
      </c>
      <c r="N185" s="13">
        <v>0</v>
      </c>
      <c r="O185" s="11">
        <v>0</v>
      </c>
      <c r="P185" s="11">
        <v>0</v>
      </c>
      <c r="Q185" s="13">
        <f>K185+N185</f>
        <v>605</v>
      </c>
      <c r="R185" s="11">
        <f>L185+O185</f>
        <v>0</v>
      </c>
      <c r="S185" s="11">
        <f>M185+P185</f>
        <v>0</v>
      </c>
      <c r="T185" s="8">
        <f>I185-Q185</f>
        <v>47</v>
      </c>
      <c r="U185" s="18">
        <v>-1.6355504968346622E-2</v>
      </c>
      <c r="V185" s="11">
        <v>0</v>
      </c>
      <c r="W185" s="11">
        <v>0</v>
      </c>
      <c r="X185" s="11">
        <v>0</v>
      </c>
      <c r="Y185" s="11">
        <v>0</v>
      </c>
      <c r="Z185" t="s">
        <v>8</v>
      </c>
    </row>
    <row r="186" spans="1:26" x14ac:dyDescent="0.25">
      <c r="A186" s="20" t="s">
        <v>403</v>
      </c>
      <c r="B186" s="20" t="s">
        <v>91</v>
      </c>
      <c r="C186" s="20" t="s">
        <v>404</v>
      </c>
      <c r="D186" s="20" t="s">
        <v>216</v>
      </c>
      <c r="E186" s="13">
        <v>8661</v>
      </c>
      <c r="F186" s="11">
        <v>1</v>
      </c>
      <c r="G186" s="13">
        <v>13161</v>
      </c>
      <c r="H186" s="11">
        <v>2</v>
      </c>
      <c r="I186" s="13">
        <f>E186+G186</f>
        <v>21822</v>
      </c>
      <c r="J186" s="11">
        <f>F186+H186</f>
        <v>3</v>
      </c>
      <c r="K186" s="13">
        <v>4959.6899999999996</v>
      </c>
      <c r="L186" s="11">
        <v>1</v>
      </c>
      <c r="M186" s="11">
        <v>1</v>
      </c>
      <c r="N186" s="13">
        <v>4850.66</v>
      </c>
      <c r="O186" s="11">
        <v>1</v>
      </c>
      <c r="P186" s="11">
        <v>2</v>
      </c>
      <c r="Q186" s="13">
        <f>K186+N186</f>
        <v>9810.3499999999985</v>
      </c>
      <c r="R186" s="11">
        <f>L186+O186</f>
        <v>2</v>
      </c>
      <c r="S186" s="11">
        <f>M186+P186</f>
        <v>3</v>
      </c>
      <c r="T186" s="8">
        <f>I186-Q186</f>
        <v>12011.650000000001</v>
      </c>
      <c r="U186" s="18">
        <v>6.6895335999630837E-2</v>
      </c>
      <c r="V186" s="11">
        <v>0.36</v>
      </c>
      <c r="W186" s="11">
        <v>4</v>
      </c>
      <c r="X186" s="11">
        <v>7</v>
      </c>
      <c r="Y186" s="11">
        <v>0</v>
      </c>
      <c r="Z186" t="s">
        <v>8</v>
      </c>
    </row>
    <row r="187" spans="1:26" x14ac:dyDescent="0.25">
      <c r="A187" s="20" t="s">
        <v>410</v>
      </c>
      <c r="B187" s="20" t="s">
        <v>91</v>
      </c>
      <c r="C187" s="20" t="s">
        <v>411</v>
      </c>
      <c r="D187" s="20" t="s">
        <v>216</v>
      </c>
      <c r="E187" s="13">
        <v>9179</v>
      </c>
      <c r="F187" s="11">
        <v>1</v>
      </c>
      <c r="G187" s="13">
        <v>756</v>
      </c>
      <c r="H187" s="11">
        <v>1</v>
      </c>
      <c r="I187" s="13">
        <f>E187+G187</f>
        <v>9935</v>
      </c>
      <c r="J187" s="11">
        <f>F187+H187</f>
        <v>2</v>
      </c>
      <c r="K187" s="13">
        <v>8126</v>
      </c>
      <c r="L187" s="11">
        <v>0</v>
      </c>
      <c r="M187" s="11">
        <v>0</v>
      </c>
      <c r="N187" s="13">
        <v>1352.2</v>
      </c>
      <c r="O187" s="11">
        <v>0</v>
      </c>
      <c r="P187" s="11">
        <v>0</v>
      </c>
      <c r="Q187" s="13">
        <f>K187+N187</f>
        <v>9478.2000000000007</v>
      </c>
      <c r="R187" s="11">
        <f>L187+O187</f>
        <v>0</v>
      </c>
      <c r="S187" s="11">
        <f>M187+P187</f>
        <v>0</v>
      </c>
      <c r="T187" s="8">
        <f>I187-Q187</f>
        <v>456.79999999999927</v>
      </c>
      <c r="U187" s="18">
        <v>6.5965330696294566E-2</v>
      </c>
      <c r="V187" s="11">
        <v>0.4</v>
      </c>
      <c r="W187" s="11">
        <v>2</v>
      </c>
      <c r="X187" s="11">
        <v>3</v>
      </c>
      <c r="Y187" s="11">
        <v>0</v>
      </c>
      <c r="Z187" t="s">
        <v>8</v>
      </c>
    </row>
    <row r="188" spans="1:26" x14ac:dyDescent="0.25">
      <c r="A188" s="20" t="s">
        <v>412</v>
      </c>
      <c r="B188" s="20" t="s">
        <v>60</v>
      </c>
      <c r="C188" s="20" t="s">
        <v>413</v>
      </c>
      <c r="D188" s="20" t="s">
        <v>216</v>
      </c>
      <c r="E188" s="13">
        <v>3130.57</v>
      </c>
      <c r="F188" s="11">
        <v>0</v>
      </c>
      <c r="G188" s="13">
        <v>39311</v>
      </c>
      <c r="H188" s="11">
        <v>0</v>
      </c>
      <c r="I188" s="13">
        <f>E188+G188</f>
        <v>42441.57</v>
      </c>
      <c r="J188" s="11">
        <f>F188+H188</f>
        <v>0</v>
      </c>
      <c r="K188" s="13">
        <v>2499</v>
      </c>
      <c r="L188" s="11">
        <v>0</v>
      </c>
      <c r="M188" s="11">
        <v>1</v>
      </c>
      <c r="N188" s="13">
        <v>50474</v>
      </c>
      <c r="O188" s="11">
        <v>1</v>
      </c>
      <c r="P188" s="11">
        <v>4</v>
      </c>
      <c r="Q188" s="13">
        <f>K188+N188</f>
        <v>52973</v>
      </c>
      <c r="R188" s="11">
        <f>L188+O188</f>
        <v>1</v>
      </c>
      <c r="S188" s="11">
        <f>M188+P188</f>
        <v>5</v>
      </c>
      <c r="T188" s="8">
        <f>I188-Q188</f>
        <v>-10531.43</v>
      </c>
      <c r="U188" s="18">
        <v>0.48521795678318319</v>
      </c>
      <c r="V188" s="11">
        <v>0.4</v>
      </c>
      <c r="W188" s="11">
        <v>4</v>
      </c>
      <c r="X188" s="11">
        <v>6</v>
      </c>
      <c r="Y188" s="11">
        <v>0</v>
      </c>
      <c r="Z188" t="s">
        <v>8</v>
      </c>
    </row>
    <row r="189" spans="1:26" x14ac:dyDescent="0.25">
      <c r="A189" s="20" t="s">
        <v>414</v>
      </c>
      <c r="B189" s="20" t="s">
        <v>60</v>
      </c>
      <c r="C189" s="20" t="s">
        <v>415</v>
      </c>
      <c r="D189" s="20" t="s">
        <v>216</v>
      </c>
      <c r="E189" s="13">
        <v>1140</v>
      </c>
      <c r="F189" s="11">
        <v>0</v>
      </c>
      <c r="G189" s="13">
        <v>0</v>
      </c>
      <c r="H189" s="11">
        <v>0</v>
      </c>
      <c r="I189" s="13">
        <f>E189+G189</f>
        <v>1140</v>
      </c>
      <c r="J189" s="11">
        <f>F189+H189</f>
        <v>0</v>
      </c>
      <c r="K189" s="13">
        <v>1126</v>
      </c>
      <c r="L189" s="11">
        <v>0</v>
      </c>
      <c r="M189" s="11">
        <v>0</v>
      </c>
      <c r="N189" s="13">
        <v>1126</v>
      </c>
      <c r="O189" s="11">
        <v>0</v>
      </c>
      <c r="P189" s="11">
        <v>1</v>
      </c>
      <c r="Q189" s="13">
        <f>K189+N189</f>
        <v>2252</v>
      </c>
      <c r="R189" s="11">
        <f>L189+O189</f>
        <v>0</v>
      </c>
      <c r="S189" s="11">
        <f>M189+P189</f>
        <v>1</v>
      </c>
      <c r="T189" s="8">
        <f>I189-Q189</f>
        <v>-1112</v>
      </c>
      <c r="U189" s="18">
        <v>-3.8578104223642429E-4</v>
      </c>
      <c r="V189" s="11">
        <v>0.33</v>
      </c>
      <c r="W189" s="11">
        <v>1</v>
      </c>
      <c r="X189" s="11">
        <v>2</v>
      </c>
      <c r="Y189" s="11">
        <v>1</v>
      </c>
      <c r="Z189" t="s">
        <v>8</v>
      </c>
    </row>
    <row r="190" spans="1:26" x14ac:dyDescent="0.25">
      <c r="A190" s="20" t="s">
        <v>416</v>
      </c>
      <c r="B190" s="20" t="s">
        <v>60</v>
      </c>
      <c r="C190" s="20" t="s">
        <v>417</v>
      </c>
      <c r="D190" s="20" t="s">
        <v>216</v>
      </c>
      <c r="E190" s="13">
        <v>5028.9799999999996</v>
      </c>
      <c r="F190" s="11">
        <v>0</v>
      </c>
      <c r="G190" s="13">
        <v>2092</v>
      </c>
      <c r="H190" s="11">
        <v>0</v>
      </c>
      <c r="I190" s="13">
        <f>E190+G190</f>
        <v>7120.98</v>
      </c>
      <c r="J190" s="11">
        <f>F190+H190</f>
        <v>0</v>
      </c>
      <c r="K190" s="13">
        <v>9704</v>
      </c>
      <c r="L190" s="11">
        <v>0</v>
      </c>
      <c r="M190" s="11">
        <v>4</v>
      </c>
      <c r="N190" s="13">
        <v>8218</v>
      </c>
      <c r="O190" s="11">
        <v>1</v>
      </c>
      <c r="P190" s="11">
        <v>3</v>
      </c>
      <c r="Q190" s="13">
        <f>K190+N190</f>
        <v>17922</v>
      </c>
      <c r="R190" s="11">
        <f>L190+O190</f>
        <v>1</v>
      </c>
      <c r="S190" s="11">
        <f>M190+P190</f>
        <v>7</v>
      </c>
      <c r="T190" s="8">
        <f>I190-Q190</f>
        <v>-10801.02</v>
      </c>
      <c r="U190" s="18">
        <v>7.5400075667483538E-2</v>
      </c>
      <c r="V190" s="11">
        <v>0.43</v>
      </c>
      <c r="W190" s="11">
        <v>6</v>
      </c>
      <c r="X190" s="11">
        <v>8</v>
      </c>
      <c r="Y190" s="11">
        <v>2</v>
      </c>
      <c r="Z190" t="s">
        <v>8</v>
      </c>
    </row>
    <row r="191" spans="1:26" x14ac:dyDescent="0.25">
      <c r="A191" s="20" t="s">
        <v>420</v>
      </c>
      <c r="B191" s="20" t="s">
        <v>60</v>
      </c>
      <c r="C191" s="20" t="s">
        <v>421</v>
      </c>
      <c r="D191" s="20" t="s">
        <v>216</v>
      </c>
      <c r="E191" s="13">
        <v>0</v>
      </c>
      <c r="F191" s="11">
        <v>0</v>
      </c>
      <c r="G191" s="13">
        <v>0</v>
      </c>
      <c r="H191" s="11">
        <v>0</v>
      </c>
      <c r="I191" s="13">
        <f>E191+G191</f>
        <v>0</v>
      </c>
      <c r="J191" s="11">
        <f>F191+H191</f>
        <v>0</v>
      </c>
      <c r="K191" s="13">
        <v>0</v>
      </c>
      <c r="L191" s="11">
        <v>0</v>
      </c>
      <c r="M191" s="11">
        <v>0</v>
      </c>
      <c r="N191" s="13">
        <v>0</v>
      </c>
      <c r="O191" s="11">
        <v>0</v>
      </c>
      <c r="P191" s="11">
        <v>0</v>
      </c>
      <c r="Q191" s="13">
        <f>K191+N191</f>
        <v>0</v>
      </c>
      <c r="R191" s="11">
        <f>L191+O191</f>
        <v>0</v>
      </c>
      <c r="S191" s="11">
        <f>M191+P191</f>
        <v>0</v>
      </c>
      <c r="T191" s="8">
        <f>I191-Q191</f>
        <v>0</v>
      </c>
      <c r="U191" s="18">
        <v>0.62674093533783659</v>
      </c>
      <c r="V191" s="11">
        <v>0</v>
      </c>
      <c r="W191" s="11">
        <v>0</v>
      </c>
      <c r="X191" s="11">
        <v>1</v>
      </c>
      <c r="Y191" s="11">
        <v>0</v>
      </c>
      <c r="Z191" t="s">
        <v>8</v>
      </c>
    </row>
    <row r="192" spans="1:26" x14ac:dyDescent="0.25">
      <c r="A192" s="20" t="s">
        <v>422</v>
      </c>
      <c r="B192" s="20" t="s">
        <v>241</v>
      </c>
      <c r="C192" s="20" t="s">
        <v>423</v>
      </c>
      <c r="D192" s="20" t="s">
        <v>216</v>
      </c>
      <c r="E192" s="13">
        <v>7659</v>
      </c>
      <c r="F192" s="11">
        <v>0</v>
      </c>
      <c r="G192" s="13">
        <v>18519.939999999999</v>
      </c>
      <c r="H192" s="11">
        <v>2</v>
      </c>
      <c r="I192" s="13">
        <f>E192+G192</f>
        <v>26178.94</v>
      </c>
      <c r="J192" s="11">
        <f>F192+H192</f>
        <v>2</v>
      </c>
      <c r="K192" s="13">
        <v>7168</v>
      </c>
      <c r="L192" s="11">
        <v>0</v>
      </c>
      <c r="M192" s="11">
        <v>0</v>
      </c>
      <c r="N192" s="13">
        <v>14966</v>
      </c>
      <c r="O192" s="11">
        <v>2</v>
      </c>
      <c r="P192" s="11">
        <v>4</v>
      </c>
      <c r="Q192" s="13">
        <f>K192+N192</f>
        <v>22134</v>
      </c>
      <c r="R192" s="11">
        <f>L192+O192</f>
        <v>2</v>
      </c>
      <c r="S192" s="11">
        <f>M192+P192</f>
        <v>4</v>
      </c>
      <c r="T192" s="8">
        <f>I192-Q192</f>
        <v>4044.9399999999987</v>
      </c>
      <c r="U192" s="18">
        <v>-2.6564494410516459E-2</v>
      </c>
      <c r="V192" s="11">
        <v>0.36</v>
      </c>
      <c r="W192" s="11">
        <v>4</v>
      </c>
      <c r="X192" s="11">
        <v>7</v>
      </c>
      <c r="Y192" s="11">
        <v>1</v>
      </c>
      <c r="Z192" t="s">
        <v>8</v>
      </c>
    </row>
    <row r="193" spans="1:26" x14ac:dyDescent="0.25">
      <c r="A193" s="20" t="s">
        <v>424</v>
      </c>
      <c r="B193" s="20" t="s">
        <v>425</v>
      </c>
      <c r="C193" s="20" t="s">
        <v>426</v>
      </c>
      <c r="D193" s="20" t="s">
        <v>216</v>
      </c>
      <c r="E193" s="13">
        <v>21430</v>
      </c>
      <c r="F193" s="11">
        <v>2</v>
      </c>
      <c r="G193" s="13">
        <v>13754</v>
      </c>
      <c r="H193" s="11">
        <v>1</v>
      </c>
      <c r="I193" s="13">
        <f>E193+G193</f>
        <v>35184</v>
      </c>
      <c r="J193" s="11">
        <f>F193+H193</f>
        <v>3</v>
      </c>
      <c r="K193" s="13">
        <v>14146</v>
      </c>
      <c r="L193" s="11">
        <v>0</v>
      </c>
      <c r="M193" s="11">
        <v>0</v>
      </c>
      <c r="N193" s="13">
        <v>0</v>
      </c>
      <c r="O193" s="11">
        <v>0</v>
      </c>
      <c r="P193" s="11">
        <v>0</v>
      </c>
      <c r="Q193" s="13">
        <f>K193+N193</f>
        <v>14146</v>
      </c>
      <c r="R193" s="11">
        <f>L193+O193</f>
        <v>0</v>
      </c>
      <c r="S193" s="11">
        <f>M193+P193</f>
        <v>0</v>
      </c>
      <c r="T193" s="8">
        <f>I193-Q193</f>
        <v>21038</v>
      </c>
      <c r="U193" s="18">
        <v>0.46975105055711824</v>
      </c>
      <c r="V193" s="11">
        <v>0.38</v>
      </c>
      <c r="W193" s="11">
        <v>3</v>
      </c>
      <c r="X193" s="11">
        <v>5</v>
      </c>
      <c r="Y193" s="11">
        <v>1</v>
      </c>
      <c r="Z193" t="s">
        <v>8</v>
      </c>
    </row>
    <row r="194" spans="1:26" x14ac:dyDescent="0.25">
      <c r="A194" s="20" t="s">
        <v>435</v>
      </c>
      <c r="B194" s="20" t="s">
        <v>91</v>
      </c>
      <c r="C194" s="20" t="s">
        <v>436</v>
      </c>
      <c r="D194" s="20" t="s">
        <v>216</v>
      </c>
      <c r="E194" s="13">
        <v>33469.25</v>
      </c>
      <c r="F194" s="11">
        <v>1</v>
      </c>
      <c r="G194" s="13">
        <v>25853.02</v>
      </c>
      <c r="H194" s="11">
        <v>0</v>
      </c>
      <c r="I194" s="13">
        <f>E194+G194</f>
        <v>59322.270000000004</v>
      </c>
      <c r="J194" s="11">
        <f>F194+H194</f>
        <v>1</v>
      </c>
      <c r="K194" s="13">
        <v>39055.25</v>
      </c>
      <c r="L194" s="11">
        <v>0</v>
      </c>
      <c r="M194" s="11">
        <v>0</v>
      </c>
      <c r="N194" s="13">
        <v>18812.650000000001</v>
      </c>
      <c r="O194" s="11">
        <v>2</v>
      </c>
      <c r="P194" s="11">
        <v>4</v>
      </c>
      <c r="Q194" s="13">
        <f>K194+N194</f>
        <v>57867.9</v>
      </c>
      <c r="R194" s="11">
        <f>L194+O194</f>
        <v>2</v>
      </c>
      <c r="S194" s="11">
        <f>M194+P194</f>
        <v>4</v>
      </c>
      <c r="T194" s="8">
        <f>I194-Q194</f>
        <v>1454.3700000000026</v>
      </c>
      <c r="U194" s="18">
        <v>7.6156199407198477E-2</v>
      </c>
      <c r="V194" s="11">
        <v>0.25</v>
      </c>
      <c r="W194" s="11">
        <v>3</v>
      </c>
      <c r="X194" s="11">
        <v>9</v>
      </c>
      <c r="Y194" s="11">
        <v>5</v>
      </c>
      <c r="Z194" t="s">
        <v>8</v>
      </c>
    </row>
    <row r="195" spans="1:26" x14ac:dyDescent="0.25">
      <c r="A195" s="20" t="s">
        <v>437</v>
      </c>
      <c r="B195" s="20" t="s">
        <v>519</v>
      </c>
      <c r="C195" s="20" t="s">
        <v>3410</v>
      </c>
      <c r="D195" s="20" t="s">
        <v>215</v>
      </c>
      <c r="E195" s="13">
        <v>0</v>
      </c>
      <c r="F195" s="11">
        <v>0</v>
      </c>
      <c r="G195" s="13">
        <v>0</v>
      </c>
      <c r="H195" s="11">
        <v>0</v>
      </c>
      <c r="I195" s="13">
        <f>E195+G195</f>
        <v>0</v>
      </c>
      <c r="J195" s="11">
        <f>F195+H195</f>
        <v>0</v>
      </c>
      <c r="K195" s="13">
        <v>2916.5</v>
      </c>
      <c r="L195" s="11">
        <v>0</v>
      </c>
      <c r="M195" s="11">
        <v>0</v>
      </c>
      <c r="N195" s="13">
        <v>0</v>
      </c>
      <c r="O195" s="11">
        <v>0</v>
      </c>
      <c r="P195" s="11">
        <v>0</v>
      </c>
      <c r="Q195" s="13">
        <f>K195+N195</f>
        <v>2916.5</v>
      </c>
      <c r="R195" s="11">
        <f>L195+O195</f>
        <v>0</v>
      </c>
      <c r="S195" s="11">
        <f>M195+P195</f>
        <v>0</v>
      </c>
      <c r="T195" s="8">
        <f>I195-Q195</f>
        <v>-2916.5</v>
      </c>
      <c r="U195" s="18" t="s">
        <v>1803</v>
      </c>
      <c r="V195" s="11">
        <v>0</v>
      </c>
      <c r="W195" s="11">
        <v>0</v>
      </c>
      <c r="X195" s="11">
        <v>0</v>
      </c>
      <c r="Y195" s="11">
        <v>0</v>
      </c>
      <c r="Z195" t="s">
        <v>8</v>
      </c>
    </row>
    <row r="196" spans="1:26" x14ac:dyDescent="0.25">
      <c r="A196" s="20" t="s">
        <v>439</v>
      </c>
      <c r="B196" s="20" t="s">
        <v>91</v>
      </c>
      <c r="C196" s="20" t="s">
        <v>440</v>
      </c>
      <c r="D196" s="20" t="s">
        <v>216</v>
      </c>
      <c r="E196" s="13">
        <v>18307</v>
      </c>
      <c r="F196" s="11">
        <v>1</v>
      </c>
      <c r="G196" s="13">
        <v>0</v>
      </c>
      <c r="H196" s="11">
        <v>0</v>
      </c>
      <c r="I196" s="13">
        <f>E196+G196</f>
        <v>18307</v>
      </c>
      <c r="J196" s="11">
        <f>F196+H196</f>
        <v>1</v>
      </c>
      <c r="K196" s="13">
        <v>12396</v>
      </c>
      <c r="L196" s="11">
        <v>0</v>
      </c>
      <c r="M196" s="11">
        <v>1</v>
      </c>
      <c r="N196" s="13">
        <v>0</v>
      </c>
      <c r="O196" s="11">
        <v>0</v>
      </c>
      <c r="P196" s="11">
        <v>0</v>
      </c>
      <c r="Q196" s="13">
        <f>K196+N196</f>
        <v>12396</v>
      </c>
      <c r="R196" s="11">
        <f>L196+O196</f>
        <v>0</v>
      </c>
      <c r="S196" s="11">
        <f>M196+P196</f>
        <v>1</v>
      </c>
      <c r="T196" s="8">
        <f>I196-Q196</f>
        <v>5911</v>
      </c>
      <c r="U196" s="18">
        <v>-7.0207661869393923E-3</v>
      </c>
      <c r="V196" s="11">
        <v>0.38</v>
      </c>
      <c r="W196" s="11">
        <v>3</v>
      </c>
      <c r="X196" s="11">
        <v>5</v>
      </c>
      <c r="Y196" s="11">
        <v>0</v>
      </c>
      <c r="Z196" t="s">
        <v>8</v>
      </c>
    </row>
    <row r="197" spans="1:26" x14ac:dyDescent="0.25">
      <c r="A197" s="20" t="s">
        <v>443</v>
      </c>
      <c r="B197" s="20" t="s">
        <v>124</v>
      </c>
      <c r="C197" s="20" t="s">
        <v>444</v>
      </c>
      <c r="D197" s="20" t="s">
        <v>216</v>
      </c>
      <c r="E197" s="13">
        <v>22740.45</v>
      </c>
      <c r="F197" s="11">
        <v>0</v>
      </c>
      <c r="G197" s="13">
        <v>26584.75</v>
      </c>
      <c r="H197" s="11">
        <v>0</v>
      </c>
      <c r="I197" s="13">
        <f>E197+G197</f>
        <v>49325.2</v>
      </c>
      <c r="J197" s="11">
        <f>F197+H197</f>
        <v>0</v>
      </c>
      <c r="K197" s="13">
        <v>22557</v>
      </c>
      <c r="L197" s="11">
        <v>0</v>
      </c>
      <c r="M197" s="11">
        <v>2</v>
      </c>
      <c r="N197" s="13">
        <v>11847.05</v>
      </c>
      <c r="O197" s="11">
        <v>0</v>
      </c>
      <c r="P197" s="11">
        <v>0</v>
      </c>
      <c r="Q197" s="13">
        <f>K197+N197</f>
        <v>34404.050000000003</v>
      </c>
      <c r="R197" s="11">
        <f>L197+O197</f>
        <v>0</v>
      </c>
      <c r="S197" s="11">
        <f>M197+P197</f>
        <v>2</v>
      </c>
      <c r="T197" s="8">
        <f>I197-Q197</f>
        <v>14921.149999999994</v>
      </c>
      <c r="U197" s="18">
        <v>0.22511370653270535</v>
      </c>
      <c r="V197" s="11">
        <v>0.4</v>
      </c>
      <c r="W197" s="11">
        <v>2</v>
      </c>
      <c r="X197" s="11">
        <v>3</v>
      </c>
      <c r="Y197" s="11">
        <v>0</v>
      </c>
      <c r="Z197" t="s">
        <v>8</v>
      </c>
    </row>
    <row r="198" spans="1:26" x14ac:dyDescent="0.25">
      <c r="A198" s="20" t="s">
        <v>445</v>
      </c>
      <c r="B198" s="20" t="s">
        <v>91</v>
      </c>
      <c r="C198" s="20" t="s">
        <v>389</v>
      </c>
      <c r="D198" s="20" t="s">
        <v>216</v>
      </c>
      <c r="E198" s="13">
        <v>54065.65</v>
      </c>
      <c r="F198" s="11">
        <v>4</v>
      </c>
      <c r="G198" s="13">
        <v>48028</v>
      </c>
      <c r="H198" s="11">
        <v>1</v>
      </c>
      <c r="I198" s="13">
        <f>E198+G198</f>
        <v>102093.65</v>
      </c>
      <c r="J198" s="11">
        <f>F198+H198</f>
        <v>5</v>
      </c>
      <c r="K198" s="13">
        <v>104579.25</v>
      </c>
      <c r="L198" s="11">
        <v>1</v>
      </c>
      <c r="M198" s="11">
        <v>6</v>
      </c>
      <c r="N198" s="13">
        <v>57407.75</v>
      </c>
      <c r="O198" s="11">
        <v>0</v>
      </c>
      <c r="P198" s="11">
        <v>0</v>
      </c>
      <c r="Q198" s="13">
        <f>K198+N198</f>
        <v>161987</v>
      </c>
      <c r="R198" s="11">
        <f>L198+O198</f>
        <v>1</v>
      </c>
      <c r="S198" s="11">
        <f>M198+P198</f>
        <v>6</v>
      </c>
      <c r="T198" s="8">
        <f>I198-Q198</f>
        <v>-59893.350000000006</v>
      </c>
      <c r="U198" s="18">
        <v>0.30376199055808267</v>
      </c>
      <c r="V198" s="11">
        <v>0.36</v>
      </c>
      <c r="W198" s="11">
        <v>10</v>
      </c>
      <c r="X198" s="11">
        <v>18</v>
      </c>
      <c r="Y198" s="11">
        <v>1</v>
      </c>
      <c r="Z198" t="s">
        <v>8</v>
      </c>
    </row>
    <row r="199" spans="1:26" x14ac:dyDescent="0.25">
      <c r="A199" s="20" t="s">
        <v>449</v>
      </c>
      <c r="B199" s="20" t="s">
        <v>241</v>
      </c>
      <c r="C199" s="20" t="s">
        <v>1196</v>
      </c>
      <c r="D199" s="20" t="s">
        <v>215</v>
      </c>
      <c r="E199" s="13">
        <v>0</v>
      </c>
      <c r="F199" s="11">
        <v>0</v>
      </c>
      <c r="G199" s="13">
        <v>0</v>
      </c>
      <c r="H199" s="11">
        <v>0</v>
      </c>
      <c r="I199" s="13">
        <f>E199+G199</f>
        <v>0</v>
      </c>
      <c r="J199" s="11">
        <f>F199+H199</f>
        <v>0</v>
      </c>
      <c r="K199" s="13">
        <v>5883</v>
      </c>
      <c r="L199" s="11">
        <v>0</v>
      </c>
      <c r="M199" s="11">
        <v>0</v>
      </c>
      <c r="N199" s="13">
        <v>1319.95</v>
      </c>
      <c r="O199" s="11">
        <v>0</v>
      </c>
      <c r="P199" s="11">
        <v>0</v>
      </c>
      <c r="Q199" s="13">
        <f>K199+N199</f>
        <v>7202.95</v>
      </c>
      <c r="R199" s="11">
        <f>L199+O199</f>
        <v>0</v>
      </c>
      <c r="S199" s="11">
        <f>M199+P199</f>
        <v>0</v>
      </c>
      <c r="T199" s="8">
        <f>I199-Q199</f>
        <v>-7202.95</v>
      </c>
      <c r="U199" s="18" t="s">
        <v>1803</v>
      </c>
      <c r="V199" s="11">
        <v>0</v>
      </c>
      <c r="W199" s="11">
        <v>0</v>
      </c>
      <c r="X199" s="11">
        <v>0</v>
      </c>
      <c r="Y199" s="11">
        <v>0</v>
      </c>
      <c r="Z199" t="s">
        <v>8</v>
      </c>
    </row>
    <row r="200" spans="1:26" x14ac:dyDescent="0.25">
      <c r="A200" s="20" t="s">
        <v>450</v>
      </c>
      <c r="B200" s="20" t="s">
        <v>83</v>
      </c>
      <c r="C200" s="20" t="s">
        <v>451</v>
      </c>
      <c r="D200" s="20" t="s">
        <v>216</v>
      </c>
      <c r="E200" s="13">
        <v>0</v>
      </c>
      <c r="F200" s="11">
        <v>0</v>
      </c>
      <c r="G200" s="13">
        <v>0</v>
      </c>
      <c r="H200" s="11">
        <v>0</v>
      </c>
      <c r="I200" s="13">
        <f>E200+G200</f>
        <v>0</v>
      </c>
      <c r="J200" s="11">
        <f>F200+H200</f>
        <v>0</v>
      </c>
      <c r="K200" s="13">
        <v>0</v>
      </c>
      <c r="L200" s="11">
        <v>0</v>
      </c>
      <c r="M200" s="11">
        <v>0</v>
      </c>
      <c r="N200" s="13">
        <v>0</v>
      </c>
      <c r="O200" s="11">
        <v>0</v>
      </c>
      <c r="P200" s="11">
        <v>0</v>
      </c>
      <c r="Q200" s="13">
        <f>K200+N200</f>
        <v>0</v>
      </c>
      <c r="R200" s="11">
        <f>L200+O200</f>
        <v>0</v>
      </c>
      <c r="S200" s="11">
        <f>M200+P200</f>
        <v>0</v>
      </c>
      <c r="T200" s="8">
        <f>I200-Q200</f>
        <v>0</v>
      </c>
      <c r="U200" s="18">
        <v>0.3864759096528535</v>
      </c>
      <c r="V200" s="11">
        <v>0</v>
      </c>
      <c r="W200" s="11">
        <v>0</v>
      </c>
      <c r="X200" s="11">
        <v>3</v>
      </c>
      <c r="Y200" s="11">
        <v>0</v>
      </c>
      <c r="Z200" t="s">
        <v>8</v>
      </c>
    </row>
    <row r="201" spans="1:26" x14ac:dyDescent="0.25">
      <c r="A201" s="20" t="s">
        <v>455</v>
      </c>
      <c r="B201" s="20" t="s">
        <v>455</v>
      </c>
      <c r="C201" s="20" t="s">
        <v>456</v>
      </c>
      <c r="D201" s="20" t="s">
        <v>216</v>
      </c>
      <c r="E201" s="13">
        <v>5779</v>
      </c>
      <c r="F201" s="11">
        <v>0</v>
      </c>
      <c r="G201" s="13">
        <v>0</v>
      </c>
      <c r="H201" s="11">
        <v>0</v>
      </c>
      <c r="I201" s="13">
        <f>E201+G201</f>
        <v>5779</v>
      </c>
      <c r="J201" s="11">
        <f>F201+H201</f>
        <v>0</v>
      </c>
      <c r="K201" s="13">
        <v>5093</v>
      </c>
      <c r="L201" s="11">
        <v>0</v>
      </c>
      <c r="M201" s="11">
        <v>0</v>
      </c>
      <c r="N201" s="13">
        <v>0</v>
      </c>
      <c r="O201" s="11">
        <v>0</v>
      </c>
      <c r="P201" s="11">
        <v>0</v>
      </c>
      <c r="Q201" s="13">
        <f>K201+N201</f>
        <v>5093</v>
      </c>
      <c r="R201" s="11">
        <f>L201+O201</f>
        <v>0</v>
      </c>
      <c r="S201" s="11">
        <f>M201+P201</f>
        <v>0</v>
      </c>
      <c r="T201" s="8">
        <f>I201-Q201</f>
        <v>686</v>
      </c>
      <c r="U201" s="18">
        <v>-7.1222199978810061E-3</v>
      </c>
      <c r="V201" s="11">
        <v>0</v>
      </c>
      <c r="W201" s="11">
        <v>0</v>
      </c>
      <c r="X201" s="11">
        <v>1</v>
      </c>
      <c r="Y201" s="11">
        <v>0</v>
      </c>
      <c r="Z201" t="s">
        <v>8</v>
      </c>
    </row>
    <row r="202" spans="1:26" x14ac:dyDescent="0.25">
      <c r="A202" s="20" t="s">
        <v>457</v>
      </c>
      <c r="B202" s="20" t="s">
        <v>60</v>
      </c>
      <c r="C202" s="20" t="s">
        <v>458</v>
      </c>
      <c r="D202" s="20" t="s">
        <v>216</v>
      </c>
      <c r="E202" s="13">
        <v>706</v>
      </c>
      <c r="F202" s="11">
        <v>0</v>
      </c>
      <c r="G202" s="13">
        <v>35858.5</v>
      </c>
      <c r="H202" s="11">
        <v>0</v>
      </c>
      <c r="I202" s="13">
        <f>E202+G202</f>
        <v>36564.5</v>
      </c>
      <c r="J202" s="11">
        <f>F202+H202</f>
        <v>0</v>
      </c>
      <c r="K202" s="13">
        <v>19681</v>
      </c>
      <c r="L202" s="11">
        <v>0</v>
      </c>
      <c r="M202" s="11">
        <v>0</v>
      </c>
      <c r="N202" s="13">
        <v>39925</v>
      </c>
      <c r="O202" s="11">
        <v>0</v>
      </c>
      <c r="P202" s="11">
        <v>1</v>
      </c>
      <c r="Q202" s="13">
        <f>K202+N202</f>
        <v>59606</v>
      </c>
      <c r="R202" s="11">
        <f>L202+O202</f>
        <v>0</v>
      </c>
      <c r="S202" s="11">
        <f>M202+P202</f>
        <v>1</v>
      </c>
      <c r="T202" s="8">
        <f>I202-Q202</f>
        <v>-23041.5</v>
      </c>
      <c r="U202" s="18">
        <v>0.25636629404640421</v>
      </c>
      <c r="V202" s="11">
        <v>0.25</v>
      </c>
      <c r="W202" s="11">
        <v>1</v>
      </c>
      <c r="X202" s="11">
        <v>3</v>
      </c>
      <c r="Y202" s="11">
        <v>0</v>
      </c>
      <c r="Z202" t="s">
        <v>8</v>
      </c>
    </row>
    <row r="203" spans="1:26" x14ac:dyDescent="0.25">
      <c r="A203" s="20" t="s">
        <v>58</v>
      </c>
      <c r="B203" s="20" t="s">
        <v>58</v>
      </c>
      <c r="C203" s="20" t="s">
        <v>461</v>
      </c>
      <c r="D203" s="20" t="s">
        <v>216</v>
      </c>
      <c r="E203" s="13">
        <v>1187</v>
      </c>
      <c r="F203" s="11">
        <v>0</v>
      </c>
      <c r="G203" s="13">
        <v>3024</v>
      </c>
      <c r="H203" s="11">
        <v>0</v>
      </c>
      <c r="I203" s="13">
        <f>E203+G203</f>
        <v>4211</v>
      </c>
      <c r="J203" s="11">
        <f>F203+H203</f>
        <v>0</v>
      </c>
      <c r="K203" s="13">
        <v>3598.9</v>
      </c>
      <c r="L203" s="11">
        <v>0</v>
      </c>
      <c r="M203" s="11">
        <v>1</v>
      </c>
      <c r="N203" s="13">
        <v>2746</v>
      </c>
      <c r="O203" s="11">
        <v>0</v>
      </c>
      <c r="P203" s="11">
        <v>0</v>
      </c>
      <c r="Q203" s="13">
        <f>K203+N203</f>
        <v>6344.9</v>
      </c>
      <c r="R203" s="11">
        <f>L203+O203</f>
        <v>0</v>
      </c>
      <c r="S203" s="11">
        <f>M203+P203</f>
        <v>1</v>
      </c>
      <c r="T203" s="8">
        <f>I203-Q203</f>
        <v>-2133.8999999999996</v>
      </c>
      <c r="U203" s="18">
        <v>1.2333193718380491E-2</v>
      </c>
      <c r="V203" s="11">
        <v>0.14000000000000001</v>
      </c>
      <c r="W203" s="11">
        <v>1</v>
      </c>
      <c r="X203" s="11">
        <v>6</v>
      </c>
      <c r="Y203" s="11">
        <v>6</v>
      </c>
      <c r="Z203" t="s">
        <v>8</v>
      </c>
    </row>
    <row r="204" spans="1:26" x14ac:dyDescent="0.25">
      <c r="A204" s="20" t="s">
        <v>463</v>
      </c>
      <c r="B204" s="20" t="s">
        <v>124</v>
      </c>
      <c r="C204" s="20" t="s">
        <v>464</v>
      </c>
      <c r="D204" s="20" t="s">
        <v>216</v>
      </c>
      <c r="E204" s="13">
        <v>24974</v>
      </c>
      <c r="F204" s="11">
        <v>0</v>
      </c>
      <c r="G204" s="13">
        <v>0</v>
      </c>
      <c r="H204" s="11">
        <v>0</v>
      </c>
      <c r="I204" s="13">
        <f>E204+G204</f>
        <v>24974</v>
      </c>
      <c r="J204" s="11">
        <f>F204+H204</f>
        <v>0</v>
      </c>
      <c r="K204" s="13">
        <v>21890</v>
      </c>
      <c r="L204" s="11">
        <v>0</v>
      </c>
      <c r="M204" s="11">
        <v>1</v>
      </c>
      <c r="N204" s="13">
        <v>0</v>
      </c>
      <c r="O204" s="11">
        <v>0</v>
      </c>
      <c r="P204" s="11">
        <v>7</v>
      </c>
      <c r="Q204" s="13">
        <f>K204+N204</f>
        <v>21890</v>
      </c>
      <c r="R204" s="11">
        <f>L204+O204</f>
        <v>0</v>
      </c>
      <c r="S204" s="11">
        <f>M204+P204</f>
        <v>8</v>
      </c>
      <c r="T204" s="8">
        <f>I204-Q204</f>
        <v>3084</v>
      </c>
      <c r="U204" s="18">
        <v>1.2087105377884222</v>
      </c>
      <c r="V204" s="11">
        <v>0.32</v>
      </c>
      <c r="W204" s="11">
        <v>8</v>
      </c>
      <c r="X204" s="11">
        <v>17</v>
      </c>
      <c r="Y204" s="11">
        <v>0</v>
      </c>
      <c r="Z204" t="s">
        <v>8</v>
      </c>
    </row>
    <row r="205" spans="1:26" x14ac:dyDescent="0.25">
      <c r="A205" s="20" t="s">
        <v>465</v>
      </c>
      <c r="B205" s="20" t="s">
        <v>83</v>
      </c>
      <c r="C205" s="20" t="s">
        <v>466</v>
      </c>
      <c r="D205" s="20" t="s">
        <v>216</v>
      </c>
      <c r="E205" s="13">
        <v>0</v>
      </c>
      <c r="F205" s="11">
        <v>0</v>
      </c>
      <c r="G205" s="13">
        <v>0</v>
      </c>
      <c r="H205" s="11">
        <v>0</v>
      </c>
      <c r="I205" s="13">
        <f>E205+G205</f>
        <v>0</v>
      </c>
      <c r="J205" s="11">
        <f>F205+H205</f>
        <v>0</v>
      </c>
      <c r="K205" s="13">
        <v>0</v>
      </c>
      <c r="L205" s="11">
        <v>0</v>
      </c>
      <c r="M205" s="11">
        <v>0</v>
      </c>
      <c r="N205" s="13">
        <v>0</v>
      </c>
      <c r="O205" s="11">
        <v>0</v>
      </c>
      <c r="P205" s="11">
        <v>1</v>
      </c>
      <c r="Q205" s="13">
        <f>K205+N205</f>
        <v>0</v>
      </c>
      <c r="R205" s="11">
        <f>L205+O205</f>
        <v>0</v>
      </c>
      <c r="S205" s="11">
        <f>M205+P205</f>
        <v>1</v>
      </c>
      <c r="T205" s="8">
        <f>I205-Q205</f>
        <v>0</v>
      </c>
      <c r="U205" s="18">
        <v>3.6883176064977763E-2</v>
      </c>
      <c r="V205" s="11">
        <v>0.33</v>
      </c>
      <c r="W205" s="11">
        <v>1</v>
      </c>
      <c r="X205" s="11">
        <v>2</v>
      </c>
      <c r="Y205" s="11">
        <v>0</v>
      </c>
      <c r="Z205" t="s">
        <v>8</v>
      </c>
    </row>
    <row r="206" spans="1:26" x14ac:dyDescent="0.25">
      <c r="A206" s="20" t="s">
        <v>104</v>
      </c>
      <c r="B206" s="20" t="s">
        <v>104</v>
      </c>
      <c r="C206" s="20" t="s">
        <v>1260</v>
      </c>
      <c r="D206" s="20" t="s">
        <v>216</v>
      </c>
      <c r="E206" s="13">
        <v>18303</v>
      </c>
      <c r="F206" s="11">
        <v>0</v>
      </c>
      <c r="G206" s="13">
        <v>0</v>
      </c>
      <c r="H206" s="11">
        <v>0</v>
      </c>
      <c r="I206" s="13">
        <f>E206+G206</f>
        <v>18303</v>
      </c>
      <c r="J206" s="11">
        <f>F206+H206</f>
        <v>0</v>
      </c>
      <c r="K206" s="13">
        <v>58435.199999999997</v>
      </c>
      <c r="L206" s="11">
        <v>1</v>
      </c>
      <c r="M206" s="11">
        <v>5</v>
      </c>
      <c r="N206" s="13">
        <v>0</v>
      </c>
      <c r="O206" s="11">
        <v>0</v>
      </c>
      <c r="P206" s="11">
        <v>0</v>
      </c>
      <c r="Q206" s="13">
        <f>K206+N206</f>
        <v>58435.199999999997</v>
      </c>
      <c r="R206" s="11">
        <f>L206+O206</f>
        <v>1</v>
      </c>
      <c r="S206" s="11">
        <f>M206+P206</f>
        <v>5</v>
      </c>
      <c r="T206" s="8">
        <f>I206-Q206</f>
        <v>-40132.199999999997</v>
      </c>
      <c r="U206" s="18">
        <v>0.10069239411762047</v>
      </c>
      <c r="V206" s="11">
        <v>0.18</v>
      </c>
      <c r="W206" s="11">
        <v>4</v>
      </c>
      <c r="X206" s="11">
        <v>18</v>
      </c>
      <c r="Y206" s="11">
        <v>11</v>
      </c>
      <c r="Z206" t="s">
        <v>8</v>
      </c>
    </row>
    <row r="207" spans="1:26" x14ac:dyDescent="0.25">
      <c r="A207" s="20" t="s">
        <v>474</v>
      </c>
      <c r="B207" s="20" t="s">
        <v>91</v>
      </c>
      <c r="C207" s="20" t="s">
        <v>3617</v>
      </c>
      <c r="D207" s="20" t="s">
        <v>215</v>
      </c>
      <c r="E207" s="13">
        <v>3944</v>
      </c>
      <c r="F207" s="11">
        <v>0</v>
      </c>
      <c r="G207" s="13">
        <v>0</v>
      </c>
      <c r="H207" s="11">
        <v>0</v>
      </c>
      <c r="I207" s="13">
        <f>E207+G207</f>
        <v>3944</v>
      </c>
      <c r="J207" s="11">
        <f>F207+H207</f>
        <v>0</v>
      </c>
      <c r="K207" s="13">
        <v>6344</v>
      </c>
      <c r="L207" s="11">
        <v>0</v>
      </c>
      <c r="M207" s="11">
        <v>0</v>
      </c>
      <c r="N207" s="13">
        <v>0</v>
      </c>
      <c r="O207" s="11">
        <v>0</v>
      </c>
      <c r="P207" s="11">
        <v>0</v>
      </c>
      <c r="Q207" s="13">
        <f>K207+N207</f>
        <v>6344</v>
      </c>
      <c r="R207" s="11">
        <f>L207+O207</f>
        <v>0</v>
      </c>
      <c r="S207" s="11">
        <f>M207+P207</f>
        <v>0</v>
      </c>
      <c r="T207" s="8">
        <f>I207-Q207</f>
        <v>-2400</v>
      </c>
      <c r="U207" s="18" t="s">
        <v>1803</v>
      </c>
      <c r="V207" s="11">
        <v>0</v>
      </c>
      <c r="W207" s="11">
        <v>0</v>
      </c>
      <c r="X207" s="11">
        <v>0</v>
      </c>
      <c r="Y207" s="11">
        <v>0</v>
      </c>
      <c r="Z207" t="s">
        <v>8</v>
      </c>
    </row>
    <row r="208" spans="1:26" x14ac:dyDescent="0.25">
      <c r="A208" s="20" t="s">
        <v>475</v>
      </c>
      <c r="B208" s="20" t="s">
        <v>425</v>
      </c>
      <c r="C208" s="20" t="s">
        <v>476</v>
      </c>
      <c r="D208" s="20" t="s">
        <v>216</v>
      </c>
      <c r="E208" s="13">
        <v>9023</v>
      </c>
      <c r="F208" s="11">
        <v>1</v>
      </c>
      <c r="G208" s="13">
        <v>12483</v>
      </c>
      <c r="H208" s="11">
        <v>1</v>
      </c>
      <c r="I208" s="13">
        <f>E208+G208</f>
        <v>21506</v>
      </c>
      <c r="J208" s="11">
        <f>F208+H208</f>
        <v>2</v>
      </c>
      <c r="K208" s="13">
        <v>6662</v>
      </c>
      <c r="L208" s="11">
        <v>2</v>
      </c>
      <c r="M208" s="11">
        <v>5</v>
      </c>
      <c r="N208" s="13">
        <v>31915</v>
      </c>
      <c r="O208" s="11">
        <v>2</v>
      </c>
      <c r="P208" s="11">
        <v>8</v>
      </c>
      <c r="Q208" s="13">
        <f>K208+N208</f>
        <v>38577</v>
      </c>
      <c r="R208" s="11">
        <f>L208+O208</f>
        <v>4</v>
      </c>
      <c r="S208" s="11">
        <f>M208+P208</f>
        <v>13</v>
      </c>
      <c r="T208" s="8">
        <f>I208-Q208</f>
        <v>-17071</v>
      </c>
      <c r="U208" s="18">
        <v>2.9421160585402596E-2</v>
      </c>
      <c r="V208" s="11">
        <v>0.38</v>
      </c>
      <c r="W208" s="11">
        <v>11</v>
      </c>
      <c r="X208" s="11">
        <v>18</v>
      </c>
      <c r="Y208" s="11">
        <v>1</v>
      </c>
      <c r="Z208" t="s">
        <v>8</v>
      </c>
    </row>
    <row r="209" spans="1:26" x14ac:dyDescent="0.25">
      <c r="A209" s="20" t="s">
        <v>478</v>
      </c>
      <c r="B209" s="20" t="s">
        <v>366</v>
      </c>
      <c r="C209" s="20" t="s">
        <v>367</v>
      </c>
      <c r="D209" s="20" t="s">
        <v>216</v>
      </c>
      <c r="E209" s="13">
        <v>0</v>
      </c>
      <c r="F209" s="11">
        <v>0</v>
      </c>
      <c r="G209" s="13">
        <v>0</v>
      </c>
      <c r="H209" s="11">
        <v>0</v>
      </c>
      <c r="I209" s="13">
        <f>E209+G209</f>
        <v>0</v>
      </c>
      <c r="J209" s="11">
        <f>F209+H209</f>
        <v>0</v>
      </c>
      <c r="K209" s="13">
        <v>0</v>
      </c>
      <c r="L209" s="11">
        <v>0</v>
      </c>
      <c r="M209" s="11">
        <v>0</v>
      </c>
      <c r="N209" s="13">
        <v>0</v>
      </c>
      <c r="O209" s="11">
        <v>0</v>
      </c>
      <c r="P209" s="11">
        <v>1</v>
      </c>
      <c r="Q209" s="13">
        <f>K209+N209</f>
        <v>0</v>
      </c>
      <c r="R209" s="11">
        <f>L209+O209</f>
        <v>0</v>
      </c>
      <c r="S209" s="11">
        <f>M209+P209</f>
        <v>1</v>
      </c>
      <c r="T209" s="8">
        <f>I209-Q209</f>
        <v>0</v>
      </c>
      <c r="U209" s="18">
        <v>6.4161927230581534E-2</v>
      </c>
      <c r="V209" s="11">
        <v>0.14000000000000001</v>
      </c>
      <c r="W209" s="11">
        <v>1</v>
      </c>
      <c r="X209" s="11">
        <v>6</v>
      </c>
      <c r="Y209" s="11">
        <v>0</v>
      </c>
      <c r="Z209" t="s">
        <v>8</v>
      </c>
    </row>
    <row r="210" spans="1:26" x14ac:dyDescent="0.25">
      <c r="A210" s="20" t="s">
        <v>480</v>
      </c>
      <c r="B210" s="20" t="s">
        <v>1377</v>
      </c>
      <c r="C210" s="20" t="s">
        <v>482</v>
      </c>
      <c r="D210" s="20" t="s">
        <v>216</v>
      </c>
      <c r="E210" s="13">
        <v>1231</v>
      </c>
      <c r="F210" s="11">
        <v>1</v>
      </c>
      <c r="G210" s="13">
        <v>4242</v>
      </c>
      <c r="H210" s="11">
        <v>0</v>
      </c>
      <c r="I210" s="13">
        <f>E210+G210</f>
        <v>5473</v>
      </c>
      <c r="J210" s="11">
        <f>F210+H210</f>
        <v>1</v>
      </c>
      <c r="K210" s="13">
        <v>0</v>
      </c>
      <c r="L210" s="11">
        <v>0</v>
      </c>
      <c r="M210" s="11">
        <v>1</v>
      </c>
      <c r="N210" s="13">
        <v>11393.23</v>
      </c>
      <c r="O210" s="11">
        <v>0</v>
      </c>
      <c r="P210" s="11">
        <v>1</v>
      </c>
      <c r="Q210" s="13">
        <f>K210+N210</f>
        <v>11393.23</v>
      </c>
      <c r="R210" s="11">
        <f>L210+O210</f>
        <v>0</v>
      </c>
      <c r="S210" s="11">
        <f>M210+P210</f>
        <v>2</v>
      </c>
      <c r="T210" s="8">
        <f>I210-Q210</f>
        <v>-5920.23</v>
      </c>
      <c r="U210" s="18">
        <v>0.5985489235919973</v>
      </c>
      <c r="V210" s="11">
        <v>0.27</v>
      </c>
      <c r="W210" s="11">
        <v>3</v>
      </c>
      <c r="X210" s="11">
        <v>8</v>
      </c>
      <c r="Y210" s="11">
        <v>3</v>
      </c>
      <c r="Z210" t="s">
        <v>8</v>
      </c>
    </row>
    <row r="211" spans="1:26" x14ac:dyDescent="0.25">
      <c r="A211" s="20" t="s">
        <v>483</v>
      </c>
      <c r="B211" s="20" t="s">
        <v>3096</v>
      </c>
      <c r="C211" s="20" t="s">
        <v>484</v>
      </c>
      <c r="D211" s="20" t="s">
        <v>216</v>
      </c>
      <c r="E211" s="13">
        <v>3742</v>
      </c>
      <c r="F211" s="11">
        <v>0</v>
      </c>
      <c r="G211" s="13">
        <v>4370</v>
      </c>
      <c r="H211" s="11">
        <v>0</v>
      </c>
      <c r="I211" s="13">
        <f>E211+G211</f>
        <v>8112</v>
      </c>
      <c r="J211" s="11">
        <f>F211+H211</f>
        <v>0</v>
      </c>
      <c r="K211" s="13">
        <v>3403</v>
      </c>
      <c r="L211" s="11">
        <v>0</v>
      </c>
      <c r="M211" s="11">
        <v>0</v>
      </c>
      <c r="N211" s="13">
        <v>3420</v>
      </c>
      <c r="O211" s="11">
        <v>0</v>
      </c>
      <c r="P211" s="11">
        <v>0</v>
      </c>
      <c r="Q211" s="13">
        <f>K211+N211</f>
        <v>6823</v>
      </c>
      <c r="R211" s="11">
        <f>L211+O211</f>
        <v>0</v>
      </c>
      <c r="S211" s="11">
        <f>M211+P211</f>
        <v>0</v>
      </c>
      <c r="T211" s="8">
        <f>I211-Q211</f>
        <v>1289</v>
      </c>
      <c r="U211" s="18">
        <v>2.2088801192615228E-2</v>
      </c>
      <c r="V211" s="11">
        <v>0</v>
      </c>
      <c r="W211" s="11">
        <v>0</v>
      </c>
      <c r="X211" s="11">
        <v>3</v>
      </c>
      <c r="Y211" s="11">
        <v>0</v>
      </c>
      <c r="Z211" t="s">
        <v>8</v>
      </c>
    </row>
    <row r="212" spans="1:26" x14ac:dyDescent="0.25">
      <c r="A212" s="20" t="s">
        <v>487</v>
      </c>
      <c r="B212" s="20" t="s">
        <v>91</v>
      </c>
      <c r="C212" s="20" t="s">
        <v>488</v>
      </c>
      <c r="D212" s="20" t="s">
        <v>216</v>
      </c>
      <c r="E212" s="13">
        <v>756</v>
      </c>
      <c r="F212" s="11">
        <v>0</v>
      </c>
      <c r="G212" s="13">
        <v>13001</v>
      </c>
      <c r="H212" s="11">
        <v>0</v>
      </c>
      <c r="I212" s="13">
        <f>E212+G212</f>
        <v>13757</v>
      </c>
      <c r="J212" s="11">
        <f>F212+H212</f>
        <v>0</v>
      </c>
      <c r="K212" s="13">
        <v>-3946.09</v>
      </c>
      <c r="L212" s="11">
        <v>0</v>
      </c>
      <c r="M212" s="11">
        <v>1</v>
      </c>
      <c r="N212" s="13">
        <v>13001</v>
      </c>
      <c r="O212" s="11">
        <v>0</v>
      </c>
      <c r="P212" s="11">
        <v>0</v>
      </c>
      <c r="Q212" s="13">
        <f>K212+N212</f>
        <v>9054.91</v>
      </c>
      <c r="R212" s="11">
        <f>L212+O212</f>
        <v>0</v>
      </c>
      <c r="S212" s="11">
        <f>M212+P212</f>
        <v>1</v>
      </c>
      <c r="T212" s="8">
        <f>I212-Q212</f>
        <v>4702.09</v>
      </c>
      <c r="U212" s="18">
        <v>0.45197498951981274</v>
      </c>
      <c r="V212" s="11">
        <v>0.5</v>
      </c>
      <c r="W212" s="11">
        <v>1</v>
      </c>
      <c r="X212" s="11">
        <v>1</v>
      </c>
      <c r="Y212" s="11">
        <v>0</v>
      </c>
      <c r="Z212" t="s">
        <v>8</v>
      </c>
    </row>
    <row r="213" spans="1:26" x14ac:dyDescent="0.25">
      <c r="A213" s="20" t="s">
        <v>490</v>
      </c>
      <c r="B213" s="20" t="s">
        <v>81</v>
      </c>
      <c r="C213" s="20" t="s">
        <v>491</v>
      </c>
      <c r="D213" s="20" t="s">
        <v>216</v>
      </c>
      <c r="E213" s="13">
        <v>0</v>
      </c>
      <c r="F213" s="11">
        <v>0</v>
      </c>
      <c r="G213" s="13">
        <v>0</v>
      </c>
      <c r="H213" s="11">
        <v>0</v>
      </c>
      <c r="I213" s="13">
        <f>E213+G213</f>
        <v>0</v>
      </c>
      <c r="J213" s="11">
        <f>F213+H213</f>
        <v>0</v>
      </c>
      <c r="K213" s="13">
        <v>0</v>
      </c>
      <c r="L213" s="11">
        <v>0</v>
      </c>
      <c r="M213" s="11">
        <v>0</v>
      </c>
      <c r="N213" s="13">
        <v>0</v>
      </c>
      <c r="O213" s="11">
        <v>0</v>
      </c>
      <c r="P213" s="11">
        <v>0</v>
      </c>
      <c r="Q213" s="13">
        <f>K213+N213</f>
        <v>0</v>
      </c>
      <c r="R213" s="11">
        <f>L213+O213</f>
        <v>0</v>
      </c>
      <c r="S213" s="11">
        <f>M213+P213</f>
        <v>0</v>
      </c>
      <c r="T213" s="8">
        <f>I213-Q213</f>
        <v>0</v>
      </c>
      <c r="U213" s="18" t="s">
        <v>1803</v>
      </c>
      <c r="V213" s="11">
        <v>0</v>
      </c>
      <c r="W213" s="11">
        <v>0</v>
      </c>
      <c r="X213" s="11">
        <v>0</v>
      </c>
      <c r="Y213" s="11">
        <v>0</v>
      </c>
      <c r="Z213" t="s">
        <v>8</v>
      </c>
    </row>
    <row r="214" spans="1:26" x14ac:dyDescent="0.25">
      <c r="A214" s="20" t="s">
        <v>492</v>
      </c>
      <c r="B214" s="20" t="s">
        <v>124</v>
      </c>
      <c r="C214" s="20" t="s">
        <v>438</v>
      </c>
      <c r="D214" s="20" t="s">
        <v>216</v>
      </c>
      <c r="E214" s="13">
        <v>0</v>
      </c>
      <c r="F214" s="11">
        <v>0</v>
      </c>
      <c r="G214" s="13">
        <v>17913</v>
      </c>
      <c r="H214" s="11">
        <v>0</v>
      </c>
      <c r="I214" s="13">
        <f>E214+G214</f>
        <v>17913</v>
      </c>
      <c r="J214" s="11">
        <f>F214+H214</f>
        <v>0</v>
      </c>
      <c r="K214" s="13">
        <v>0</v>
      </c>
      <c r="L214" s="11">
        <v>0</v>
      </c>
      <c r="M214" s="11">
        <v>0</v>
      </c>
      <c r="N214" s="13">
        <v>16235</v>
      </c>
      <c r="O214" s="11">
        <v>0</v>
      </c>
      <c r="P214" s="11">
        <v>0</v>
      </c>
      <c r="Q214" s="13">
        <f>K214+N214</f>
        <v>16235</v>
      </c>
      <c r="R214" s="11">
        <f>L214+O214</f>
        <v>0</v>
      </c>
      <c r="S214" s="11">
        <f>M214+P214</f>
        <v>0</v>
      </c>
      <c r="T214" s="8">
        <f>I214-Q214</f>
        <v>1678</v>
      </c>
      <c r="U214" s="18">
        <v>7.330505959494682E-2</v>
      </c>
      <c r="V214" s="11">
        <v>0</v>
      </c>
      <c r="W214" s="11">
        <v>0</v>
      </c>
      <c r="X214" s="11">
        <v>3</v>
      </c>
      <c r="Y214" s="11">
        <v>0</v>
      </c>
      <c r="Z214" t="s">
        <v>8</v>
      </c>
    </row>
    <row r="215" spans="1:26" x14ac:dyDescent="0.25">
      <c r="A215" s="20" t="s">
        <v>495</v>
      </c>
      <c r="B215" s="20" t="s">
        <v>58</v>
      </c>
      <c r="C215" s="20" t="s">
        <v>496</v>
      </c>
      <c r="D215" s="20" t="s">
        <v>216</v>
      </c>
      <c r="E215" s="13">
        <v>7168</v>
      </c>
      <c r="F215" s="11">
        <v>0</v>
      </c>
      <c r="G215" s="13">
        <v>1491</v>
      </c>
      <c r="H215" s="11">
        <v>0</v>
      </c>
      <c r="I215" s="13">
        <f>E215+G215</f>
        <v>8659</v>
      </c>
      <c r="J215" s="11">
        <f>F215+H215</f>
        <v>0</v>
      </c>
      <c r="K215" s="13">
        <v>0</v>
      </c>
      <c r="L215" s="11">
        <v>0</v>
      </c>
      <c r="M215" s="11">
        <v>1</v>
      </c>
      <c r="N215" s="13">
        <v>-683.84</v>
      </c>
      <c r="O215" s="11">
        <v>0</v>
      </c>
      <c r="P215" s="11">
        <v>0</v>
      </c>
      <c r="Q215" s="13">
        <f>K215+N215</f>
        <v>-683.84</v>
      </c>
      <c r="R215" s="11">
        <f>L215+O215</f>
        <v>0</v>
      </c>
      <c r="S215" s="11">
        <f>M215+P215</f>
        <v>1</v>
      </c>
      <c r="T215" s="8">
        <f>I215-Q215</f>
        <v>9342.84</v>
      </c>
      <c r="U215" s="18">
        <v>-2.1131133907239044E-2</v>
      </c>
      <c r="V215" s="11">
        <v>0.33</v>
      </c>
      <c r="W215" s="11">
        <v>1</v>
      </c>
      <c r="X215" s="11">
        <v>2</v>
      </c>
      <c r="Y215" s="11">
        <v>0</v>
      </c>
      <c r="Z215" t="s">
        <v>8</v>
      </c>
    </row>
    <row r="216" spans="1:26" x14ac:dyDescent="0.25">
      <c r="A216" s="20" t="s">
        <v>503</v>
      </c>
      <c r="B216" s="20" t="s">
        <v>60</v>
      </c>
      <c r="C216" s="20" t="s">
        <v>504</v>
      </c>
      <c r="D216" s="20" t="s">
        <v>216</v>
      </c>
      <c r="E216" s="13">
        <v>0</v>
      </c>
      <c r="F216" s="11">
        <v>0</v>
      </c>
      <c r="G216" s="13">
        <v>53719.23</v>
      </c>
      <c r="H216" s="11">
        <v>2</v>
      </c>
      <c r="I216" s="13">
        <f>E216+G216</f>
        <v>53719.23</v>
      </c>
      <c r="J216" s="11">
        <f>F216+H216</f>
        <v>2</v>
      </c>
      <c r="K216" s="13">
        <v>18644</v>
      </c>
      <c r="L216" s="11">
        <v>0</v>
      </c>
      <c r="M216" s="11">
        <v>0</v>
      </c>
      <c r="N216" s="13">
        <v>48046.49</v>
      </c>
      <c r="O216" s="11">
        <v>5</v>
      </c>
      <c r="P216" s="11">
        <v>20</v>
      </c>
      <c r="Q216" s="13">
        <f>K216+N216</f>
        <v>66690.489999999991</v>
      </c>
      <c r="R216" s="11">
        <f>L216+O216</f>
        <v>5</v>
      </c>
      <c r="S216" s="11">
        <f>M216+P216</f>
        <v>20</v>
      </c>
      <c r="T216" s="8">
        <f>I216-Q216</f>
        <v>-12971.259999999987</v>
      </c>
      <c r="U216" s="18">
        <v>2.7836550073775456E-2</v>
      </c>
      <c r="V216" s="11">
        <v>0.21</v>
      </c>
      <c r="W216" s="11">
        <v>17</v>
      </c>
      <c r="X216" s="11">
        <v>63</v>
      </c>
      <c r="Y216" s="11">
        <v>1</v>
      </c>
      <c r="Z216" t="s">
        <v>8</v>
      </c>
    </row>
    <row r="217" spans="1:26" x14ac:dyDescent="0.25">
      <c r="A217" s="20" t="s">
        <v>508</v>
      </c>
      <c r="B217" s="20" t="s">
        <v>58</v>
      </c>
      <c r="C217" s="20" t="s">
        <v>509</v>
      </c>
      <c r="D217" s="20" t="s">
        <v>216</v>
      </c>
      <c r="E217" s="13">
        <v>0</v>
      </c>
      <c r="F217" s="11">
        <v>0</v>
      </c>
      <c r="G217" s="13">
        <v>0</v>
      </c>
      <c r="H217" s="11">
        <v>0</v>
      </c>
      <c r="I217" s="13">
        <f>E217+G217</f>
        <v>0</v>
      </c>
      <c r="J217" s="11">
        <f>F217+H217</f>
        <v>0</v>
      </c>
      <c r="K217" s="13">
        <v>0</v>
      </c>
      <c r="L217" s="11">
        <v>0</v>
      </c>
      <c r="M217" s="11">
        <v>0</v>
      </c>
      <c r="N217" s="13">
        <v>0</v>
      </c>
      <c r="O217" s="11">
        <v>0</v>
      </c>
      <c r="P217" s="11">
        <v>0</v>
      </c>
      <c r="Q217" s="13">
        <f>K217+N217</f>
        <v>0</v>
      </c>
      <c r="R217" s="11">
        <f>L217+O217</f>
        <v>0</v>
      </c>
      <c r="S217" s="11">
        <f>M217+P217</f>
        <v>0</v>
      </c>
      <c r="T217" s="8">
        <f>I217-Q217</f>
        <v>0</v>
      </c>
      <c r="U217" s="18" t="s">
        <v>1803</v>
      </c>
      <c r="V217" s="11">
        <v>0</v>
      </c>
      <c r="W217" s="11">
        <v>0</v>
      </c>
      <c r="X217" s="11">
        <v>0</v>
      </c>
      <c r="Y217" s="11">
        <v>0</v>
      </c>
      <c r="Z217" t="s">
        <v>8</v>
      </c>
    </row>
    <row r="218" spans="1:26" x14ac:dyDescent="0.25">
      <c r="A218" s="20" t="s">
        <v>295</v>
      </c>
      <c r="B218" s="20" t="s">
        <v>295</v>
      </c>
      <c r="C218" s="20" t="s">
        <v>3351</v>
      </c>
      <c r="D218" s="20" t="s">
        <v>216</v>
      </c>
      <c r="E218" s="13">
        <v>0</v>
      </c>
      <c r="F218" s="11">
        <v>0</v>
      </c>
      <c r="G218" s="13">
        <v>0</v>
      </c>
      <c r="H218" s="11">
        <v>0</v>
      </c>
      <c r="I218" s="13">
        <f>E218+G218</f>
        <v>0</v>
      </c>
      <c r="J218" s="11">
        <f>F218+H218</f>
        <v>0</v>
      </c>
      <c r="K218" s="13">
        <v>0</v>
      </c>
      <c r="L218" s="11">
        <v>0</v>
      </c>
      <c r="M218" s="11">
        <v>0</v>
      </c>
      <c r="N218" s="13">
        <v>0</v>
      </c>
      <c r="O218" s="11">
        <v>0</v>
      </c>
      <c r="P218" s="11">
        <v>0</v>
      </c>
      <c r="Q218" s="13">
        <f>K218+N218</f>
        <v>0</v>
      </c>
      <c r="R218" s="11">
        <f>L218+O218</f>
        <v>0</v>
      </c>
      <c r="S218" s="11">
        <f>M218+P218</f>
        <v>0</v>
      </c>
      <c r="T218" s="8">
        <f>I218-Q218</f>
        <v>0</v>
      </c>
      <c r="U218" s="18">
        <v>0.18260891633015336</v>
      </c>
      <c r="V218" s="11">
        <v>0</v>
      </c>
      <c r="W218" s="11">
        <v>0</v>
      </c>
      <c r="X218" s="11">
        <v>0</v>
      </c>
      <c r="Y218" s="11">
        <v>1</v>
      </c>
      <c r="Z218" t="s">
        <v>8</v>
      </c>
    </row>
    <row r="219" spans="1:26" x14ac:dyDescent="0.25">
      <c r="A219" s="20" t="s">
        <v>520</v>
      </c>
      <c r="B219" s="20" t="s">
        <v>459</v>
      </c>
      <c r="C219" s="20" t="s">
        <v>460</v>
      </c>
      <c r="D219" s="20" t="s">
        <v>216</v>
      </c>
      <c r="E219" s="13">
        <v>0</v>
      </c>
      <c r="F219" s="11">
        <v>0</v>
      </c>
      <c r="G219" s="13">
        <v>2328.08</v>
      </c>
      <c r="H219" s="11">
        <v>0</v>
      </c>
      <c r="I219" s="13">
        <f>E219+G219</f>
        <v>2328.08</v>
      </c>
      <c r="J219" s="11">
        <f>F219+H219</f>
        <v>0</v>
      </c>
      <c r="K219" s="13">
        <v>0</v>
      </c>
      <c r="L219" s="11">
        <v>0</v>
      </c>
      <c r="M219" s="11">
        <v>0</v>
      </c>
      <c r="N219" s="13">
        <v>21577</v>
      </c>
      <c r="O219" s="11">
        <v>1</v>
      </c>
      <c r="P219" s="11">
        <v>1</v>
      </c>
      <c r="Q219" s="13">
        <f>K219+N219</f>
        <v>21577</v>
      </c>
      <c r="R219" s="11">
        <f>L219+O219</f>
        <v>1</v>
      </c>
      <c r="S219" s="11">
        <f>M219+P219</f>
        <v>1</v>
      </c>
      <c r="T219" s="8">
        <f>I219-Q219</f>
        <v>-19248.919999999998</v>
      </c>
      <c r="U219" s="18">
        <v>5.6987820305619294</v>
      </c>
      <c r="V219" s="11">
        <v>0</v>
      </c>
      <c r="W219" s="11">
        <v>0</v>
      </c>
      <c r="X219" s="11">
        <v>1</v>
      </c>
      <c r="Y219" s="11">
        <v>0</v>
      </c>
      <c r="Z219" t="s">
        <v>8</v>
      </c>
    </row>
    <row r="220" spans="1:26" x14ac:dyDescent="0.25">
      <c r="A220" s="20" t="s">
        <v>522</v>
      </c>
      <c r="B220" s="20" t="s">
        <v>60</v>
      </c>
      <c r="C220" s="20" t="s">
        <v>523</v>
      </c>
      <c r="D220" s="20" t="s">
        <v>216</v>
      </c>
      <c r="E220" s="13">
        <v>0</v>
      </c>
      <c r="F220" s="11">
        <v>0</v>
      </c>
      <c r="G220" s="13">
        <v>6642</v>
      </c>
      <c r="H220" s="11">
        <v>1</v>
      </c>
      <c r="I220" s="13">
        <f>E220+G220</f>
        <v>6642</v>
      </c>
      <c r="J220" s="11">
        <f>F220+H220</f>
        <v>1</v>
      </c>
      <c r="K220" s="13">
        <v>0</v>
      </c>
      <c r="L220" s="11">
        <v>0</v>
      </c>
      <c r="M220" s="11">
        <v>0</v>
      </c>
      <c r="N220" s="13">
        <v>849.25</v>
      </c>
      <c r="O220" s="11">
        <v>0</v>
      </c>
      <c r="P220" s="11">
        <v>2</v>
      </c>
      <c r="Q220" s="13">
        <f>K220+N220</f>
        <v>849.25</v>
      </c>
      <c r="R220" s="11">
        <f>L220+O220</f>
        <v>0</v>
      </c>
      <c r="S220" s="11">
        <f>M220+P220</f>
        <v>2</v>
      </c>
      <c r="T220" s="8">
        <f>I220-Q220</f>
        <v>5792.75</v>
      </c>
      <c r="U220" s="18">
        <v>2.0195641907467591E-2</v>
      </c>
      <c r="V220" s="11">
        <v>0.6</v>
      </c>
      <c r="W220" s="11">
        <v>3</v>
      </c>
      <c r="X220" s="11">
        <v>2</v>
      </c>
      <c r="Y220" s="11">
        <v>0</v>
      </c>
      <c r="Z220" t="s">
        <v>8</v>
      </c>
    </row>
    <row r="221" spans="1:26" x14ac:dyDescent="0.25">
      <c r="A221" s="20" t="s">
        <v>527</v>
      </c>
      <c r="B221" s="20" t="s">
        <v>60</v>
      </c>
      <c r="C221" s="20" t="s">
        <v>528</v>
      </c>
      <c r="D221" s="20" t="s">
        <v>216</v>
      </c>
      <c r="E221" s="13">
        <v>0</v>
      </c>
      <c r="F221" s="11">
        <v>0</v>
      </c>
      <c r="G221" s="13">
        <v>0</v>
      </c>
      <c r="H221" s="11">
        <v>0</v>
      </c>
      <c r="I221" s="13">
        <f>E221+G221</f>
        <v>0</v>
      </c>
      <c r="J221" s="11">
        <f>F221+H221</f>
        <v>0</v>
      </c>
      <c r="K221" s="13">
        <v>0</v>
      </c>
      <c r="L221" s="11">
        <v>0</v>
      </c>
      <c r="M221" s="11">
        <v>0</v>
      </c>
      <c r="N221" s="13">
        <v>0</v>
      </c>
      <c r="O221" s="11">
        <v>0</v>
      </c>
      <c r="P221" s="11">
        <v>0</v>
      </c>
      <c r="Q221" s="13">
        <f>K221+N221</f>
        <v>0</v>
      </c>
      <c r="R221" s="11">
        <f>L221+O221</f>
        <v>0</v>
      </c>
      <c r="S221" s="11">
        <f>M221+P221</f>
        <v>0</v>
      </c>
      <c r="T221" s="8">
        <f>I221-Q221</f>
        <v>0</v>
      </c>
      <c r="U221" s="18" t="s">
        <v>1803</v>
      </c>
      <c r="V221" s="11">
        <v>0</v>
      </c>
      <c r="W221" s="11">
        <v>0</v>
      </c>
      <c r="X221" s="11">
        <v>0</v>
      </c>
      <c r="Y221" s="11">
        <v>0</v>
      </c>
      <c r="Z221" t="s">
        <v>8</v>
      </c>
    </row>
    <row r="222" spans="1:26" x14ac:dyDescent="0.25">
      <c r="A222" s="20" t="s">
        <v>529</v>
      </c>
      <c r="B222" s="20" t="s">
        <v>91</v>
      </c>
      <c r="C222" s="20" t="s">
        <v>530</v>
      </c>
      <c r="D222" s="20" t="s">
        <v>216</v>
      </c>
      <c r="E222" s="13">
        <v>0</v>
      </c>
      <c r="F222" s="11">
        <v>0</v>
      </c>
      <c r="G222" s="13">
        <v>0</v>
      </c>
      <c r="H222" s="11">
        <v>0</v>
      </c>
      <c r="I222" s="13">
        <f>E222+G222</f>
        <v>0</v>
      </c>
      <c r="J222" s="11">
        <f>F222+H222</f>
        <v>0</v>
      </c>
      <c r="K222" s="13">
        <v>0</v>
      </c>
      <c r="L222" s="11">
        <v>0</v>
      </c>
      <c r="M222" s="11">
        <v>0</v>
      </c>
      <c r="N222" s="13">
        <v>0</v>
      </c>
      <c r="O222" s="11">
        <v>0</v>
      </c>
      <c r="P222" s="11">
        <v>0</v>
      </c>
      <c r="Q222" s="13">
        <f>K222+N222</f>
        <v>0</v>
      </c>
      <c r="R222" s="11">
        <f>L222+O222</f>
        <v>0</v>
      </c>
      <c r="S222" s="11">
        <f>M222+P222</f>
        <v>0</v>
      </c>
      <c r="T222" s="8">
        <f>I222-Q222</f>
        <v>0</v>
      </c>
      <c r="U222" s="18" t="s">
        <v>1803</v>
      </c>
      <c r="V222" s="11">
        <v>0</v>
      </c>
      <c r="W222" s="11">
        <v>0</v>
      </c>
      <c r="X222" s="11">
        <v>0</v>
      </c>
      <c r="Y222" s="11">
        <v>0</v>
      </c>
      <c r="Z222" t="s">
        <v>8</v>
      </c>
    </row>
    <row r="223" spans="1:26" x14ac:dyDescent="0.25">
      <c r="A223" s="20" t="s">
        <v>407</v>
      </c>
      <c r="B223" s="20" t="s">
        <v>407</v>
      </c>
      <c r="C223" s="20" t="s">
        <v>531</v>
      </c>
      <c r="D223" s="20" t="s">
        <v>216</v>
      </c>
      <c r="E223" s="13">
        <v>13390.27</v>
      </c>
      <c r="F223" s="11">
        <v>0</v>
      </c>
      <c r="G223" s="13">
        <v>11174.27</v>
      </c>
      <c r="H223" s="11">
        <v>0</v>
      </c>
      <c r="I223" s="13">
        <f>E223+G223</f>
        <v>24564.54</v>
      </c>
      <c r="J223" s="11">
        <f>F223+H223</f>
        <v>0</v>
      </c>
      <c r="K223" s="13">
        <v>15800.25</v>
      </c>
      <c r="L223" s="11">
        <v>0</v>
      </c>
      <c r="M223" s="11">
        <v>2</v>
      </c>
      <c r="N223" s="13">
        <v>13220</v>
      </c>
      <c r="O223" s="11">
        <v>0</v>
      </c>
      <c r="P223" s="11">
        <v>0</v>
      </c>
      <c r="Q223" s="13">
        <f>K223+N223</f>
        <v>29020.25</v>
      </c>
      <c r="R223" s="11">
        <f>L223+O223</f>
        <v>0</v>
      </c>
      <c r="S223" s="11">
        <f>M223+P223</f>
        <v>2</v>
      </c>
      <c r="T223" s="8">
        <f>I223-Q223</f>
        <v>-4455.7099999999991</v>
      </c>
      <c r="U223" s="18">
        <v>0.12285999889164811</v>
      </c>
      <c r="V223" s="11">
        <v>0.67</v>
      </c>
      <c r="W223" s="11">
        <v>2</v>
      </c>
      <c r="X223" s="11">
        <v>1</v>
      </c>
      <c r="Y223" s="11">
        <v>0</v>
      </c>
      <c r="Z223" t="s">
        <v>8</v>
      </c>
    </row>
    <row r="224" spans="1:26" x14ac:dyDescent="0.25">
      <c r="A224" s="20" t="s">
        <v>532</v>
      </c>
      <c r="B224" s="20" t="s">
        <v>295</v>
      </c>
      <c r="C224" s="20" t="s">
        <v>964</v>
      </c>
      <c r="D224" s="20" t="s">
        <v>216</v>
      </c>
      <c r="E224" s="13">
        <v>3661</v>
      </c>
      <c r="F224" s="11">
        <v>0</v>
      </c>
      <c r="G224" s="13">
        <v>0</v>
      </c>
      <c r="H224" s="11">
        <v>0</v>
      </c>
      <c r="I224" s="13">
        <f>E224+G224</f>
        <v>3661</v>
      </c>
      <c r="J224" s="11">
        <f>F224+H224</f>
        <v>0</v>
      </c>
      <c r="K224" s="13">
        <v>4581</v>
      </c>
      <c r="L224" s="11">
        <v>0</v>
      </c>
      <c r="M224" s="11">
        <v>0</v>
      </c>
      <c r="N224" s="13">
        <v>0</v>
      </c>
      <c r="O224" s="11">
        <v>0</v>
      </c>
      <c r="P224" s="11">
        <v>1</v>
      </c>
      <c r="Q224" s="13">
        <f>K224+N224</f>
        <v>4581</v>
      </c>
      <c r="R224" s="11">
        <f>L224+O224</f>
        <v>0</v>
      </c>
      <c r="S224" s="11">
        <f>M224+P224</f>
        <v>1</v>
      </c>
      <c r="T224" s="8">
        <f>I224-Q224</f>
        <v>-920</v>
      </c>
      <c r="U224" s="18">
        <v>0.18467145184479181</v>
      </c>
      <c r="V224" s="11">
        <v>0.17</v>
      </c>
      <c r="W224" s="11">
        <v>1</v>
      </c>
      <c r="X224" s="11">
        <v>5</v>
      </c>
      <c r="Y224" s="11">
        <v>0</v>
      </c>
      <c r="Z224" t="s">
        <v>8</v>
      </c>
    </row>
    <row r="225" spans="1:26" x14ac:dyDescent="0.25">
      <c r="A225" s="20" t="s">
        <v>537</v>
      </c>
      <c r="B225" s="20" t="s">
        <v>77</v>
      </c>
      <c r="C225" s="20" t="s">
        <v>486</v>
      </c>
      <c r="D225" s="20" t="s">
        <v>216</v>
      </c>
      <c r="E225" s="13">
        <v>0</v>
      </c>
      <c r="F225" s="11">
        <v>0</v>
      </c>
      <c r="G225" s="13">
        <v>0</v>
      </c>
      <c r="H225" s="11">
        <v>0</v>
      </c>
      <c r="I225" s="13">
        <f>E225+G225</f>
        <v>0</v>
      </c>
      <c r="J225" s="11">
        <f>F225+H225</f>
        <v>0</v>
      </c>
      <c r="K225" s="13">
        <v>0</v>
      </c>
      <c r="L225" s="11">
        <v>0</v>
      </c>
      <c r="M225" s="11">
        <v>0</v>
      </c>
      <c r="N225" s="13">
        <v>0</v>
      </c>
      <c r="O225" s="11">
        <v>0</v>
      </c>
      <c r="P225" s="11">
        <v>0</v>
      </c>
      <c r="Q225" s="13">
        <f>K225+N225</f>
        <v>0</v>
      </c>
      <c r="R225" s="11">
        <f>L225+O225</f>
        <v>0</v>
      </c>
      <c r="S225" s="11">
        <f>M225+P225</f>
        <v>0</v>
      </c>
      <c r="T225" s="8">
        <f>I225-Q225</f>
        <v>0</v>
      </c>
      <c r="U225" s="18">
        <v>8.1936825036575511E-2</v>
      </c>
      <c r="V225" s="11">
        <v>0</v>
      </c>
      <c r="W225" s="11">
        <v>0</v>
      </c>
      <c r="X225" s="11">
        <v>1</v>
      </c>
      <c r="Y225" s="11">
        <v>0</v>
      </c>
      <c r="Z225" t="s">
        <v>8</v>
      </c>
    </row>
    <row r="226" spans="1:26" x14ac:dyDescent="0.25">
      <c r="A226" s="20" t="s">
        <v>538</v>
      </c>
      <c r="B226" s="20" t="s">
        <v>91</v>
      </c>
      <c r="C226" s="20" t="s">
        <v>539</v>
      </c>
      <c r="D226" s="20" t="s">
        <v>216</v>
      </c>
      <c r="E226" s="13">
        <v>0</v>
      </c>
      <c r="F226" s="11">
        <v>0</v>
      </c>
      <c r="G226" s="13">
        <v>0</v>
      </c>
      <c r="H226" s="11">
        <v>0</v>
      </c>
      <c r="I226" s="13">
        <f>E226+G226</f>
        <v>0</v>
      </c>
      <c r="J226" s="11">
        <f>F226+H226</f>
        <v>0</v>
      </c>
      <c r="K226" s="13">
        <v>0</v>
      </c>
      <c r="L226" s="11">
        <v>0</v>
      </c>
      <c r="M226" s="11">
        <v>0</v>
      </c>
      <c r="N226" s="13">
        <v>0</v>
      </c>
      <c r="O226" s="11">
        <v>0</v>
      </c>
      <c r="P226" s="11">
        <v>0</v>
      </c>
      <c r="Q226" s="13">
        <f>K226+N226</f>
        <v>0</v>
      </c>
      <c r="R226" s="11">
        <f>L226+O226</f>
        <v>0</v>
      </c>
      <c r="S226" s="11">
        <f>M226+P226</f>
        <v>0</v>
      </c>
      <c r="T226" s="8">
        <f>I226-Q226</f>
        <v>0</v>
      </c>
      <c r="U226" s="18" t="s">
        <v>1803</v>
      </c>
      <c r="V226" s="11">
        <v>0</v>
      </c>
      <c r="W226" s="11">
        <v>0</v>
      </c>
      <c r="X226" s="11">
        <v>0</v>
      </c>
      <c r="Y226" s="11">
        <v>0</v>
      </c>
      <c r="Z226" t="s">
        <v>8</v>
      </c>
    </row>
    <row r="227" spans="1:26" x14ac:dyDescent="0.25">
      <c r="A227" s="20" t="s">
        <v>540</v>
      </c>
      <c r="B227" s="20" t="s">
        <v>91</v>
      </c>
      <c r="C227" s="20" t="s">
        <v>541</v>
      </c>
      <c r="D227" s="20" t="s">
        <v>216</v>
      </c>
      <c r="E227" s="13">
        <v>0</v>
      </c>
      <c r="F227" s="11">
        <v>0</v>
      </c>
      <c r="G227" s="13">
        <v>0</v>
      </c>
      <c r="H227" s="11">
        <v>0</v>
      </c>
      <c r="I227" s="13">
        <f>E227+G227</f>
        <v>0</v>
      </c>
      <c r="J227" s="11">
        <f>F227+H227</f>
        <v>0</v>
      </c>
      <c r="K227" s="13">
        <v>0</v>
      </c>
      <c r="L227" s="11">
        <v>0</v>
      </c>
      <c r="M227" s="11">
        <v>0</v>
      </c>
      <c r="N227" s="13">
        <v>0</v>
      </c>
      <c r="O227" s="11">
        <v>0</v>
      </c>
      <c r="P227" s="11">
        <v>0</v>
      </c>
      <c r="Q227" s="13">
        <f>K227+N227</f>
        <v>0</v>
      </c>
      <c r="R227" s="11">
        <f>L227+O227</f>
        <v>0</v>
      </c>
      <c r="S227" s="11">
        <f>M227+P227</f>
        <v>0</v>
      </c>
      <c r="T227" s="8">
        <f>I227-Q227</f>
        <v>0</v>
      </c>
      <c r="U227" s="18">
        <v>-0.2144789498783605</v>
      </c>
      <c r="V227" s="11">
        <v>0</v>
      </c>
      <c r="W227" s="11">
        <v>0</v>
      </c>
      <c r="X227" s="11">
        <v>0</v>
      </c>
      <c r="Y227" s="11">
        <v>0</v>
      </c>
      <c r="Z227" t="s">
        <v>8</v>
      </c>
    </row>
    <row r="228" spans="1:26" x14ac:dyDescent="0.25">
      <c r="A228" s="20" t="s">
        <v>542</v>
      </c>
      <c r="B228" s="20" t="s">
        <v>77</v>
      </c>
      <c r="C228" s="20" t="s">
        <v>473</v>
      </c>
      <c r="D228" s="20" t="s">
        <v>216</v>
      </c>
      <c r="E228" s="13">
        <v>3823.02</v>
      </c>
      <c r="F228" s="11">
        <v>0</v>
      </c>
      <c r="G228" s="13">
        <v>-1794.37</v>
      </c>
      <c r="H228" s="11">
        <v>0</v>
      </c>
      <c r="I228" s="13">
        <f>E228+G228</f>
        <v>2028.65</v>
      </c>
      <c r="J228" s="11">
        <f>F228+H228</f>
        <v>0</v>
      </c>
      <c r="K228" s="13">
        <v>9625.01</v>
      </c>
      <c r="L228" s="11">
        <v>0</v>
      </c>
      <c r="M228" s="11">
        <v>0</v>
      </c>
      <c r="N228" s="13">
        <v>0</v>
      </c>
      <c r="O228" s="11">
        <v>0</v>
      </c>
      <c r="P228" s="11">
        <v>2</v>
      </c>
      <c r="Q228" s="13">
        <f>K228+N228</f>
        <v>9625.01</v>
      </c>
      <c r="R228" s="11">
        <f>L228+O228</f>
        <v>0</v>
      </c>
      <c r="S228" s="11">
        <f>M228+P228</f>
        <v>2</v>
      </c>
      <c r="T228" s="8">
        <f>I228-Q228</f>
        <v>-7596.3600000000006</v>
      </c>
      <c r="U228" s="18">
        <v>0.14334532322392268</v>
      </c>
      <c r="V228" s="11">
        <v>0.4</v>
      </c>
      <c r="W228" s="11">
        <v>2</v>
      </c>
      <c r="X228" s="11">
        <v>3</v>
      </c>
      <c r="Y228" s="11">
        <v>0</v>
      </c>
      <c r="Z228" t="s">
        <v>8</v>
      </c>
    </row>
    <row r="229" spans="1:26" x14ac:dyDescent="0.25">
      <c r="A229" s="20" t="s">
        <v>761</v>
      </c>
      <c r="B229" s="20" t="s">
        <v>77</v>
      </c>
      <c r="C229" s="20" t="s">
        <v>432</v>
      </c>
      <c r="D229" s="20" t="s">
        <v>216</v>
      </c>
      <c r="E229" s="13">
        <v>0</v>
      </c>
      <c r="F229" s="11">
        <v>0</v>
      </c>
      <c r="G229" s="13">
        <v>16124</v>
      </c>
      <c r="H229" s="11">
        <v>0</v>
      </c>
      <c r="I229" s="13">
        <f>E229+G229</f>
        <v>16124</v>
      </c>
      <c r="J229" s="11">
        <f>F229+H229</f>
        <v>0</v>
      </c>
      <c r="K229" s="13">
        <v>666.89</v>
      </c>
      <c r="L229" s="11">
        <v>0</v>
      </c>
      <c r="M229" s="11">
        <v>0</v>
      </c>
      <c r="N229" s="13">
        <v>37595</v>
      </c>
      <c r="O229" s="11">
        <v>0</v>
      </c>
      <c r="P229" s="11">
        <v>0</v>
      </c>
      <c r="Q229" s="13">
        <f>K229+N229</f>
        <v>38261.89</v>
      </c>
      <c r="R229" s="11">
        <f>L229+O229</f>
        <v>0</v>
      </c>
      <c r="S229" s="11">
        <f>M229+P229</f>
        <v>0</v>
      </c>
      <c r="T229" s="8">
        <f>I229-Q229</f>
        <v>-22137.89</v>
      </c>
      <c r="U229" s="18">
        <v>4.5775139994522123</v>
      </c>
      <c r="V229" s="11">
        <v>0</v>
      </c>
      <c r="W229" s="11">
        <v>0</v>
      </c>
      <c r="X229" s="11">
        <v>0</v>
      </c>
      <c r="Y229" s="11">
        <v>2</v>
      </c>
      <c r="Z229" t="s">
        <v>8</v>
      </c>
    </row>
    <row r="230" spans="1:26" x14ac:dyDescent="0.25">
      <c r="A230" s="20" t="s">
        <v>408</v>
      </c>
      <c r="B230" s="20" t="s">
        <v>408</v>
      </c>
      <c r="C230" s="20" t="s">
        <v>409</v>
      </c>
      <c r="D230" s="20" t="s">
        <v>216</v>
      </c>
      <c r="E230" s="13">
        <v>5761.32</v>
      </c>
      <c r="F230" s="11">
        <v>3</v>
      </c>
      <c r="G230" s="13">
        <v>2920</v>
      </c>
      <c r="H230" s="11">
        <v>0</v>
      </c>
      <c r="I230" s="13">
        <f>E230+G230</f>
        <v>8681.32</v>
      </c>
      <c r="J230" s="11">
        <f>F230+H230</f>
        <v>3</v>
      </c>
      <c r="K230" s="13">
        <v>720</v>
      </c>
      <c r="L230" s="11">
        <v>0</v>
      </c>
      <c r="M230" s="11">
        <v>2</v>
      </c>
      <c r="N230" s="13">
        <v>15447</v>
      </c>
      <c r="O230" s="11">
        <v>1</v>
      </c>
      <c r="P230" s="11">
        <v>3</v>
      </c>
      <c r="Q230" s="13">
        <f>K230+N230</f>
        <v>16167</v>
      </c>
      <c r="R230" s="11">
        <f>L230+O230</f>
        <v>1</v>
      </c>
      <c r="S230" s="11">
        <f>M230+P230</f>
        <v>5</v>
      </c>
      <c r="T230" s="8">
        <f>I230-Q230</f>
        <v>-7485.68</v>
      </c>
      <c r="U230" s="18">
        <v>-0.24310942311209366</v>
      </c>
      <c r="V230" s="11">
        <v>0.4</v>
      </c>
      <c r="W230" s="11">
        <v>8</v>
      </c>
      <c r="X230" s="11">
        <v>12</v>
      </c>
      <c r="Y230" s="11">
        <v>0</v>
      </c>
      <c r="Z230" t="s">
        <v>8</v>
      </c>
    </row>
    <row r="231" spans="1:26" x14ac:dyDescent="0.25">
      <c r="A231" s="20" t="s">
        <v>548</v>
      </c>
      <c r="B231" s="20" t="s">
        <v>60</v>
      </c>
      <c r="C231" s="20" t="s">
        <v>549</v>
      </c>
      <c r="D231" s="20" t="s">
        <v>216</v>
      </c>
      <c r="E231" s="13">
        <v>0</v>
      </c>
      <c r="F231" s="11">
        <v>0</v>
      </c>
      <c r="G231" s="13">
        <v>0</v>
      </c>
      <c r="H231" s="11">
        <v>0</v>
      </c>
      <c r="I231" s="13">
        <f>E231+G231</f>
        <v>0</v>
      </c>
      <c r="J231" s="11">
        <f>F231+H231</f>
        <v>0</v>
      </c>
      <c r="K231" s="13">
        <v>0</v>
      </c>
      <c r="L231" s="11">
        <v>0</v>
      </c>
      <c r="M231" s="11">
        <v>0</v>
      </c>
      <c r="N231" s="13">
        <v>0</v>
      </c>
      <c r="O231" s="11">
        <v>0</v>
      </c>
      <c r="P231" s="11">
        <v>0</v>
      </c>
      <c r="Q231" s="13">
        <f>K231+N231</f>
        <v>0</v>
      </c>
      <c r="R231" s="11">
        <f>L231+O231</f>
        <v>0</v>
      </c>
      <c r="S231" s="11">
        <f>M231+P231</f>
        <v>0</v>
      </c>
      <c r="T231" s="8">
        <f>I231-Q231</f>
        <v>0</v>
      </c>
      <c r="U231" s="18">
        <v>1.9217375173150771E-4</v>
      </c>
      <c r="V231" s="11">
        <v>0</v>
      </c>
      <c r="W231" s="11">
        <v>0</v>
      </c>
      <c r="X231" s="11">
        <v>0</v>
      </c>
      <c r="Y231" s="11">
        <v>0</v>
      </c>
      <c r="Z231" t="s">
        <v>8</v>
      </c>
    </row>
    <row r="232" spans="1:26" x14ac:dyDescent="0.25">
      <c r="A232" s="20" t="s">
        <v>498</v>
      </c>
      <c r="B232" s="20" t="s">
        <v>498</v>
      </c>
      <c r="C232" s="20" t="s">
        <v>550</v>
      </c>
      <c r="D232" s="20" t="s">
        <v>216</v>
      </c>
      <c r="E232" s="13">
        <v>0</v>
      </c>
      <c r="F232" s="11">
        <v>0</v>
      </c>
      <c r="G232" s="13">
        <v>0</v>
      </c>
      <c r="H232" s="11">
        <v>0</v>
      </c>
      <c r="I232" s="13">
        <f>E232+G232</f>
        <v>0</v>
      </c>
      <c r="J232" s="11">
        <f>F232+H232</f>
        <v>0</v>
      </c>
      <c r="K232" s="13">
        <v>-830.61</v>
      </c>
      <c r="L232" s="11">
        <v>0</v>
      </c>
      <c r="M232" s="11">
        <v>1</v>
      </c>
      <c r="N232" s="13">
        <v>0</v>
      </c>
      <c r="O232" s="11">
        <v>0</v>
      </c>
      <c r="P232" s="11">
        <v>0</v>
      </c>
      <c r="Q232" s="13">
        <f>K232+N232</f>
        <v>-830.61</v>
      </c>
      <c r="R232" s="11">
        <f>L232+O232</f>
        <v>0</v>
      </c>
      <c r="S232" s="11">
        <f>M232+P232</f>
        <v>1</v>
      </c>
      <c r="T232" s="8">
        <f>I232-Q232</f>
        <v>830.61</v>
      </c>
      <c r="U232" s="18">
        <v>-1.4126314447159253E-2</v>
      </c>
      <c r="V232" s="11">
        <v>0.5</v>
      </c>
      <c r="W232" s="11">
        <v>1</v>
      </c>
      <c r="X232" s="11">
        <v>1</v>
      </c>
      <c r="Y232" s="11">
        <v>0</v>
      </c>
      <c r="Z232" t="s">
        <v>8</v>
      </c>
    </row>
    <row r="233" spans="1:26" x14ac:dyDescent="0.25">
      <c r="A233" s="20" t="s">
        <v>551</v>
      </c>
      <c r="B233" s="20" t="s">
        <v>60</v>
      </c>
      <c r="C233" s="20" t="s">
        <v>552</v>
      </c>
      <c r="D233" s="20" t="s">
        <v>216</v>
      </c>
      <c r="E233" s="13">
        <v>0</v>
      </c>
      <c r="F233" s="11">
        <v>0</v>
      </c>
      <c r="G233" s="13">
        <v>0</v>
      </c>
      <c r="H233" s="11">
        <v>0</v>
      </c>
      <c r="I233" s="13">
        <f>E233+G233</f>
        <v>0</v>
      </c>
      <c r="J233" s="11">
        <f>F233+H233</f>
        <v>0</v>
      </c>
      <c r="K233" s="13">
        <v>0</v>
      </c>
      <c r="L233" s="11">
        <v>0</v>
      </c>
      <c r="M233" s="11">
        <v>0</v>
      </c>
      <c r="N233" s="13">
        <v>0</v>
      </c>
      <c r="O233" s="11">
        <v>0</v>
      </c>
      <c r="P233" s="11">
        <v>0</v>
      </c>
      <c r="Q233" s="13">
        <f>K233+N233</f>
        <v>0</v>
      </c>
      <c r="R233" s="11">
        <f>L233+O233</f>
        <v>0</v>
      </c>
      <c r="S233" s="11">
        <f>M233+P233</f>
        <v>0</v>
      </c>
      <c r="T233" s="8">
        <f>I233-Q233</f>
        <v>0</v>
      </c>
      <c r="U233" s="18" t="s">
        <v>1803</v>
      </c>
      <c r="V233" s="11">
        <v>0</v>
      </c>
      <c r="W233" s="11">
        <v>0</v>
      </c>
      <c r="X233" s="11">
        <v>0</v>
      </c>
      <c r="Y233" s="11">
        <v>0</v>
      </c>
      <c r="Z233" t="s">
        <v>8</v>
      </c>
    </row>
    <row r="234" spans="1:26" x14ac:dyDescent="0.25">
      <c r="A234" s="20" t="s">
        <v>559</v>
      </c>
      <c r="B234" s="20" t="s">
        <v>77</v>
      </c>
      <c r="C234" s="20" t="s">
        <v>514</v>
      </c>
      <c r="D234" s="20" t="s">
        <v>216</v>
      </c>
      <c r="E234" s="13">
        <v>0</v>
      </c>
      <c r="F234" s="11">
        <v>0</v>
      </c>
      <c r="G234" s="13">
        <v>0</v>
      </c>
      <c r="H234" s="11">
        <v>0</v>
      </c>
      <c r="I234" s="13">
        <f>E234+G234</f>
        <v>0</v>
      </c>
      <c r="J234" s="11">
        <f>F234+H234</f>
        <v>0</v>
      </c>
      <c r="K234" s="13">
        <v>0</v>
      </c>
      <c r="L234" s="11">
        <v>0</v>
      </c>
      <c r="M234" s="11">
        <v>0</v>
      </c>
      <c r="N234" s="13">
        <v>0</v>
      </c>
      <c r="O234" s="11">
        <v>0</v>
      </c>
      <c r="P234" s="11">
        <v>0</v>
      </c>
      <c r="Q234" s="13">
        <f>K234+N234</f>
        <v>0</v>
      </c>
      <c r="R234" s="11">
        <f>L234+O234</f>
        <v>0</v>
      </c>
      <c r="S234" s="11">
        <f>M234+P234</f>
        <v>0</v>
      </c>
      <c r="T234" s="8">
        <f>I234-Q234</f>
        <v>0</v>
      </c>
      <c r="U234" s="18">
        <v>-5.2736320617078771</v>
      </c>
      <c r="V234" s="11">
        <v>0</v>
      </c>
      <c r="W234" s="11">
        <v>0</v>
      </c>
      <c r="X234" s="11">
        <v>0</v>
      </c>
      <c r="Y234" s="11">
        <v>0</v>
      </c>
      <c r="Z234" t="s">
        <v>8</v>
      </c>
    </row>
    <row r="235" spans="1:26" x14ac:dyDescent="0.25">
      <c r="A235" s="20" t="s">
        <v>560</v>
      </c>
      <c r="B235" s="20" t="s">
        <v>459</v>
      </c>
      <c r="C235" s="20" t="s">
        <v>3608</v>
      </c>
      <c r="D235" s="20" t="s">
        <v>215</v>
      </c>
      <c r="E235" s="13">
        <v>24708.639999999999</v>
      </c>
      <c r="F235" s="11">
        <v>0</v>
      </c>
      <c r="G235" s="13">
        <v>1480.66</v>
      </c>
      <c r="H235" s="11">
        <v>0</v>
      </c>
      <c r="I235" s="13">
        <f>E235+G235</f>
        <v>26189.3</v>
      </c>
      <c r="J235" s="11">
        <f>F235+H235</f>
        <v>0</v>
      </c>
      <c r="K235" s="13">
        <v>23440.639999999999</v>
      </c>
      <c r="L235" s="11">
        <v>0</v>
      </c>
      <c r="M235" s="11">
        <v>1</v>
      </c>
      <c r="N235" s="13">
        <v>0</v>
      </c>
      <c r="O235" s="11">
        <v>0</v>
      </c>
      <c r="P235" s="11">
        <v>1</v>
      </c>
      <c r="Q235" s="13">
        <f>K235+N235</f>
        <v>23440.639999999999</v>
      </c>
      <c r="R235" s="11">
        <f>L235+O235</f>
        <v>0</v>
      </c>
      <c r="S235" s="11">
        <f>M235+P235</f>
        <v>2</v>
      </c>
      <c r="T235" s="8">
        <f>I235-Q235</f>
        <v>2748.66</v>
      </c>
      <c r="U235" s="18" t="s">
        <v>1803</v>
      </c>
      <c r="V235" s="11">
        <v>0.4</v>
      </c>
      <c r="W235" s="11">
        <v>2</v>
      </c>
      <c r="X235" s="11">
        <v>3</v>
      </c>
      <c r="Y235" s="11">
        <v>0</v>
      </c>
      <c r="Z235" t="s">
        <v>8</v>
      </c>
    </row>
    <row r="236" spans="1:26" x14ac:dyDescent="0.25">
      <c r="A236" s="20" t="s">
        <v>561</v>
      </c>
      <c r="B236" s="20" t="s">
        <v>295</v>
      </c>
      <c r="C236" s="20" t="s">
        <v>964</v>
      </c>
      <c r="D236" s="20" t="s">
        <v>216</v>
      </c>
      <c r="E236" s="13">
        <v>0</v>
      </c>
      <c r="F236" s="11">
        <v>0</v>
      </c>
      <c r="G236" s="13">
        <v>0</v>
      </c>
      <c r="H236" s="11">
        <v>0</v>
      </c>
      <c r="I236" s="13">
        <f>E236+G236</f>
        <v>0</v>
      </c>
      <c r="J236" s="11">
        <f>F236+H236</f>
        <v>0</v>
      </c>
      <c r="K236" s="13">
        <v>0</v>
      </c>
      <c r="L236" s="11">
        <v>0</v>
      </c>
      <c r="M236" s="11">
        <v>0</v>
      </c>
      <c r="N236" s="13">
        <v>6404.33</v>
      </c>
      <c r="O236" s="11">
        <v>0</v>
      </c>
      <c r="P236" s="11">
        <v>0</v>
      </c>
      <c r="Q236" s="13">
        <f>K236+N236</f>
        <v>6404.33</v>
      </c>
      <c r="R236" s="11">
        <f>L236+O236</f>
        <v>0</v>
      </c>
      <c r="S236" s="11">
        <f>M236+P236</f>
        <v>0</v>
      </c>
      <c r="T236" s="8">
        <f>I236-Q236</f>
        <v>-6404.33</v>
      </c>
      <c r="U236" s="18">
        <v>-5.0855348840367853E-2</v>
      </c>
      <c r="V236" s="11">
        <v>0</v>
      </c>
      <c r="W236" s="11">
        <v>0</v>
      </c>
      <c r="X236" s="11">
        <v>0</v>
      </c>
      <c r="Y236" s="11">
        <v>0</v>
      </c>
      <c r="Z236" t="s">
        <v>8</v>
      </c>
    </row>
    <row r="237" spans="1:26" x14ac:dyDescent="0.25">
      <c r="A237" s="20" t="s">
        <v>562</v>
      </c>
      <c r="B237" s="20" t="s">
        <v>257</v>
      </c>
      <c r="C237" s="20" t="s">
        <v>453</v>
      </c>
      <c r="D237" s="20" t="s">
        <v>216</v>
      </c>
      <c r="E237" s="13">
        <v>0</v>
      </c>
      <c r="F237" s="11">
        <v>0</v>
      </c>
      <c r="G237" s="13">
        <v>18871</v>
      </c>
      <c r="H237" s="11">
        <v>0</v>
      </c>
      <c r="I237" s="13">
        <f>E237+G237</f>
        <v>18871</v>
      </c>
      <c r="J237" s="11">
        <f>F237+H237</f>
        <v>0</v>
      </c>
      <c r="K237" s="13">
        <v>0</v>
      </c>
      <c r="L237" s="11">
        <v>0</v>
      </c>
      <c r="M237" s="11">
        <v>1</v>
      </c>
      <c r="N237" s="13">
        <v>21495.91</v>
      </c>
      <c r="O237" s="11">
        <v>1</v>
      </c>
      <c r="P237" s="11">
        <v>3</v>
      </c>
      <c r="Q237" s="13">
        <f>K237+N237</f>
        <v>21495.91</v>
      </c>
      <c r="R237" s="11">
        <f>L237+O237</f>
        <v>1</v>
      </c>
      <c r="S237" s="11">
        <f>M237+P237</f>
        <v>4</v>
      </c>
      <c r="T237" s="8">
        <f>I237-Q237</f>
        <v>-2624.91</v>
      </c>
      <c r="U237" s="18">
        <v>0.44084780837152948</v>
      </c>
      <c r="V237" s="11">
        <v>0.18</v>
      </c>
      <c r="W237" s="11">
        <v>3</v>
      </c>
      <c r="X237" s="11">
        <v>14</v>
      </c>
      <c r="Y237" s="11">
        <v>0</v>
      </c>
      <c r="Z237" t="s">
        <v>8</v>
      </c>
    </row>
    <row r="238" spans="1:26" x14ac:dyDescent="0.25">
      <c r="A238" s="20" t="s">
        <v>563</v>
      </c>
      <c r="B238" s="20" t="s">
        <v>257</v>
      </c>
      <c r="C238" s="20" t="s">
        <v>564</v>
      </c>
      <c r="D238" s="20" t="s">
        <v>216</v>
      </c>
      <c r="E238" s="13">
        <v>0</v>
      </c>
      <c r="F238" s="11">
        <v>0</v>
      </c>
      <c r="G238" s="13">
        <v>0</v>
      </c>
      <c r="H238" s="11">
        <v>0</v>
      </c>
      <c r="I238" s="13">
        <f>E238+G238</f>
        <v>0</v>
      </c>
      <c r="J238" s="11">
        <f>F238+H238</f>
        <v>0</v>
      </c>
      <c r="K238" s="13">
        <v>0</v>
      </c>
      <c r="L238" s="11">
        <v>0</v>
      </c>
      <c r="M238" s="11">
        <v>0</v>
      </c>
      <c r="N238" s="13">
        <v>0</v>
      </c>
      <c r="O238" s="11">
        <v>0</v>
      </c>
      <c r="P238" s="11">
        <v>0</v>
      </c>
      <c r="Q238" s="13">
        <f>K238+N238</f>
        <v>0</v>
      </c>
      <c r="R238" s="11">
        <f>L238+O238</f>
        <v>0</v>
      </c>
      <c r="S238" s="11">
        <f>M238+P238</f>
        <v>0</v>
      </c>
      <c r="T238" s="8">
        <f>I238-Q238</f>
        <v>0</v>
      </c>
      <c r="U238" s="18">
        <v>-0.21030221943268385</v>
      </c>
      <c r="V238" s="11">
        <v>0</v>
      </c>
      <c r="W238" s="11">
        <v>0</v>
      </c>
      <c r="X238" s="11">
        <v>0</v>
      </c>
      <c r="Y238" s="11">
        <v>0</v>
      </c>
      <c r="Z238" t="s">
        <v>8</v>
      </c>
    </row>
    <row r="239" spans="1:26" x14ac:dyDescent="0.25">
      <c r="A239" s="20" t="s">
        <v>97</v>
      </c>
      <c r="B239" s="20" t="s">
        <v>97</v>
      </c>
      <c r="C239" s="20" t="s">
        <v>428</v>
      </c>
      <c r="D239" s="20" t="s">
        <v>216</v>
      </c>
      <c r="E239" s="13">
        <v>10295</v>
      </c>
      <c r="F239" s="11">
        <v>0</v>
      </c>
      <c r="G239" s="13">
        <v>0</v>
      </c>
      <c r="H239" s="11">
        <v>0</v>
      </c>
      <c r="I239" s="13">
        <f>E239+G239</f>
        <v>10295</v>
      </c>
      <c r="J239" s="11">
        <f>F239+H239</f>
        <v>0</v>
      </c>
      <c r="K239" s="13">
        <v>9840</v>
      </c>
      <c r="L239" s="11">
        <v>0</v>
      </c>
      <c r="M239" s="11">
        <v>1</v>
      </c>
      <c r="N239" s="13">
        <v>0</v>
      </c>
      <c r="O239" s="11">
        <v>0</v>
      </c>
      <c r="P239" s="11">
        <v>1</v>
      </c>
      <c r="Q239" s="13">
        <f>K239+N239</f>
        <v>9840</v>
      </c>
      <c r="R239" s="11">
        <f>L239+O239</f>
        <v>0</v>
      </c>
      <c r="S239" s="11">
        <f>M239+P239</f>
        <v>2</v>
      </c>
      <c r="T239" s="8">
        <f>I239-Q239</f>
        <v>455</v>
      </c>
      <c r="U239" s="18">
        <v>2.8048804928812416E-2</v>
      </c>
      <c r="V239" s="11">
        <v>0.33</v>
      </c>
      <c r="W239" s="11">
        <v>2</v>
      </c>
      <c r="X239" s="11">
        <v>4</v>
      </c>
      <c r="Y239" s="11">
        <v>0</v>
      </c>
      <c r="Z239" t="s">
        <v>8</v>
      </c>
    </row>
    <row r="240" spans="1:26" x14ac:dyDescent="0.25">
      <c r="A240" s="20" t="s">
        <v>571</v>
      </c>
      <c r="B240" s="20" t="s">
        <v>77</v>
      </c>
      <c r="C240" s="20" t="s">
        <v>572</v>
      </c>
      <c r="D240" s="20" t="s">
        <v>216</v>
      </c>
      <c r="E240" s="13">
        <v>0</v>
      </c>
      <c r="F240" s="11">
        <v>0</v>
      </c>
      <c r="G240" s="13">
        <v>0</v>
      </c>
      <c r="H240" s="11">
        <v>0</v>
      </c>
      <c r="I240" s="13">
        <f>E240+G240</f>
        <v>0</v>
      </c>
      <c r="J240" s="11">
        <f>F240+H240</f>
        <v>0</v>
      </c>
      <c r="K240" s="13">
        <v>0</v>
      </c>
      <c r="L240" s="11">
        <v>0</v>
      </c>
      <c r="M240" s="11">
        <v>0</v>
      </c>
      <c r="N240" s="13">
        <v>0</v>
      </c>
      <c r="O240" s="11">
        <v>0</v>
      </c>
      <c r="P240" s="11">
        <v>0</v>
      </c>
      <c r="Q240" s="13">
        <f>K240+N240</f>
        <v>0</v>
      </c>
      <c r="R240" s="11">
        <f>L240+O240</f>
        <v>0</v>
      </c>
      <c r="S240" s="11">
        <f>M240+P240</f>
        <v>0</v>
      </c>
      <c r="T240" s="8">
        <f>I240-Q240</f>
        <v>0</v>
      </c>
      <c r="U240" s="18">
        <v>-2.2822126225643678E-4</v>
      </c>
      <c r="V240" s="11">
        <v>0</v>
      </c>
      <c r="W240" s="11">
        <v>0</v>
      </c>
      <c r="X240" s="11">
        <v>0</v>
      </c>
      <c r="Y240" s="11">
        <v>0</v>
      </c>
      <c r="Z240" t="s">
        <v>8</v>
      </c>
    </row>
    <row r="241" spans="1:26" x14ac:dyDescent="0.25">
      <c r="A241" s="20" t="s">
        <v>500</v>
      </c>
      <c r="B241" s="20" t="s">
        <v>500</v>
      </c>
      <c r="C241" s="20" t="s">
        <v>501</v>
      </c>
      <c r="D241" s="20" t="s">
        <v>216</v>
      </c>
      <c r="E241" s="13">
        <v>14334</v>
      </c>
      <c r="F241" s="11">
        <v>0</v>
      </c>
      <c r="G241" s="13">
        <v>5514.27</v>
      </c>
      <c r="H241" s="11">
        <v>1</v>
      </c>
      <c r="I241" s="13">
        <f>E241+G241</f>
        <v>19848.27</v>
      </c>
      <c r="J241" s="11">
        <f>F241+H241</f>
        <v>1</v>
      </c>
      <c r="K241" s="13">
        <v>13707.91</v>
      </c>
      <c r="L241" s="11">
        <v>0</v>
      </c>
      <c r="M241" s="11">
        <v>0</v>
      </c>
      <c r="N241" s="13">
        <v>6398.5</v>
      </c>
      <c r="O241" s="11">
        <v>0</v>
      </c>
      <c r="P241" s="11">
        <v>1</v>
      </c>
      <c r="Q241" s="13">
        <f>K241+N241</f>
        <v>20106.41</v>
      </c>
      <c r="R241" s="11">
        <f>L241+O241</f>
        <v>0</v>
      </c>
      <c r="S241" s="11">
        <f>M241+P241</f>
        <v>1</v>
      </c>
      <c r="T241" s="8">
        <f>I241-Q241</f>
        <v>-258.13999999999942</v>
      </c>
      <c r="U241" s="18">
        <v>0.12759861682510254</v>
      </c>
      <c r="V241" s="11">
        <v>0.4</v>
      </c>
      <c r="W241" s="11">
        <v>2</v>
      </c>
      <c r="X241" s="11">
        <v>3</v>
      </c>
      <c r="Y241" s="11">
        <v>1</v>
      </c>
      <c r="Z241" t="s">
        <v>8</v>
      </c>
    </row>
    <row r="242" spans="1:26" x14ac:dyDescent="0.25">
      <c r="A242" s="20" t="s">
        <v>442</v>
      </c>
      <c r="B242" s="20" t="s">
        <v>442</v>
      </c>
      <c r="C242" s="20" t="s">
        <v>221</v>
      </c>
      <c r="D242" s="20" t="s">
        <v>216</v>
      </c>
      <c r="E242" s="13">
        <v>16492</v>
      </c>
      <c r="F242" s="11">
        <v>0</v>
      </c>
      <c r="G242" s="13">
        <v>0</v>
      </c>
      <c r="H242" s="11">
        <v>0</v>
      </c>
      <c r="I242" s="13">
        <f>E242+G242</f>
        <v>16492</v>
      </c>
      <c r="J242" s="11">
        <f>F242+H242</f>
        <v>0</v>
      </c>
      <c r="K242" s="13">
        <v>20729.29</v>
      </c>
      <c r="L242" s="11">
        <v>1</v>
      </c>
      <c r="M242" s="11">
        <v>3</v>
      </c>
      <c r="N242" s="13">
        <v>0</v>
      </c>
      <c r="O242" s="11">
        <v>0</v>
      </c>
      <c r="P242" s="11">
        <v>0</v>
      </c>
      <c r="Q242" s="13">
        <f>K242+N242</f>
        <v>20729.29</v>
      </c>
      <c r="R242" s="11">
        <f>L242+O242</f>
        <v>1</v>
      </c>
      <c r="S242" s="11">
        <f>M242+P242</f>
        <v>3</v>
      </c>
      <c r="T242" s="8">
        <f>I242-Q242</f>
        <v>-4237.2900000000009</v>
      </c>
      <c r="U242" s="18">
        <v>0.42816413919312513</v>
      </c>
      <c r="V242" s="11">
        <v>0.17</v>
      </c>
      <c r="W242" s="11">
        <v>2</v>
      </c>
      <c r="X242" s="11">
        <v>10</v>
      </c>
      <c r="Y242" s="11">
        <v>0</v>
      </c>
      <c r="Z242" t="s">
        <v>8</v>
      </c>
    </row>
    <row r="243" spans="1:26" x14ac:dyDescent="0.25">
      <c r="A243" s="20" t="s">
        <v>575</v>
      </c>
      <c r="B243" s="20" t="s">
        <v>60</v>
      </c>
      <c r="C243" s="20" t="s">
        <v>576</v>
      </c>
      <c r="D243" s="20" t="s">
        <v>216</v>
      </c>
      <c r="E243" s="13">
        <v>0</v>
      </c>
      <c r="F243" s="11">
        <v>0</v>
      </c>
      <c r="G243" s="13">
        <v>0</v>
      </c>
      <c r="H243" s="11">
        <v>0</v>
      </c>
      <c r="I243" s="13">
        <f>E243+G243</f>
        <v>0</v>
      </c>
      <c r="J243" s="11">
        <f>F243+H243</f>
        <v>0</v>
      </c>
      <c r="K243" s="13">
        <v>0</v>
      </c>
      <c r="L243" s="11">
        <v>0</v>
      </c>
      <c r="M243" s="11">
        <v>0</v>
      </c>
      <c r="N243" s="13">
        <v>0</v>
      </c>
      <c r="O243" s="11">
        <v>0</v>
      </c>
      <c r="P243" s="11">
        <v>0</v>
      </c>
      <c r="Q243" s="13">
        <f>K243+N243</f>
        <v>0</v>
      </c>
      <c r="R243" s="11">
        <f>L243+O243</f>
        <v>0</v>
      </c>
      <c r="S243" s="11">
        <f>M243+P243</f>
        <v>0</v>
      </c>
      <c r="T243" s="8">
        <f>I243-Q243</f>
        <v>0</v>
      </c>
      <c r="U243" s="18">
        <v>-0.14958000730422077</v>
      </c>
      <c r="V243" s="11">
        <v>0</v>
      </c>
      <c r="W243" s="11">
        <v>0</v>
      </c>
      <c r="X243" s="11">
        <v>0</v>
      </c>
      <c r="Y243" s="11">
        <v>0</v>
      </c>
      <c r="Z243" t="s">
        <v>8</v>
      </c>
    </row>
    <row r="244" spans="1:26" x14ac:dyDescent="0.25">
      <c r="A244" s="20" t="s">
        <v>577</v>
      </c>
      <c r="B244" s="20" t="s">
        <v>257</v>
      </c>
      <c r="C244" s="20" t="s">
        <v>511</v>
      </c>
      <c r="D244" s="20" t="s">
        <v>216</v>
      </c>
      <c r="E244" s="13">
        <v>0</v>
      </c>
      <c r="F244" s="11">
        <v>0</v>
      </c>
      <c r="G244" s="13">
        <v>0</v>
      </c>
      <c r="H244" s="11">
        <v>0</v>
      </c>
      <c r="I244" s="13">
        <f>E244+G244</f>
        <v>0</v>
      </c>
      <c r="J244" s="11">
        <f>F244+H244</f>
        <v>0</v>
      </c>
      <c r="K244" s="13">
        <v>0</v>
      </c>
      <c r="L244" s="11">
        <v>0</v>
      </c>
      <c r="M244" s="11">
        <v>0</v>
      </c>
      <c r="N244" s="13">
        <v>0</v>
      </c>
      <c r="O244" s="11">
        <v>0</v>
      </c>
      <c r="P244" s="11">
        <v>0</v>
      </c>
      <c r="Q244" s="13">
        <f>K244+N244</f>
        <v>0</v>
      </c>
      <c r="R244" s="11">
        <f>L244+O244</f>
        <v>0</v>
      </c>
      <c r="S244" s="11">
        <f>M244+P244</f>
        <v>0</v>
      </c>
      <c r="T244" s="8">
        <f>I244-Q244</f>
        <v>0</v>
      </c>
      <c r="U244" s="18">
        <v>5.9433339083794676</v>
      </c>
      <c r="V244" s="11">
        <v>0</v>
      </c>
      <c r="W244" s="11">
        <v>0</v>
      </c>
      <c r="X244" s="11">
        <v>0</v>
      </c>
      <c r="Y244" s="11">
        <v>0</v>
      </c>
      <c r="Z244" t="s">
        <v>8</v>
      </c>
    </row>
    <row r="245" spans="1:26" x14ac:dyDescent="0.25">
      <c r="A245" s="20" t="s">
        <v>578</v>
      </c>
      <c r="B245" s="20" t="s">
        <v>60</v>
      </c>
      <c r="C245" s="20" t="s">
        <v>579</v>
      </c>
      <c r="D245" s="20" t="s">
        <v>216</v>
      </c>
      <c r="E245" s="13">
        <v>0</v>
      </c>
      <c r="F245" s="11">
        <v>0</v>
      </c>
      <c r="G245" s="13">
        <v>0</v>
      </c>
      <c r="H245" s="11">
        <v>0</v>
      </c>
      <c r="I245" s="13">
        <f>E245+G245</f>
        <v>0</v>
      </c>
      <c r="J245" s="11">
        <f>F245+H245</f>
        <v>0</v>
      </c>
      <c r="K245" s="13">
        <v>0</v>
      </c>
      <c r="L245" s="11">
        <v>0</v>
      </c>
      <c r="M245" s="11">
        <v>0</v>
      </c>
      <c r="N245" s="13">
        <v>-1247.8399999999999</v>
      </c>
      <c r="O245" s="11">
        <v>0</v>
      </c>
      <c r="P245" s="11">
        <v>1</v>
      </c>
      <c r="Q245" s="13">
        <f>K245+N245</f>
        <v>-1247.8399999999999</v>
      </c>
      <c r="R245" s="11">
        <f>L245+O245</f>
        <v>0</v>
      </c>
      <c r="S245" s="11">
        <f>M245+P245</f>
        <v>1</v>
      </c>
      <c r="T245" s="8">
        <f>I245-Q245</f>
        <v>1247.8399999999999</v>
      </c>
      <c r="U245" s="18">
        <v>6.3222504032005383E-2</v>
      </c>
      <c r="V245" s="11">
        <v>0.2</v>
      </c>
      <c r="W245" s="11">
        <v>1</v>
      </c>
      <c r="X245" s="11">
        <v>4</v>
      </c>
      <c r="Y245" s="11">
        <v>0</v>
      </c>
      <c r="Z245" t="s">
        <v>8</v>
      </c>
    </row>
    <row r="246" spans="1:26" x14ac:dyDescent="0.25">
      <c r="A246" s="20" t="s">
        <v>580</v>
      </c>
      <c r="B246" s="20" t="s">
        <v>3096</v>
      </c>
      <c r="C246" s="20" t="s">
        <v>581</v>
      </c>
      <c r="D246" s="20" t="s">
        <v>216</v>
      </c>
      <c r="E246" s="13">
        <v>0</v>
      </c>
      <c r="F246" s="11">
        <v>0</v>
      </c>
      <c r="G246" s="13">
        <v>0</v>
      </c>
      <c r="H246" s="11">
        <v>0</v>
      </c>
      <c r="I246" s="13">
        <f>E246+G246</f>
        <v>0</v>
      </c>
      <c r="J246" s="11">
        <f>F246+H246</f>
        <v>0</v>
      </c>
      <c r="K246" s="13">
        <v>0</v>
      </c>
      <c r="L246" s="11">
        <v>0</v>
      </c>
      <c r="M246" s="11">
        <v>0</v>
      </c>
      <c r="N246" s="13">
        <v>0</v>
      </c>
      <c r="O246" s="11">
        <v>0</v>
      </c>
      <c r="P246" s="11">
        <v>0</v>
      </c>
      <c r="Q246" s="13">
        <f>K246+N246</f>
        <v>0</v>
      </c>
      <c r="R246" s="11">
        <f>L246+O246</f>
        <v>0</v>
      </c>
      <c r="S246" s="11">
        <f>M246+P246</f>
        <v>0</v>
      </c>
      <c r="T246" s="8">
        <f>I246-Q246</f>
        <v>0</v>
      </c>
      <c r="U246" s="18" t="s">
        <v>1803</v>
      </c>
      <c r="V246" s="11">
        <v>0</v>
      </c>
      <c r="W246" s="11">
        <v>0</v>
      </c>
      <c r="X246" s="11">
        <v>0</v>
      </c>
      <c r="Y246" s="11">
        <v>0</v>
      </c>
      <c r="Z246" t="s">
        <v>8</v>
      </c>
    </row>
    <row r="247" spans="1:26" x14ac:dyDescent="0.25">
      <c r="A247" s="20" t="s">
        <v>3000</v>
      </c>
      <c r="B247" s="20" t="s">
        <v>202</v>
      </c>
      <c r="C247" s="20" t="s">
        <v>203</v>
      </c>
      <c r="D247" s="20" t="s">
        <v>216</v>
      </c>
      <c r="E247" s="13">
        <v>0</v>
      </c>
      <c r="F247" s="11">
        <v>0</v>
      </c>
      <c r="G247" s="13">
        <v>0</v>
      </c>
      <c r="H247" s="11">
        <v>0</v>
      </c>
      <c r="I247" s="13">
        <f>E247+G247</f>
        <v>0</v>
      </c>
      <c r="J247" s="11">
        <f>F247+H247</f>
        <v>0</v>
      </c>
      <c r="K247" s="13">
        <v>0</v>
      </c>
      <c r="L247" s="11">
        <v>0</v>
      </c>
      <c r="M247" s="11">
        <v>1</v>
      </c>
      <c r="N247" s="13">
        <v>0</v>
      </c>
      <c r="O247" s="11">
        <v>0</v>
      </c>
      <c r="P247" s="11">
        <v>0</v>
      </c>
      <c r="Q247" s="13">
        <f>K247+N247</f>
        <v>0</v>
      </c>
      <c r="R247" s="11">
        <f>L247+O247</f>
        <v>0</v>
      </c>
      <c r="S247" s="11">
        <f>M247+P247</f>
        <v>1</v>
      </c>
      <c r="T247" s="8">
        <f>I247-Q247</f>
        <v>0</v>
      </c>
      <c r="U247" s="18">
        <v>-0.11101909920127971</v>
      </c>
      <c r="V247" s="11">
        <v>0.5</v>
      </c>
      <c r="W247" s="11">
        <v>1</v>
      </c>
      <c r="X247" s="11">
        <v>1</v>
      </c>
      <c r="Y247" s="11">
        <v>0</v>
      </c>
      <c r="Z247" t="s">
        <v>8</v>
      </c>
    </row>
    <row r="248" spans="1:26" x14ac:dyDescent="0.25">
      <c r="A248" s="20" t="s">
        <v>3017</v>
      </c>
      <c r="B248" s="20" t="s">
        <v>723</v>
      </c>
      <c r="C248" s="20" t="s">
        <v>709</v>
      </c>
      <c r="D248" s="20" t="s">
        <v>216</v>
      </c>
      <c r="E248" s="13">
        <v>17093</v>
      </c>
      <c r="F248" s="11">
        <v>0</v>
      </c>
      <c r="G248" s="13">
        <v>4830</v>
      </c>
      <c r="H248" s="11">
        <v>0</v>
      </c>
      <c r="I248" s="13">
        <f>E248+G248</f>
        <v>21923</v>
      </c>
      <c r="J248" s="11">
        <f>F248+H248</f>
        <v>0</v>
      </c>
      <c r="K248" s="13">
        <v>15699</v>
      </c>
      <c r="L248" s="11">
        <v>0</v>
      </c>
      <c r="M248" s="11">
        <v>1</v>
      </c>
      <c r="N248" s="13">
        <v>0</v>
      </c>
      <c r="O248" s="11">
        <v>0</v>
      </c>
      <c r="P248" s="11">
        <v>0</v>
      </c>
      <c r="Q248" s="13">
        <f>K248+N248</f>
        <v>15699</v>
      </c>
      <c r="R248" s="11">
        <f>L248+O248</f>
        <v>0</v>
      </c>
      <c r="S248" s="11">
        <f>M248+P248</f>
        <v>1</v>
      </c>
      <c r="T248" s="8">
        <f>I248-Q248</f>
        <v>6224</v>
      </c>
      <c r="U248" s="18">
        <v>4.7218077606823644E-2</v>
      </c>
      <c r="V248" s="11">
        <v>0.25</v>
      </c>
      <c r="W248" s="11">
        <v>1</v>
      </c>
      <c r="X248" s="11">
        <v>3</v>
      </c>
      <c r="Y248" s="11">
        <v>1</v>
      </c>
      <c r="Z248" t="s">
        <v>8</v>
      </c>
    </row>
    <row r="249" spans="1:26" x14ac:dyDescent="0.25">
      <c r="A249" s="20" t="s">
        <v>3052</v>
      </c>
      <c r="B249" s="20" t="s">
        <v>58</v>
      </c>
      <c r="C249" s="20" t="s">
        <v>1054</v>
      </c>
      <c r="D249" s="20" t="s">
        <v>216</v>
      </c>
      <c r="E249" s="13">
        <v>0</v>
      </c>
      <c r="F249" s="11">
        <v>0</v>
      </c>
      <c r="G249" s="13">
        <v>0</v>
      </c>
      <c r="H249" s="11">
        <v>0</v>
      </c>
      <c r="I249" s="13">
        <f>E249+G249</f>
        <v>0</v>
      </c>
      <c r="J249" s="11">
        <f>F249+H249</f>
        <v>0</v>
      </c>
      <c r="K249" s="13">
        <v>0</v>
      </c>
      <c r="L249" s="11">
        <v>0</v>
      </c>
      <c r="M249" s="11">
        <v>0</v>
      </c>
      <c r="N249" s="13">
        <v>0</v>
      </c>
      <c r="O249" s="11">
        <v>0</v>
      </c>
      <c r="P249" s="11">
        <v>0</v>
      </c>
      <c r="Q249" s="13">
        <f>K249+N249</f>
        <v>0</v>
      </c>
      <c r="R249" s="11">
        <f>L249+O249</f>
        <v>0</v>
      </c>
      <c r="S249" s="11">
        <f>M249+P249</f>
        <v>0</v>
      </c>
      <c r="T249" s="8">
        <f>I249-Q249</f>
        <v>0</v>
      </c>
      <c r="U249" s="18">
        <v>-0.10089164305213881</v>
      </c>
      <c r="V249" s="11">
        <v>0</v>
      </c>
      <c r="W249" s="11">
        <v>0</v>
      </c>
      <c r="X249" s="11">
        <v>0</v>
      </c>
      <c r="Y249" s="11">
        <v>0</v>
      </c>
      <c r="Z249" t="s">
        <v>8</v>
      </c>
    </row>
    <row r="250" spans="1:26" x14ac:dyDescent="0.25">
      <c r="A250" s="20" t="s">
        <v>3079</v>
      </c>
      <c r="B250" s="20" t="s">
        <v>260</v>
      </c>
      <c r="C250" s="20" t="s">
        <v>286</v>
      </c>
      <c r="D250" s="20" t="s">
        <v>216</v>
      </c>
      <c r="E250" s="13">
        <v>0</v>
      </c>
      <c r="F250" s="11">
        <v>0</v>
      </c>
      <c r="G250" s="13">
        <v>0</v>
      </c>
      <c r="H250" s="11">
        <v>0</v>
      </c>
      <c r="I250" s="13">
        <f>E250+G250</f>
        <v>0</v>
      </c>
      <c r="J250" s="11">
        <f>F250+H250</f>
        <v>0</v>
      </c>
      <c r="K250" s="13">
        <v>0</v>
      </c>
      <c r="L250" s="11">
        <v>0</v>
      </c>
      <c r="M250" s="11">
        <v>0</v>
      </c>
      <c r="N250" s="13">
        <v>0</v>
      </c>
      <c r="O250" s="11">
        <v>0</v>
      </c>
      <c r="P250" s="11">
        <v>0</v>
      </c>
      <c r="Q250" s="13">
        <f>K250+N250</f>
        <v>0</v>
      </c>
      <c r="R250" s="11">
        <f>L250+O250</f>
        <v>0</v>
      </c>
      <c r="S250" s="11">
        <f>M250+P250</f>
        <v>0</v>
      </c>
      <c r="T250" s="8">
        <f>I250-Q250</f>
        <v>0</v>
      </c>
      <c r="U250" s="18">
        <v>-4.7235129282136102E-3</v>
      </c>
      <c r="V250" s="11">
        <v>0</v>
      </c>
      <c r="W250" s="11">
        <v>0</v>
      </c>
      <c r="X250" s="11">
        <v>3</v>
      </c>
      <c r="Y250" s="11">
        <v>0</v>
      </c>
      <c r="Z250" t="s">
        <v>8</v>
      </c>
    </row>
    <row r="251" spans="1:26" x14ac:dyDescent="0.25">
      <c r="A251" s="20" t="s">
        <v>3114</v>
      </c>
      <c r="B251" s="20" t="s">
        <v>295</v>
      </c>
      <c r="C251" s="20" t="s">
        <v>964</v>
      </c>
      <c r="D251" s="20" t="s">
        <v>216</v>
      </c>
      <c r="E251" s="13">
        <v>0</v>
      </c>
      <c r="F251" s="11">
        <v>0</v>
      </c>
      <c r="G251" s="13">
        <v>0</v>
      </c>
      <c r="H251" s="11">
        <v>0</v>
      </c>
      <c r="I251" s="13">
        <f>E251+G251</f>
        <v>0</v>
      </c>
      <c r="J251" s="11">
        <f>F251+H251</f>
        <v>0</v>
      </c>
      <c r="K251" s="13">
        <v>0</v>
      </c>
      <c r="L251" s="11">
        <v>0</v>
      </c>
      <c r="M251" s="11">
        <v>1</v>
      </c>
      <c r="N251" s="13">
        <v>0</v>
      </c>
      <c r="O251" s="11">
        <v>0</v>
      </c>
      <c r="P251" s="11">
        <v>0</v>
      </c>
      <c r="Q251" s="13">
        <f>K251+N251</f>
        <v>0</v>
      </c>
      <c r="R251" s="11">
        <f>L251+O251</f>
        <v>0</v>
      </c>
      <c r="S251" s="11">
        <f>M251+P251</f>
        <v>1</v>
      </c>
      <c r="T251" s="8">
        <f>I251-Q251</f>
        <v>0</v>
      </c>
      <c r="U251" s="18">
        <v>2.837200593938324</v>
      </c>
      <c r="V251" s="11">
        <v>0.14000000000000001</v>
      </c>
      <c r="W251" s="11">
        <v>1</v>
      </c>
      <c r="X251" s="11">
        <v>6</v>
      </c>
      <c r="Y251" s="11">
        <v>0</v>
      </c>
      <c r="Z251" t="s">
        <v>8</v>
      </c>
    </row>
    <row r="252" spans="1:26" x14ac:dyDescent="0.25">
      <c r="A252" s="20" t="s">
        <v>3113</v>
      </c>
      <c r="B252" s="20" t="s">
        <v>3113</v>
      </c>
      <c r="C252" s="20" t="s">
        <v>1054</v>
      </c>
      <c r="D252" s="20" t="s">
        <v>216</v>
      </c>
      <c r="E252" s="13">
        <v>6768</v>
      </c>
      <c r="F252" s="11">
        <v>0</v>
      </c>
      <c r="G252" s="13">
        <v>0</v>
      </c>
      <c r="H252" s="11">
        <v>0</v>
      </c>
      <c r="I252" s="13">
        <f>E252+G252</f>
        <v>6768</v>
      </c>
      <c r="J252" s="11">
        <f>F252+H252</f>
        <v>0</v>
      </c>
      <c r="K252" s="13">
        <v>6859</v>
      </c>
      <c r="L252" s="11">
        <v>0</v>
      </c>
      <c r="M252" s="11">
        <v>0</v>
      </c>
      <c r="N252" s="13">
        <v>0</v>
      </c>
      <c r="O252" s="11">
        <v>0</v>
      </c>
      <c r="P252" s="11">
        <v>0</v>
      </c>
      <c r="Q252" s="13">
        <f>K252+N252</f>
        <v>6859</v>
      </c>
      <c r="R252" s="11">
        <f>L252+O252</f>
        <v>0</v>
      </c>
      <c r="S252" s="11">
        <f>M252+P252</f>
        <v>0</v>
      </c>
      <c r="T252" s="8">
        <f>I252-Q252</f>
        <v>-91</v>
      </c>
      <c r="U252" s="18">
        <v>1.6323841696640453</v>
      </c>
      <c r="V252" s="11">
        <v>0</v>
      </c>
      <c r="W252" s="11">
        <v>0</v>
      </c>
      <c r="X252" s="11">
        <v>2</v>
      </c>
      <c r="Y252" s="11">
        <v>0</v>
      </c>
      <c r="Z252" t="s">
        <v>8</v>
      </c>
    </row>
    <row r="253" spans="1:26" x14ac:dyDescent="0.25">
      <c r="A253" s="20" t="s">
        <v>3228</v>
      </c>
      <c r="B253" s="20" t="s">
        <v>60</v>
      </c>
      <c r="C253" s="20" t="s">
        <v>3229</v>
      </c>
      <c r="D253" s="20" t="s">
        <v>216</v>
      </c>
      <c r="E253" s="13">
        <v>0</v>
      </c>
      <c r="F253" s="11">
        <v>0</v>
      </c>
      <c r="G253" s="13">
        <v>0</v>
      </c>
      <c r="H253" s="11">
        <v>0</v>
      </c>
      <c r="I253" s="13">
        <f>E253+G253</f>
        <v>0</v>
      </c>
      <c r="J253" s="11">
        <f>F253+H253</f>
        <v>0</v>
      </c>
      <c r="K253" s="13">
        <v>0</v>
      </c>
      <c r="L253" s="11">
        <v>0</v>
      </c>
      <c r="M253" s="11">
        <v>0</v>
      </c>
      <c r="N253" s="13">
        <v>0</v>
      </c>
      <c r="O253" s="11">
        <v>0</v>
      </c>
      <c r="P253" s="11">
        <v>0</v>
      </c>
      <c r="Q253" s="13">
        <f>K253+N253</f>
        <v>0</v>
      </c>
      <c r="R253" s="11">
        <f>L253+O253</f>
        <v>0</v>
      </c>
      <c r="S253" s="11">
        <f>M253+P253</f>
        <v>0</v>
      </c>
      <c r="T253" s="8">
        <f>I253-Q253</f>
        <v>0</v>
      </c>
      <c r="U253" s="18">
        <v>2.8137804784976638E-2</v>
      </c>
      <c r="V253" s="11">
        <v>0</v>
      </c>
      <c r="W253" s="11">
        <v>0</v>
      </c>
      <c r="X253" s="11">
        <v>0</v>
      </c>
      <c r="Y253" s="11">
        <v>0</v>
      </c>
      <c r="Z253" t="s">
        <v>8</v>
      </c>
    </row>
    <row r="254" spans="1:26" x14ac:dyDescent="0.25">
      <c r="A254" s="20" t="s">
        <v>3280</v>
      </c>
      <c r="B254" s="20" t="s">
        <v>3280</v>
      </c>
      <c r="C254" s="20" t="s">
        <v>406</v>
      </c>
      <c r="D254" s="20" t="s">
        <v>216</v>
      </c>
      <c r="E254" s="13">
        <v>3010.13</v>
      </c>
      <c r="F254" s="11">
        <v>0</v>
      </c>
      <c r="G254" s="13">
        <v>0</v>
      </c>
      <c r="H254" s="11">
        <v>0</v>
      </c>
      <c r="I254" s="13">
        <f>E254+G254</f>
        <v>3010.13</v>
      </c>
      <c r="J254" s="11">
        <f>F254+H254</f>
        <v>0</v>
      </c>
      <c r="K254" s="13">
        <v>6231</v>
      </c>
      <c r="L254" s="11">
        <v>0</v>
      </c>
      <c r="M254" s="11">
        <v>0</v>
      </c>
      <c r="N254" s="13">
        <v>7564</v>
      </c>
      <c r="O254" s="11">
        <v>0</v>
      </c>
      <c r="P254" s="11">
        <v>1</v>
      </c>
      <c r="Q254" s="13">
        <f>K254+N254</f>
        <v>13795</v>
      </c>
      <c r="R254" s="11">
        <f>L254+O254</f>
        <v>0</v>
      </c>
      <c r="S254" s="11">
        <f>M254+P254</f>
        <v>1</v>
      </c>
      <c r="T254" s="8">
        <f>I254-Q254</f>
        <v>-10784.869999999999</v>
      </c>
      <c r="U254" s="18">
        <v>0.13806534047901578</v>
      </c>
      <c r="V254" s="11">
        <v>0.33</v>
      </c>
      <c r="W254" s="11">
        <v>1</v>
      </c>
      <c r="X254" s="11">
        <v>2</v>
      </c>
      <c r="Y254" s="11">
        <v>1</v>
      </c>
      <c r="Z254" t="s">
        <v>8</v>
      </c>
    </row>
    <row r="255" spans="1:26" x14ac:dyDescent="0.25">
      <c r="A255" s="20" t="s">
        <v>3291</v>
      </c>
      <c r="B255" s="20" t="s">
        <v>3203</v>
      </c>
      <c r="C255" s="20" t="s">
        <v>3290</v>
      </c>
      <c r="D255" s="20" t="s">
        <v>216</v>
      </c>
      <c r="E255" s="13">
        <v>0</v>
      </c>
      <c r="F255" s="11">
        <v>0</v>
      </c>
      <c r="G255" s="13">
        <v>0</v>
      </c>
      <c r="H255" s="11">
        <v>0</v>
      </c>
      <c r="I255" s="13">
        <f>E255+G255</f>
        <v>0</v>
      </c>
      <c r="J255" s="11">
        <f>F255+H255</f>
        <v>0</v>
      </c>
      <c r="K255" s="13">
        <v>0</v>
      </c>
      <c r="L255" s="11">
        <v>0</v>
      </c>
      <c r="M255" s="11">
        <v>0</v>
      </c>
      <c r="N255" s="13">
        <v>0</v>
      </c>
      <c r="O255" s="11">
        <v>0</v>
      </c>
      <c r="P255" s="11">
        <v>0</v>
      </c>
      <c r="Q255" s="13">
        <f>K255+N255</f>
        <v>0</v>
      </c>
      <c r="R255" s="11">
        <f>L255+O255</f>
        <v>0</v>
      </c>
      <c r="S255" s="11">
        <f>M255+P255</f>
        <v>0</v>
      </c>
      <c r="T255" s="8">
        <f>I255-Q255</f>
        <v>0</v>
      </c>
      <c r="U255" s="18" t="s">
        <v>1803</v>
      </c>
      <c r="V255" s="11">
        <v>0</v>
      </c>
      <c r="W255" s="11">
        <v>0</v>
      </c>
      <c r="X255" s="11">
        <v>0</v>
      </c>
      <c r="Y255" s="11">
        <v>0</v>
      </c>
      <c r="Z255" t="s">
        <v>8</v>
      </c>
    </row>
    <row r="256" spans="1:26" x14ac:dyDescent="0.25">
      <c r="A256" s="20" t="s">
        <v>3292</v>
      </c>
      <c r="B256" s="20" t="s">
        <v>3203</v>
      </c>
      <c r="C256" s="20" t="s">
        <v>3011</v>
      </c>
      <c r="D256" s="20" t="s">
        <v>216</v>
      </c>
      <c r="E256" s="13">
        <v>13596</v>
      </c>
      <c r="F256" s="11">
        <v>0</v>
      </c>
      <c r="G256" s="13">
        <v>43988</v>
      </c>
      <c r="H256" s="11">
        <v>0</v>
      </c>
      <c r="I256" s="13">
        <f>E256+G256</f>
        <v>57584</v>
      </c>
      <c r="J256" s="11">
        <f>F256+H256</f>
        <v>0</v>
      </c>
      <c r="K256" s="13">
        <v>20091</v>
      </c>
      <c r="L256" s="11">
        <v>0</v>
      </c>
      <c r="M256" s="11">
        <v>0</v>
      </c>
      <c r="N256" s="13">
        <v>42153</v>
      </c>
      <c r="O256" s="11">
        <v>0</v>
      </c>
      <c r="P256" s="11">
        <v>3</v>
      </c>
      <c r="Q256" s="13">
        <f>K256+N256</f>
        <v>62244</v>
      </c>
      <c r="R256" s="11">
        <f>L256+O256</f>
        <v>0</v>
      </c>
      <c r="S256" s="11">
        <f>M256+P256</f>
        <v>3</v>
      </c>
      <c r="T256" s="8">
        <f>I256-Q256</f>
        <v>-4660</v>
      </c>
      <c r="U256" s="18">
        <v>0.52633787341106886</v>
      </c>
      <c r="V256" s="11">
        <v>0.38</v>
      </c>
      <c r="W256" s="11">
        <v>3</v>
      </c>
      <c r="X256" s="11">
        <v>5</v>
      </c>
      <c r="Y256" s="11">
        <v>0</v>
      </c>
      <c r="Z256" t="s">
        <v>8</v>
      </c>
    </row>
    <row r="257" spans="1:26" x14ac:dyDescent="0.25">
      <c r="A257" s="20" t="s">
        <v>3293</v>
      </c>
      <c r="B257" s="20" t="s">
        <v>3203</v>
      </c>
      <c r="C257" s="20" t="s">
        <v>3011</v>
      </c>
      <c r="D257" s="20" t="s">
        <v>216</v>
      </c>
      <c r="E257" s="13">
        <v>0</v>
      </c>
      <c r="F257" s="11">
        <v>0</v>
      </c>
      <c r="G257" s="13">
        <v>0</v>
      </c>
      <c r="H257" s="11">
        <v>0</v>
      </c>
      <c r="I257" s="13">
        <f>E257+G257</f>
        <v>0</v>
      </c>
      <c r="J257" s="11">
        <f>F257+H257</f>
        <v>0</v>
      </c>
      <c r="K257" s="13">
        <v>0</v>
      </c>
      <c r="L257" s="11">
        <v>0</v>
      </c>
      <c r="M257" s="11">
        <v>0</v>
      </c>
      <c r="N257" s="13">
        <v>0</v>
      </c>
      <c r="O257" s="11">
        <v>0</v>
      </c>
      <c r="P257" s="11">
        <v>0</v>
      </c>
      <c r="Q257" s="13">
        <f>K257+N257</f>
        <v>0</v>
      </c>
      <c r="R257" s="11">
        <f>L257+O257</f>
        <v>0</v>
      </c>
      <c r="S257" s="11">
        <f>M257+P257</f>
        <v>0</v>
      </c>
      <c r="T257" s="8">
        <f>I257-Q257</f>
        <v>0</v>
      </c>
      <c r="U257" s="18" t="s">
        <v>1803</v>
      </c>
      <c r="V257" s="11">
        <v>0</v>
      </c>
      <c r="W257" s="11">
        <v>0</v>
      </c>
      <c r="X257" s="11">
        <v>0</v>
      </c>
      <c r="Y257" s="11">
        <v>0</v>
      </c>
      <c r="Z257" t="s">
        <v>8</v>
      </c>
    </row>
    <row r="258" spans="1:26" x14ac:dyDescent="0.25">
      <c r="A258" s="20" t="s">
        <v>3294</v>
      </c>
      <c r="B258" s="20" t="s">
        <v>3203</v>
      </c>
      <c r="C258" s="20" t="s">
        <v>3011</v>
      </c>
      <c r="D258" s="20" t="s">
        <v>216</v>
      </c>
      <c r="E258" s="13">
        <v>0</v>
      </c>
      <c r="F258" s="11">
        <v>0</v>
      </c>
      <c r="G258" s="13">
        <v>0</v>
      </c>
      <c r="H258" s="11">
        <v>0</v>
      </c>
      <c r="I258" s="13">
        <f>E258+G258</f>
        <v>0</v>
      </c>
      <c r="J258" s="11">
        <f>F258+H258</f>
        <v>0</v>
      </c>
      <c r="K258" s="13">
        <v>0</v>
      </c>
      <c r="L258" s="11">
        <v>0</v>
      </c>
      <c r="M258" s="11">
        <v>0</v>
      </c>
      <c r="N258" s="13">
        <v>0</v>
      </c>
      <c r="O258" s="11">
        <v>0</v>
      </c>
      <c r="P258" s="11">
        <v>0</v>
      </c>
      <c r="Q258" s="13">
        <f>K258+N258</f>
        <v>0</v>
      </c>
      <c r="R258" s="11">
        <f>L258+O258</f>
        <v>0</v>
      </c>
      <c r="S258" s="11">
        <f>M258+P258</f>
        <v>0</v>
      </c>
      <c r="T258" s="8">
        <f>I258-Q258</f>
        <v>0</v>
      </c>
      <c r="U258" s="18">
        <v>-6.4606671645506597E-2</v>
      </c>
      <c r="V258" s="11">
        <v>0</v>
      </c>
      <c r="W258" s="11">
        <v>0</v>
      </c>
      <c r="X258" s="11">
        <v>0</v>
      </c>
      <c r="Y258" s="11">
        <v>1</v>
      </c>
      <c r="Z258" t="s">
        <v>8</v>
      </c>
    </row>
    <row r="259" spans="1:26" x14ac:dyDescent="0.25">
      <c r="A259" s="20" t="s">
        <v>3388</v>
      </c>
      <c r="B259" s="20" t="s">
        <v>949</v>
      </c>
      <c r="C259" s="20" t="s">
        <v>3389</v>
      </c>
      <c r="D259" s="20" t="s">
        <v>216</v>
      </c>
      <c r="E259" s="13">
        <v>0</v>
      </c>
      <c r="F259" s="11">
        <v>0</v>
      </c>
      <c r="G259" s="13">
        <v>0</v>
      </c>
      <c r="H259" s="11">
        <v>0</v>
      </c>
      <c r="I259" s="13">
        <f>E259+G259</f>
        <v>0</v>
      </c>
      <c r="J259" s="11">
        <f>F259+H259</f>
        <v>0</v>
      </c>
      <c r="K259" s="13">
        <v>0</v>
      </c>
      <c r="L259" s="11">
        <v>0</v>
      </c>
      <c r="M259" s="11">
        <v>0</v>
      </c>
      <c r="N259" s="13">
        <v>0</v>
      </c>
      <c r="O259" s="11">
        <v>0</v>
      </c>
      <c r="P259" s="11">
        <v>6</v>
      </c>
      <c r="Q259" s="13">
        <f>K259+N259</f>
        <v>0</v>
      </c>
      <c r="R259" s="11">
        <f>L259+O259</f>
        <v>0</v>
      </c>
      <c r="S259" s="11">
        <f>M259+P259</f>
        <v>6</v>
      </c>
      <c r="T259" s="8">
        <f>I259-Q259</f>
        <v>0</v>
      </c>
      <c r="U259" s="18">
        <v>0.1383414142686229</v>
      </c>
      <c r="V259" s="11">
        <v>0.38</v>
      </c>
      <c r="W259" s="11">
        <v>6</v>
      </c>
      <c r="X259" s="11">
        <v>10</v>
      </c>
      <c r="Y259" s="11">
        <v>0</v>
      </c>
      <c r="Z259" t="s">
        <v>8</v>
      </c>
    </row>
    <row r="260" spans="1:26" x14ac:dyDescent="0.25">
      <c r="A260" s="20" t="s">
        <v>3390</v>
      </c>
      <c r="B260" s="20" t="s">
        <v>241</v>
      </c>
      <c r="C260" s="20" t="s">
        <v>1247</v>
      </c>
      <c r="D260" s="20" t="s">
        <v>216</v>
      </c>
      <c r="E260" s="13">
        <v>21844</v>
      </c>
      <c r="F260" s="11">
        <v>0</v>
      </c>
      <c r="G260" s="13">
        <v>14178.42</v>
      </c>
      <c r="H260" s="11">
        <v>2</v>
      </c>
      <c r="I260" s="13">
        <f>E260+G260</f>
        <v>36022.42</v>
      </c>
      <c r="J260" s="11">
        <f>F260+H260</f>
        <v>2</v>
      </c>
      <c r="K260" s="13">
        <v>13454.73</v>
      </c>
      <c r="L260" s="11">
        <v>0</v>
      </c>
      <c r="M260" s="11">
        <v>0</v>
      </c>
      <c r="N260" s="13">
        <v>13752.74</v>
      </c>
      <c r="O260" s="11">
        <v>1</v>
      </c>
      <c r="P260" s="11">
        <v>2</v>
      </c>
      <c r="Q260" s="13">
        <f>K260+N260</f>
        <v>27207.47</v>
      </c>
      <c r="R260" s="11">
        <f>L260+O260</f>
        <v>1</v>
      </c>
      <c r="S260" s="11">
        <f>M260+P260</f>
        <v>2</v>
      </c>
      <c r="T260" s="8">
        <f>I260-Q260</f>
        <v>8814.9499999999971</v>
      </c>
      <c r="U260" s="18">
        <v>0.35588706991804675</v>
      </c>
      <c r="V260" s="11">
        <v>0.27</v>
      </c>
      <c r="W260" s="11">
        <v>3</v>
      </c>
      <c r="X260" s="11">
        <v>8</v>
      </c>
      <c r="Y260" s="11">
        <v>0</v>
      </c>
      <c r="Z260" t="s">
        <v>8</v>
      </c>
    </row>
    <row r="261" spans="1:26" x14ac:dyDescent="0.25">
      <c r="A261" s="20" t="s">
        <v>3398</v>
      </c>
      <c r="B261" s="20" t="s">
        <v>3096</v>
      </c>
      <c r="C261" s="20" t="s">
        <v>283</v>
      </c>
      <c r="D261" s="20" t="s">
        <v>216</v>
      </c>
      <c r="E261" s="13">
        <v>7892</v>
      </c>
      <c r="F261" s="11">
        <v>0</v>
      </c>
      <c r="G261" s="13">
        <v>0</v>
      </c>
      <c r="H261" s="11">
        <v>0</v>
      </c>
      <c r="I261" s="13">
        <f>E261+G261</f>
        <v>7892</v>
      </c>
      <c r="J261" s="11">
        <f>F261+H261</f>
        <v>0</v>
      </c>
      <c r="K261" s="13">
        <v>7587</v>
      </c>
      <c r="L261" s="11">
        <v>1</v>
      </c>
      <c r="M261" s="11">
        <v>1</v>
      </c>
      <c r="N261" s="13">
        <v>0</v>
      </c>
      <c r="O261" s="11">
        <v>0</v>
      </c>
      <c r="P261" s="11">
        <v>0</v>
      </c>
      <c r="Q261" s="13">
        <f>K261+N261</f>
        <v>7587</v>
      </c>
      <c r="R261" s="11">
        <f>L261+O261</f>
        <v>1</v>
      </c>
      <c r="S261" s="11">
        <f>M261+P261</f>
        <v>1</v>
      </c>
      <c r="T261" s="8">
        <f>I261-Q261</f>
        <v>305</v>
      </c>
      <c r="U261" s="18">
        <v>0.16514223426057167</v>
      </c>
      <c r="V261" s="11">
        <v>0</v>
      </c>
      <c r="W261" s="11">
        <v>0</v>
      </c>
      <c r="X261" s="11">
        <v>0</v>
      </c>
      <c r="Y261" s="11">
        <v>0</v>
      </c>
      <c r="Z261" t="s">
        <v>8</v>
      </c>
    </row>
    <row r="262" spans="1:26" x14ac:dyDescent="0.25">
      <c r="A262" s="20" t="s">
        <v>3411</v>
      </c>
      <c r="B262" s="20" t="s">
        <v>58</v>
      </c>
      <c r="C262" s="20" t="s">
        <v>946</v>
      </c>
      <c r="D262" s="20" t="s">
        <v>216</v>
      </c>
      <c r="E262" s="13">
        <v>0</v>
      </c>
      <c r="F262" s="11">
        <v>0</v>
      </c>
      <c r="G262" s="13">
        <v>0</v>
      </c>
      <c r="H262" s="11">
        <v>0</v>
      </c>
      <c r="I262" s="13">
        <f>E262+G262</f>
        <v>0</v>
      </c>
      <c r="J262" s="11">
        <f>F262+H262</f>
        <v>0</v>
      </c>
      <c r="K262" s="13">
        <v>0</v>
      </c>
      <c r="L262" s="11">
        <v>0</v>
      </c>
      <c r="M262" s="11">
        <v>0</v>
      </c>
      <c r="N262" s="13">
        <v>0</v>
      </c>
      <c r="O262" s="11">
        <v>0</v>
      </c>
      <c r="P262" s="11">
        <v>0</v>
      </c>
      <c r="Q262" s="13">
        <f>K262+N262</f>
        <v>0</v>
      </c>
      <c r="R262" s="11">
        <f>L262+O262</f>
        <v>0</v>
      </c>
      <c r="S262" s="11">
        <f>M262+P262</f>
        <v>0</v>
      </c>
      <c r="T262" s="8">
        <f>I262-Q262</f>
        <v>0</v>
      </c>
      <c r="U262" s="18">
        <v>0.17971414791817522</v>
      </c>
      <c r="V262" s="11">
        <v>0</v>
      </c>
      <c r="W262" s="11">
        <v>0</v>
      </c>
      <c r="X262" s="11">
        <v>0</v>
      </c>
      <c r="Y262" s="11">
        <v>0</v>
      </c>
      <c r="Z262" t="s">
        <v>8</v>
      </c>
    </row>
    <row r="263" spans="1:26" x14ac:dyDescent="0.25">
      <c r="A263" s="20" t="s">
        <v>3412</v>
      </c>
      <c r="B263" s="20" t="s">
        <v>519</v>
      </c>
      <c r="C263" s="20" t="s">
        <v>3410</v>
      </c>
      <c r="D263" s="20" t="s">
        <v>216</v>
      </c>
      <c r="E263" s="13">
        <v>7664</v>
      </c>
      <c r="F263" s="11">
        <v>0</v>
      </c>
      <c r="G263" s="13">
        <v>0</v>
      </c>
      <c r="H263" s="11">
        <v>0</v>
      </c>
      <c r="I263" s="13">
        <f>E263+G263</f>
        <v>7664</v>
      </c>
      <c r="J263" s="11">
        <f>F263+H263</f>
        <v>0</v>
      </c>
      <c r="K263" s="13">
        <v>0</v>
      </c>
      <c r="L263" s="11">
        <v>0</v>
      </c>
      <c r="M263" s="11">
        <v>0</v>
      </c>
      <c r="N263" s="13">
        <v>0</v>
      </c>
      <c r="O263" s="11">
        <v>0</v>
      </c>
      <c r="P263" s="11">
        <v>0</v>
      </c>
      <c r="Q263" s="13">
        <f>K263+N263</f>
        <v>0</v>
      </c>
      <c r="R263" s="11">
        <f>L263+O263</f>
        <v>0</v>
      </c>
      <c r="S263" s="11">
        <f>M263+P263</f>
        <v>0</v>
      </c>
      <c r="T263" s="8">
        <f>I263-Q263</f>
        <v>7664</v>
      </c>
      <c r="U263" s="18">
        <v>4.0677579441846211E-2</v>
      </c>
      <c r="V263" s="11">
        <v>0</v>
      </c>
      <c r="W263" s="11">
        <v>0</v>
      </c>
      <c r="X263" s="11">
        <v>1</v>
      </c>
      <c r="Y263" s="11">
        <v>0</v>
      </c>
      <c r="Z263" t="s">
        <v>8</v>
      </c>
    </row>
    <row r="264" spans="1:26" x14ac:dyDescent="0.25">
      <c r="A264" s="20" t="s">
        <v>3418</v>
      </c>
      <c r="B264" s="20" t="s">
        <v>60</v>
      </c>
      <c r="C264" s="20" t="s">
        <v>3419</v>
      </c>
      <c r="D264" s="20" t="s">
        <v>216</v>
      </c>
      <c r="E264" s="13">
        <v>3516</v>
      </c>
      <c r="F264" s="11">
        <v>0</v>
      </c>
      <c r="G264" s="13">
        <v>0</v>
      </c>
      <c r="H264" s="11">
        <v>0</v>
      </c>
      <c r="I264" s="13">
        <f>E264+G264</f>
        <v>3516</v>
      </c>
      <c r="J264" s="11">
        <f>F264+H264</f>
        <v>0</v>
      </c>
      <c r="K264" s="13">
        <v>3158</v>
      </c>
      <c r="L264" s="11">
        <v>1</v>
      </c>
      <c r="M264" s="11">
        <v>1</v>
      </c>
      <c r="N264" s="13">
        <v>0</v>
      </c>
      <c r="O264" s="11">
        <v>0</v>
      </c>
      <c r="P264" s="11">
        <v>0</v>
      </c>
      <c r="Q264" s="13">
        <f>K264+N264</f>
        <v>3158</v>
      </c>
      <c r="R264" s="11">
        <f>L264+O264</f>
        <v>1</v>
      </c>
      <c r="S264" s="11">
        <f>M264+P264</f>
        <v>1</v>
      </c>
      <c r="T264" s="8">
        <f>I264-Q264</f>
        <v>358</v>
      </c>
      <c r="U264" s="18">
        <v>0.12636554753294207</v>
      </c>
      <c r="V264" s="11">
        <v>0.5</v>
      </c>
      <c r="W264" s="11">
        <v>1</v>
      </c>
      <c r="X264" s="11">
        <v>1</v>
      </c>
      <c r="Y264" s="11">
        <v>0</v>
      </c>
      <c r="Z264" t="s">
        <v>8</v>
      </c>
    </row>
    <row r="265" spans="1:26" x14ac:dyDescent="0.25">
      <c r="A265" s="20" t="s">
        <v>3630</v>
      </c>
      <c r="B265" s="20" t="s">
        <v>459</v>
      </c>
      <c r="C265" s="20" t="s">
        <v>3608</v>
      </c>
      <c r="D265" s="20" t="s">
        <v>216</v>
      </c>
      <c r="E265" s="13">
        <v>0</v>
      </c>
      <c r="F265" s="11">
        <v>0</v>
      </c>
      <c r="G265" s="13">
        <v>0</v>
      </c>
      <c r="H265" s="11">
        <v>0</v>
      </c>
      <c r="I265" s="13">
        <f>E265+G265</f>
        <v>0</v>
      </c>
      <c r="J265" s="11">
        <f>F265+H265</f>
        <v>0</v>
      </c>
      <c r="K265" s="13">
        <v>0</v>
      </c>
      <c r="L265" s="11">
        <v>0</v>
      </c>
      <c r="M265" s="11">
        <v>0</v>
      </c>
      <c r="N265" s="13">
        <v>0</v>
      </c>
      <c r="O265" s="11">
        <v>0</v>
      </c>
      <c r="P265" s="11">
        <v>0</v>
      </c>
      <c r="Q265" s="13">
        <f>K265+N265</f>
        <v>0</v>
      </c>
      <c r="R265" s="11">
        <f>L265+O265</f>
        <v>0</v>
      </c>
      <c r="S265" s="11">
        <f>M265+P265</f>
        <v>0</v>
      </c>
      <c r="T265" s="8">
        <f>I265-Q265</f>
        <v>0</v>
      </c>
      <c r="U265" s="18">
        <v>9.2184219144168522E-3</v>
      </c>
      <c r="V265" s="11">
        <v>0</v>
      </c>
      <c r="W265" s="11">
        <v>0</v>
      </c>
      <c r="X265" s="11">
        <v>0</v>
      </c>
      <c r="Y265" s="11">
        <v>0</v>
      </c>
      <c r="Z265" t="s">
        <v>8</v>
      </c>
    </row>
    <row r="266" spans="1:26" x14ac:dyDescent="0.25">
      <c r="A266" s="20" t="s">
        <v>586</v>
      </c>
      <c r="B266" s="20" t="s">
        <v>124</v>
      </c>
      <c r="C266" s="20" t="s">
        <v>587</v>
      </c>
      <c r="D266" s="20" t="s">
        <v>216</v>
      </c>
      <c r="E266" s="13">
        <v>0</v>
      </c>
      <c r="F266" s="11">
        <v>0</v>
      </c>
      <c r="G266" s="13">
        <v>0</v>
      </c>
      <c r="H266" s="11">
        <v>0</v>
      </c>
      <c r="I266" s="13">
        <f>E266+G266</f>
        <v>0</v>
      </c>
      <c r="J266" s="11">
        <f>F266+H266</f>
        <v>0</v>
      </c>
      <c r="K266" s="13">
        <v>0</v>
      </c>
      <c r="L266" s="11">
        <v>0</v>
      </c>
      <c r="M266" s="11">
        <v>0</v>
      </c>
      <c r="N266" s="13">
        <v>0</v>
      </c>
      <c r="O266" s="11">
        <v>0</v>
      </c>
      <c r="P266" s="11">
        <v>0</v>
      </c>
      <c r="Q266" s="13">
        <f>K266+N266</f>
        <v>0</v>
      </c>
      <c r="R266" s="11">
        <f>L266+O266</f>
        <v>0</v>
      </c>
      <c r="S266" s="11">
        <f>M266+P266</f>
        <v>0</v>
      </c>
      <c r="T266" s="8">
        <f>I266-Q266</f>
        <v>0</v>
      </c>
      <c r="U266" s="18">
        <v>5.2728792343332206E-2</v>
      </c>
      <c r="V266" s="11">
        <v>0</v>
      </c>
      <c r="W266" s="11">
        <v>0</v>
      </c>
      <c r="X266" s="11">
        <v>4</v>
      </c>
      <c r="Y266" s="11">
        <v>0</v>
      </c>
      <c r="Z266" t="s">
        <v>8</v>
      </c>
    </row>
    <row r="267" spans="1:26" x14ac:dyDescent="0.25">
      <c r="A267" s="20" t="s">
        <v>588</v>
      </c>
      <c r="B267" s="20" t="s">
        <v>60</v>
      </c>
      <c r="C267" s="20" t="s">
        <v>589</v>
      </c>
      <c r="D267" s="20" t="s">
        <v>216</v>
      </c>
      <c r="E267" s="13">
        <v>13318.16</v>
      </c>
      <c r="F267" s="11">
        <v>0</v>
      </c>
      <c r="G267" s="13">
        <v>408.84</v>
      </c>
      <c r="H267" s="11">
        <v>0</v>
      </c>
      <c r="I267" s="13">
        <f>E267+G267</f>
        <v>13727</v>
      </c>
      <c r="J267" s="11">
        <f>F267+H267</f>
        <v>0</v>
      </c>
      <c r="K267" s="13">
        <v>11009.71</v>
      </c>
      <c r="L267" s="11">
        <v>0</v>
      </c>
      <c r="M267" s="11">
        <v>0</v>
      </c>
      <c r="N267" s="13">
        <v>0</v>
      </c>
      <c r="O267" s="11">
        <v>0</v>
      </c>
      <c r="P267" s="11">
        <v>1</v>
      </c>
      <c r="Q267" s="13">
        <f>K267+N267</f>
        <v>11009.71</v>
      </c>
      <c r="R267" s="11">
        <f>L267+O267</f>
        <v>0</v>
      </c>
      <c r="S267" s="11">
        <f>M267+P267</f>
        <v>1</v>
      </c>
      <c r="T267" s="8">
        <f>I267-Q267</f>
        <v>2717.2900000000009</v>
      </c>
      <c r="U267" s="18">
        <v>-2.5794307104859181E-3</v>
      </c>
      <c r="V267" s="11">
        <v>0.2</v>
      </c>
      <c r="W267" s="11">
        <v>1</v>
      </c>
      <c r="X267" s="11">
        <v>4</v>
      </c>
      <c r="Y267" s="11">
        <v>1</v>
      </c>
      <c r="Z267" t="s">
        <v>9</v>
      </c>
    </row>
    <row r="268" spans="1:26" x14ac:dyDescent="0.25">
      <c r="A268" s="20" t="s">
        <v>593</v>
      </c>
      <c r="B268" s="20" t="s">
        <v>60</v>
      </c>
      <c r="C268" s="20" t="s">
        <v>594</v>
      </c>
      <c r="D268" s="20" t="s">
        <v>216</v>
      </c>
      <c r="E268" s="13">
        <v>2964</v>
      </c>
      <c r="F268" s="11">
        <v>0</v>
      </c>
      <c r="G268" s="13">
        <v>0</v>
      </c>
      <c r="H268" s="11">
        <v>0</v>
      </c>
      <c r="I268" s="13">
        <f>E268+G268</f>
        <v>2964</v>
      </c>
      <c r="J268" s="11">
        <f>F268+H268</f>
        <v>0</v>
      </c>
      <c r="K268" s="13">
        <v>2974</v>
      </c>
      <c r="L268" s="11">
        <v>0</v>
      </c>
      <c r="M268" s="11">
        <v>0</v>
      </c>
      <c r="N268" s="13">
        <v>0</v>
      </c>
      <c r="O268" s="11">
        <v>0</v>
      </c>
      <c r="P268" s="11">
        <v>1</v>
      </c>
      <c r="Q268" s="13">
        <f>K268+N268</f>
        <v>2974</v>
      </c>
      <c r="R268" s="11">
        <f>L268+O268</f>
        <v>0</v>
      </c>
      <c r="S268" s="11">
        <f>M268+P268</f>
        <v>1</v>
      </c>
      <c r="T268" s="8">
        <f>I268-Q268</f>
        <v>-10</v>
      </c>
      <c r="U268" s="18">
        <v>-0.12813237195696214</v>
      </c>
      <c r="V268" s="11">
        <v>0.5</v>
      </c>
      <c r="W268" s="11">
        <v>1</v>
      </c>
      <c r="X268" s="11">
        <v>1</v>
      </c>
      <c r="Y268" s="11">
        <v>0</v>
      </c>
      <c r="Z268" t="s">
        <v>9</v>
      </c>
    </row>
    <row r="269" spans="1:26" x14ac:dyDescent="0.25">
      <c r="A269" s="20" t="s">
        <v>596</v>
      </c>
      <c r="B269" s="20" t="s">
        <v>60</v>
      </c>
      <c r="C269" s="20" t="s">
        <v>597</v>
      </c>
      <c r="D269" s="20" t="s">
        <v>216</v>
      </c>
      <c r="E269" s="13">
        <v>0</v>
      </c>
      <c r="F269" s="11">
        <v>0</v>
      </c>
      <c r="G269" s="13">
        <v>1351</v>
      </c>
      <c r="H269" s="11">
        <v>1</v>
      </c>
      <c r="I269" s="13">
        <f>E269+G269</f>
        <v>1351</v>
      </c>
      <c r="J269" s="11">
        <f>F269+H269</f>
        <v>1</v>
      </c>
      <c r="K269" s="13">
        <v>551</v>
      </c>
      <c r="L269" s="11">
        <v>0</v>
      </c>
      <c r="M269" s="11">
        <v>0</v>
      </c>
      <c r="N269" s="13">
        <v>0</v>
      </c>
      <c r="O269" s="11">
        <v>0</v>
      </c>
      <c r="P269" s="11">
        <v>0</v>
      </c>
      <c r="Q269" s="13">
        <f>K269+N269</f>
        <v>551</v>
      </c>
      <c r="R269" s="11">
        <f>L269+O269</f>
        <v>0</v>
      </c>
      <c r="S269" s="11">
        <f>M269+P269</f>
        <v>0</v>
      </c>
      <c r="T269" s="8">
        <f>I269-Q269</f>
        <v>800</v>
      </c>
      <c r="U269" s="18">
        <v>8.8334599243457532E-2</v>
      </c>
      <c r="V269" s="11">
        <v>0.33</v>
      </c>
      <c r="W269" s="11">
        <v>1</v>
      </c>
      <c r="X269" s="11">
        <v>2</v>
      </c>
      <c r="Y269" s="11">
        <v>0</v>
      </c>
      <c r="Z269" t="s">
        <v>9</v>
      </c>
    </row>
    <row r="270" spans="1:26" x14ac:dyDescent="0.25">
      <c r="A270" s="20" t="s">
        <v>598</v>
      </c>
      <c r="B270" s="20" t="s">
        <v>598</v>
      </c>
      <c r="C270" s="20" t="s">
        <v>599</v>
      </c>
      <c r="D270" s="20" t="s">
        <v>216</v>
      </c>
      <c r="E270" s="13">
        <v>0</v>
      </c>
      <c r="F270" s="11">
        <v>0</v>
      </c>
      <c r="G270" s="13">
        <v>0</v>
      </c>
      <c r="H270" s="11">
        <v>0</v>
      </c>
      <c r="I270" s="13">
        <f>E270+G270</f>
        <v>0</v>
      </c>
      <c r="J270" s="11">
        <f>F270+H270</f>
        <v>0</v>
      </c>
      <c r="K270" s="13">
        <v>0</v>
      </c>
      <c r="L270" s="11">
        <v>0</v>
      </c>
      <c r="M270" s="11">
        <v>0</v>
      </c>
      <c r="N270" s="13">
        <v>0</v>
      </c>
      <c r="O270" s="11">
        <v>0</v>
      </c>
      <c r="P270" s="11">
        <v>0</v>
      </c>
      <c r="Q270" s="13">
        <f>K270+N270</f>
        <v>0</v>
      </c>
      <c r="R270" s="11">
        <f>L270+O270</f>
        <v>0</v>
      </c>
      <c r="S270" s="11">
        <f>M270+P270</f>
        <v>0</v>
      </c>
      <c r="T270" s="8">
        <f>I270-Q270</f>
        <v>0</v>
      </c>
      <c r="U270" s="18">
        <v>-3.0673468917705046E-2</v>
      </c>
      <c r="V270" s="11">
        <v>0</v>
      </c>
      <c r="W270" s="11">
        <v>0</v>
      </c>
      <c r="X270" s="11">
        <v>1</v>
      </c>
      <c r="Y270" s="11">
        <v>0</v>
      </c>
      <c r="Z270" t="s">
        <v>9</v>
      </c>
    </row>
    <row r="271" spans="1:26" x14ac:dyDescent="0.25">
      <c r="A271" s="20" t="s">
        <v>600</v>
      </c>
      <c r="B271" s="20" t="s">
        <v>600</v>
      </c>
      <c r="C271" s="20" t="s">
        <v>601</v>
      </c>
      <c r="D271" s="20" t="s">
        <v>216</v>
      </c>
      <c r="E271" s="13">
        <v>0</v>
      </c>
      <c r="F271" s="11">
        <v>0</v>
      </c>
      <c r="G271" s="13">
        <v>0</v>
      </c>
      <c r="H271" s="11">
        <v>0</v>
      </c>
      <c r="I271" s="13">
        <f>E271+G271</f>
        <v>0</v>
      </c>
      <c r="J271" s="11">
        <f>F271+H271</f>
        <v>0</v>
      </c>
      <c r="K271" s="13">
        <v>0</v>
      </c>
      <c r="L271" s="11">
        <v>0</v>
      </c>
      <c r="M271" s="11">
        <v>0</v>
      </c>
      <c r="N271" s="13">
        <v>0</v>
      </c>
      <c r="O271" s="11">
        <v>0</v>
      </c>
      <c r="P271" s="11">
        <v>2</v>
      </c>
      <c r="Q271" s="13">
        <f>K271+N271</f>
        <v>0</v>
      </c>
      <c r="R271" s="11">
        <f>L271+O271</f>
        <v>0</v>
      </c>
      <c r="S271" s="11">
        <f>M271+P271</f>
        <v>2</v>
      </c>
      <c r="T271" s="8">
        <f>I271-Q271</f>
        <v>0</v>
      </c>
      <c r="U271" s="18">
        <v>0.31723116243519012</v>
      </c>
      <c r="V271" s="11">
        <v>0.4</v>
      </c>
      <c r="W271" s="11">
        <v>2</v>
      </c>
      <c r="X271" s="11">
        <v>3</v>
      </c>
      <c r="Y271" s="11">
        <v>2</v>
      </c>
      <c r="Z271" t="s">
        <v>9</v>
      </c>
    </row>
    <row r="272" spans="1:26" x14ac:dyDescent="0.25">
      <c r="A272" s="20" t="s">
        <v>602</v>
      </c>
      <c r="B272" s="20" t="s">
        <v>60</v>
      </c>
      <c r="C272" s="20" t="s">
        <v>603</v>
      </c>
      <c r="D272" s="20" t="s">
        <v>216</v>
      </c>
      <c r="E272" s="13">
        <v>0</v>
      </c>
      <c r="F272" s="11">
        <v>0</v>
      </c>
      <c r="G272" s="13">
        <v>0</v>
      </c>
      <c r="H272" s="11">
        <v>0</v>
      </c>
      <c r="I272" s="13">
        <f>E272+G272</f>
        <v>0</v>
      </c>
      <c r="J272" s="11">
        <f>F272+H272</f>
        <v>0</v>
      </c>
      <c r="K272" s="13">
        <v>0</v>
      </c>
      <c r="L272" s="11">
        <v>0</v>
      </c>
      <c r="M272" s="11">
        <v>0</v>
      </c>
      <c r="N272" s="13">
        <v>0</v>
      </c>
      <c r="O272" s="11">
        <v>0</v>
      </c>
      <c r="P272" s="11">
        <v>0</v>
      </c>
      <c r="Q272" s="13">
        <f>K272+N272</f>
        <v>0</v>
      </c>
      <c r="R272" s="11">
        <f>L272+O272</f>
        <v>0</v>
      </c>
      <c r="S272" s="11">
        <f>M272+P272</f>
        <v>0</v>
      </c>
      <c r="T272" s="8">
        <f>I272-Q272</f>
        <v>0</v>
      </c>
      <c r="U272" s="18">
        <v>-0.10555687357837834</v>
      </c>
      <c r="V272" s="11">
        <v>0</v>
      </c>
      <c r="W272" s="11">
        <v>0</v>
      </c>
      <c r="X272" s="11">
        <v>0</v>
      </c>
      <c r="Y272" s="11">
        <v>0</v>
      </c>
      <c r="Z272" t="s">
        <v>9</v>
      </c>
    </row>
    <row r="273" spans="1:26" x14ac:dyDescent="0.25">
      <c r="A273" s="20" t="s">
        <v>606</v>
      </c>
      <c r="B273" s="20" t="s">
        <v>58</v>
      </c>
      <c r="C273" s="20" t="s">
        <v>607</v>
      </c>
      <c r="D273" s="20" t="s">
        <v>216</v>
      </c>
      <c r="E273" s="13">
        <v>0</v>
      </c>
      <c r="F273" s="11">
        <v>0</v>
      </c>
      <c r="G273" s="13">
        <v>0</v>
      </c>
      <c r="H273" s="11">
        <v>0</v>
      </c>
      <c r="I273" s="13">
        <f>E273+G273</f>
        <v>0</v>
      </c>
      <c r="J273" s="11">
        <f>F273+H273</f>
        <v>0</v>
      </c>
      <c r="K273" s="13">
        <v>0</v>
      </c>
      <c r="L273" s="11">
        <v>0</v>
      </c>
      <c r="M273" s="11">
        <v>0</v>
      </c>
      <c r="N273" s="13">
        <v>6704</v>
      </c>
      <c r="O273" s="11">
        <v>0</v>
      </c>
      <c r="P273" s="11">
        <v>0</v>
      </c>
      <c r="Q273" s="13">
        <f>K273+N273</f>
        <v>6704</v>
      </c>
      <c r="R273" s="11">
        <f>L273+O273</f>
        <v>0</v>
      </c>
      <c r="S273" s="11">
        <f>M273+P273</f>
        <v>0</v>
      </c>
      <c r="T273" s="8">
        <f>I273-Q273</f>
        <v>-6704</v>
      </c>
      <c r="U273" s="18">
        <v>-0.90229102917392201</v>
      </c>
      <c r="V273" s="11">
        <v>0</v>
      </c>
      <c r="W273" s="11">
        <v>0</v>
      </c>
      <c r="X273" s="11">
        <v>1</v>
      </c>
      <c r="Y273" s="11">
        <v>1</v>
      </c>
      <c r="Z273" t="s">
        <v>9</v>
      </c>
    </row>
    <row r="274" spans="1:26" x14ac:dyDescent="0.25">
      <c r="A274" s="20" t="s">
        <v>608</v>
      </c>
      <c r="B274" s="20" t="s">
        <v>60</v>
      </c>
      <c r="C274" s="20" t="s">
        <v>609</v>
      </c>
      <c r="D274" s="20" t="s">
        <v>216</v>
      </c>
      <c r="E274" s="13">
        <v>0</v>
      </c>
      <c r="F274" s="11">
        <v>0</v>
      </c>
      <c r="G274" s="13">
        <v>0</v>
      </c>
      <c r="H274" s="11">
        <v>0</v>
      </c>
      <c r="I274" s="13">
        <f>E274+G274</f>
        <v>0</v>
      </c>
      <c r="J274" s="11">
        <f>F274+H274</f>
        <v>0</v>
      </c>
      <c r="K274" s="13">
        <v>0</v>
      </c>
      <c r="L274" s="11">
        <v>0</v>
      </c>
      <c r="M274" s="11">
        <v>0</v>
      </c>
      <c r="N274" s="13">
        <v>2003</v>
      </c>
      <c r="O274" s="11">
        <v>0</v>
      </c>
      <c r="P274" s="11">
        <v>1</v>
      </c>
      <c r="Q274" s="13">
        <f>K274+N274</f>
        <v>2003</v>
      </c>
      <c r="R274" s="11">
        <f>L274+O274</f>
        <v>0</v>
      </c>
      <c r="S274" s="11">
        <f>M274+P274</f>
        <v>1</v>
      </c>
      <c r="T274" s="8">
        <f>I274-Q274</f>
        <v>-2003</v>
      </c>
      <c r="U274" s="18">
        <v>9.3320607517625498E-2</v>
      </c>
      <c r="V274" s="11">
        <v>0.5</v>
      </c>
      <c r="W274" s="11">
        <v>1</v>
      </c>
      <c r="X274" s="11">
        <v>1</v>
      </c>
      <c r="Y274" s="11">
        <v>0</v>
      </c>
      <c r="Z274" t="s">
        <v>9</v>
      </c>
    </row>
    <row r="275" spans="1:26" x14ac:dyDescent="0.25">
      <c r="A275" s="20" t="s">
        <v>613</v>
      </c>
      <c r="B275" s="20" t="s">
        <v>613</v>
      </c>
      <c r="C275" s="20" t="s">
        <v>614</v>
      </c>
      <c r="D275" s="20" t="s">
        <v>216</v>
      </c>
      <c r="E275" s="13">
        <v>6705</v>
      </c>
      <c r="F275" s="11">
        <v>1</v>
      </c>
      <c r="G275" s="13">
        <v>20752</v>
      </c>
      <c r="H275" s="11">
        <v>1</v>
      </c>
      <c r="I275" s="13">
        <f>E275+G275</f>
        <v>27457</v>
      </c>
      <c r="J275" s="11">
        <f>F275+H275</f>
        <v>2</v>
      </c>
      <c r="K275" s="13">
        <v>18123.060000000001</v>
      </c>
      <c r="L275" s="11">
        <v>0</v>
      </c>
      <c r="M275" s="11">
        <v>0</v>
      </c>
      <c r="N275" s="13">
        <v>0</v>
      </c>
      <c r="O275" s="11">
        <v>0</v>
      </c>
      <c r="P275" s="11">
        <v>5</v>
      </c>
      <c r="Q275" s="13">
        <f>K275+N275</f>
        <v>18123.060000000001</v>
      </c>
      <c r="R275" s="11">
        <f>L275+O275</f>
        <v>0</v>
      </c>
      <c r="S275" s="11">
        <f>M275+P275</f>
        <v>5</v>
      </c>
      <c r="T275" s="8">
        <f>I275-Q275</f>
        <v>9333.9399999999987</v>
      </c>
      <c r="U275" s="18">
        <v>0.19694651561429619</v>
      </c>
      <c r="V275" s="11">
        <v>0.21</v>
      </c>
      <c r="W275" s="11">
        <v>7</v>
      </c>
      <c r="X275" s="11">
        <v>26</v>
      </c>
      <c r="Y275" s="11">
        <v>5</v>
      </c>
      <c r="Z275" t="s">
        <v>9</v>
      </c>
    </row>
    <row r="276" spans="1:26" x14ac:dyDescent="0.25">
      <c r="A276" s="20" t="s">
        <v>617</v>
      </c>
      <c r="B276" s="20" t="s">
        <v>189</v>
      </c>
      <c r="C276" s="20" t="s">
        <v>212</v>
      </c>
      <c r="D276" s="20" t="s">
        <v>215</v>
      </c>
      <c r="E276" s="13">
        <v>0</v>
      </c>
      <c r="F276" s="11">
        <v>0</v>
      </c>
      <c r="G276" s="13">
        <v>-1257.27</v>
      </c>
      <c r="H276" s="11">
        <v>0</v>
      </c>
      <c r="I276" s="13">
        <f>E276+G276</f>
        <v>-1257.27</v>
      </c>
      <c r="J276" s="11">
        <f>F276+H276</f>
        <v>0</v>
      </c>
      <c r="K276" s="13">
        <v>0</v>
      </c>
      <c r="L276" s="11">
        <v>0</v>
      </c>
      <c r="M276" s="11">
        <v>1</v>
      </c>
      <c r="N276" s="13">
        <v>21865</v>
      </c>
      <c r="O276" s="11">
        <v>0</v>
      </c>
      <c r="P276" s="11">
        <v>0</v>
      </c>
      <c r="Q276" s="13">
        <f>K276+N276</f>
        <v>21865</v>
      </c>
      <c r="R276" s="11">
        <f>L276+O276</f>
        <v>0</v>
      </c>
      <c r="S276" s="11">
        <f>M276+P276</f>
        <v>1</v>
      </c>
      <c r="T276" s="8">
        <f>I276-Q276</f>
        <v>-23122.27</v>
      </c>
      <c r="U276" s="18" t="s">
        <v>1803</v>
      </c>
      <c r="V276" s="11">
        <v>0.5</v>
      </c>
      <c r="W276" s="11">
        <v>2</v>
      </c>
      <c r="X276" s="11">
        <v>2</v>
      </c>
      <c r="Y276" s="11">
        <v>0</v>
      </c>
      <c r="Z276" t="s">
        <v>9</v>
      </c>
    </row>
    <row r="277" spans="1:26" x14ac:dyDescent="0.25">
      <c r="A277" s="20" t="s">
        <v>619</v>
      </c>
      <c r="B277" s="20" t="s">
        <v>60</v>
      </c>
      <c r="C277" s="20" t="s">
        <v>620</v>
      </c>
      <c r="D277" s="20" t="s">
        <v>216</v>
      </c>
      <c r="E277" s="13">
        <v>5326</v>
      </c>
      <c r="F277" s="11">
        <v>0</v>
      </c>
      <c r="G277" s="13">
        <v>0</v>
      </c>
      <c r="H277" s="11">
        <v>0</v>
      </c>
      <c r="I277" s="13">
        <f>E277+G277</f>
        <v>5326</v>
      </c>
      <c r="J277" s="11">
        <f>F277+H277</f>
        <v>0</v>
      </c>
      <c r="K277" s="13">
        <v>5052</v>
      </c>
      <c r="L277" s="11">
        <v>0</v>
      </c>
      <c r="M277" s="11">
        <v>1</v>
      </c>
      <c r="N277" s="13">
        <v>0</v>
      </c>
      <c r="O277" s="11">
        <v>0</v>
      </c>
      <c r="P277" s="11">
        <v>1</v>
      </c>
      <c r="Q277" s="13">
        <f>K277+N277</f>
        <v>5052</v>
      </c>
      <c r="R277" s="11">
        <f>L277+O277</f>
        <v>0</v>
      </c>
      <c r="S277" s="11">
        <f>M277+P277</f>
        <v>2</v>
      </c>
      <c r="T277" s="8">
        <f>I277-Q277</f>
        <v>274</v>
      </c>
      <c r="U277" s="18">
        <v>3.7069109259426053E-2</v>
      </c>
      <c r="V277" s="11">
        <v>0.2</v>
      </c>
      <c r="W277" s="11">
        <v>2</v>
      </c>
      <c r="X277" s="11">
        <v>8</v>
      </c>
      <c r="Y277" s="11">
        <v>0</v>
      </c>
      <c r="Z277" t="s">
        <v>9</v>
      </c>
    </row>
    <row r="278" spans="1:26" x14ac:dyDescent="0.25">
      <c r="A278" s="20" t="s">
        <v>621</v>
      </c>
      <c r="B278" s="20" t="s">
        <v>60</v>
      </c>
      <c r="C278" s="20" t="s">
        <v>622</v>
      </c>
      <c r="D278" s="20" t="s">
        <v>216</v>
      </c>
      <c r="E278" s="13">
        <v>2728</v>
      </c>
      <c r="F278" s="11">
        <v>1</v>
      </c>
      <c r="G278" s="13">
        <v>21263.02</v>
      </c>
      <c r="H278" s="11">
        <v>1</v>
      </c>
      <c r="I278" s="13">
        <f>E278+G278</f>
        <v>23991.02</v>
      </c>
      <c r="J278" s="11">
        <f>F278+H278</f>
        <v>2</v>
      </c>
      <c r="K278" s="13">
        <v>490</v>
      </c>
      <c r="L278" s="11">
        <v>0</v>
      </c>
      <c r="M278" s="11">
        <v>0</v>
      </c>
      <c r="N278" s="13">
        <v>11681</v>
      </c>
      <c r="O278" s="11">
        <v>1</v>
      </c>
      <c r="P278" s="11">
        <v>4</v>
      </c>
      <c r="Q278" s="13">
        <f>K278+N278</f>
        <v>12171</v>
      </c>
      <c r="R278" s="11">
        <f>L278+O278</f>
        <v>1</v>
      </c>
      <c r="S278" s="11">
        <f>M278+P278</f>
        <v>4</v>
      </c>
      <c r="T278" s="8">
        <f>I278-Q278</f>
        <v>11820.02</v>
      </c>
      <c r="U278" s="18">
        <v>1.7592818503041927E-2</v>
      </c>
      <c r="V278" s="11">
        <v>0.22</v>
      </c>
      <c r="W278" s="11">
        <v>5</v>
      </c>
      <c r="X278" s="11">
        <v>18</v>
      </c>
      <c r="Y278" s="11">
        <v>9</v>
      </c>
      <c r="Z278" t="s">
        <v>9</v>
      </c>
    </row>
    <row r="279" spans="1:26" x14ac:dyDescent="0.25">
      <c r="A279" s="20" t="s">
        <v>627</v>
      </c>
      <c r="B279" s="20" t="s">
        <v>60</v>
      </c>
      <c r="C279" s="20" t="s">
        <v>628</v>
      </c>
      <c r="D279" s="20" t="s">
        <v>216</v>
      </c>
      <c r="E279" s="13">
        <v>0</v>
      </c>
      <c r="F279" s="11">
        <v>0</v>
      </c>
      <c r="G279" s="13">
        <v>0</v>
      </c>
      <c r="H279" s="11">
        <v>0</v>
      </c>
      <c r="I279" s="13">
        <f>E279+G279</f>
        <v>0</v>
      </c>
      <c r="J279" s="11">
        <f>F279+H279</f>
        <v>0</v>
      </c>
      <c r="K279" s="13">
        <v>0</v>
      </c>
      <c r="L279" s="11">
        <v>0</v>
      </c>
      <c r="M279" s="11">
        <v>0</v>
      </c>
      <c r="N279" s="13">
        <v>0</v>
      </c>
      <c r="O279" s="11">
        <v>0</v>
      </c>
      <c r="P279" s="11">
        <v>0</v>
      </c>
      <c r="Q279" s="13">
        <f>K279+N279</f>
        <v>0</v>
      </c>
      <c r="R279" s="11">
        <f>L279+O279</f>
        <v>0</v>
      </c>
      <c r="S279" s="11">
        <f>M279+P279</f>
        <v>0</v>
      </c>
      <c r="T279" s="8">
        <f>I279-Q279</f>
        <v>0</v>
      </c>
      <c r="U279" s="18">
        <v>-0.10401488395698001</v>
      </c>
      <c r="V279" s="11">
        <v>0</v>
      </c>
      <c r="W279" s="11">
        <v>0</v>
      </c>
      <c r="X279" s="11">
        <v>1</v>
      </c>
      <c r="Y279" s="11">
        <v>1</v>
      </c>
      <c r="Z279" t="s">
        <v>9</v>
      </c>
    </row>
    <row r="280" spans="1:26" x14ac:dyDescent="0.25">
      <c r="A280" s="20" t="s">
        <v>636</v>
      </c>
      <c r="B280" s="20" t="s">
        <v>189</v>
      </c>
      <c r="C280" s="20" t="s">
        <v>212</v>
      </c>
      <c r="D280" s="20" t="s">
        <v>215</v>
      </c>
      <c r="E280" s="13">
        <v>0</v>
      </c>
      <c r="F280" s="11">
        <v>0</v>
      </c>
      <c r="G280" s="13">
        <v>0</v>
      </c>
      <c r="H280" s="11">
        <v>0</v>
      </c>
      <c r="I280" s="13">
        <f>E280+G280</f>
        <v>0</v>
      </c>
      <c r="J280" s="11">
        <f>F280+H280</f>
        <v>0</v>
      </c>
      <c r="K280" s="13">
        <v>8227.43</v>
      </c>
      <c r="L280" s="11">
        <v>0</v>
      </c>
      <c r="M280" s="11">
        <v>0</v>
      </c>
      <c r="N280" s="13">
        <v>3645.58</v>
      </c>
      <c r="O280" s="11">
        <v>0</v>
      </c>
      <c r="P280" s="11">
        <v>3</v>
      </c>
      <c r="Q280" s="13">
        <f>K280+N280</f>
        <v>11873.01</v>
      </c>
      <c r="R280" s="11">
        <f>L280+O280</f>
        <v>0</v>
      </c>
      <c r="S280" s="11">
        <f>M280+P280</f>
        <v>3</v>
      </c>
      <c r="T280" s="8">
        <f>I280-Q280</f>
        <v>-11873.01</v>
      </c>
      <c r="U280" s="18" t="s">
        <v>1803</v>
      </c>
      <c r="V280" s="11">
        <v>0.38</v>
      </c>
      <c r="W280" s="11">
        <v>3</v>
      </c>
      <c r="X280" s="11">
        <v>5</v>
      </c>
      <c r="Y280" s="11">
        <v>2</v>
      </c>
      <c r="Z280" t="s">
        <v>9</v>
      </c>
    </row>
    <row r="281" spans="1:26" x14ac:dyDescent="0.25">
      <c r="A281" s="20" t="s">
        <v>3594</v>
      </c>
      <c r="B281" s="20" t="s">
        <v>3342</v>
      </c>
      <c r="C281" s="20" t="s">
        <v>3595</v>
      </c>
      <c r="D281" s="20" t="s">
        <v>216</v>
      </c>
      <c r="E281" s="13">
        <v>0</v>
      </c>
      <c r="F281" s="11">
        <v>0</v>
      </c>
      <c r="G281" s="13">
        <v>0</v>
      </c>
      <c r="H281" s="11">
        <v>0</v>
      </c>
      <c r="I281" s="13">
        <f>E281+G281</f>
        <v>0</v>
      </c>
      <c r="J281" s="11">
        <f>F281+H281</f>
        <v>0</v>
      </c>
      <c r="K281" s="13">
        <v>0</v>
      </c>
      <c r="L281" s="11">
        <v>0</v>
      </c>
      <c r="M281" s="11">
        <v>0</v>
      </c>
      <c r="N281" s="13">
        <v>0</v>
      </c>
      <c r="O281" s="11">
        <v>0</v>
      </c>
      <c r="P281" s="11">
        <v>0</v>
      </c>
      <c r="Q281" s="13">
        <f>K281+N281</f>
        <v>0</v>
      </c>
      <c r="R281" s="11">
        <f>L281+O281</f>
        <v>0</v>
      </c>
      <c r="S281" s="11">
        <f>M281+P281</f>
        <v>0</v>
      </c>
      <c r="T281" s="8">
        <f>I281-Q281</f>
        <v>0</v>
      </c>
      <c r="U281" s="18" t="s">
        <v>1803</v>
      </c>
      <c r="V281" s="11">
        <v>0</v>
      </c>
      <c r="W281" s="11">
        <v>0</v>
      </c>
      <c r="X281" s="11">
        <v>0</v>
      </c>
      <c r="Y281" s="11">
        <v>0</v>
      </c>
      <c r="Z281" t="s">
        <v>9</v>
      </c>
    </row>
    <row r="282" spans="1:26" x14ac:dyDescent="0.25">
      <c r="A282" s="20" t="s">
        <v>641</v>
      </c>
      <c r="B282" s="20" t="s">
        <v>60</v>
      </c>
      <c r="C282" s="20" t="s">
        <v>642</v>
      </c>
      <c r="D282" s="20" t="s">
        <v>216</v>
      </c>
      <c r="E282" s="13">
        <v>0</v>
      </c>
      <c r="F282" s="11">
        <v>0</v>
      </c>
      <c r="G282" s="13">
        <v>0</v>
      </c>
      <c r="H282" s="11">
        <v>0</v>
      </c>
      <c r="I282" s="13">
        <f>E282+G282</f>
        <v>0</v>
      </c>
      <c r="J282" s="11">
        <f>F282+H282</f>
        <v>0</v>
      </c>
      <c r="K282" s="13">
        <v>0</v>
      </c>
      <c r="L282" s="11">
        <v>0</v>
      </c>
      <c r="M282" s="11">
        <v>0</v>
      </c>
      <c r="N282" s="13">
        <v>0</v>
      </c>
      <c r="O282" s="11">
        <v>0</v>
      </c>
      <c r="P282" s="11">
        <v>1</v>
      </c>
      <c r="Q282" s="13">
        <f>K282+N282</f>
        <v>0</v>
      </c>
      <c r="R282" s="11">
        <f>L282+O282</f>
        <v>0</v>
      </c>
      <c r="S282" s="11">
        <f>M282+P282</f>
        <v>1</v>
      </c>
      <c r="T282" s="8">
        <f>I282-Q282</f>
        <v>0</v>
      </c>
      <c r="U282" s="18">
        <v>6.8227430791565111E-2</v>
      </c>
      <c r="V282" s="11">
        <v>0.17</v>
      </c>
      <c r="W282" s="11">
        <v>1</v>
      </c>
      <c r="X282" s="11">
        <v>5</v>
      </c>
      <c r="Y282" s="11">
        <v>1</v>
      </c>
      <c r="Z282" t="s">
        <v>9</v>
      </c>
    </row>
    <row r="283" spans="1:26" x14ac:dyDescent="0.25">
      <c r="A283" s="20" t="s">
        <v>643</v>
      </c>
      <c r="B283" s="20" t="s">
        <v>60</v>
      </c>
      <c r="C283" s="20" t="s">
        <v>644</v>
      </c>
      <c r="D283" s="20" t="s">
        <v>216</v>
      </c>
      <c r="E283" s="13">
        <v>681</v>
      </c>
      <c r="F283" s="11">
        <v>0</v>
      </c>
      <c r="G283" s="13">
        <v>0</v>
      </c>
      <c r="H283" s="11">
        <v>0</v>
      </c>
      <c r="I283" s="13">
        <f>E283+G283</f>
        <v>681</v>
      </c>
      <c r="J283" s="11">
        <f>F283+H283</f>
        <v>0</v>
      </c>
      <c r="K283" s="13">
        <v>619</v>
      </c>
      <c r="L283" s="11">
        <v>0</v>
      </c>
      <c r="M283" s="11">
        <v>0</v>
      </c>
      <c r="N283" s="13">
        <v>0</v>
      </c>
      <c r="O283" s="11">
        <v>0</v>
      </c>
      <c r="P283" s="11">
        <v>0</v>
      </c>
      <c r="Q283" s="13">
        <f>K283+N283</f>
        <v>619</v>
      </c>
      <c r="R283" s="11">
        <f>L283+O283</f>
        <v>0</v>
      </c>
      <c r="S283" s="11">
        <f>M283+P283</f>
        <v>0</v>
      </c>
      <c r="T283" s="8">
        <f>I283-Q283</f>
        <v>62</v>
      </c>
      <c r="U283" s="18">
        <v>2.019676986394996E-2</v>
      </c>
      <c r="V283" s="11">
        <v>0</v>
      </c>
      <c r="W283" s="11">
        <v>0</v>
      </c>
      <c r="X283" s="11">
        <v>0</v>
      </c>
      <c r="Y283" s="11">
        <v>1</v>
      </c>
      <c r="Z283" t="s">
        <v>9</v>
      </c>
    </row>
    <row r="284" spans="1:26" x14ac:dyDescent="0.25">
      <c r="A284" s="20" t="s">
        <v>646</v>
      </c>
      <c r="B284" s="20" t="s">
        <v>646</v>
      </c>
      <c r="C284" s="20" t="s">
        <v>647</v>
      </c>
      <c r="D284" s="20" t="s">
        <v>216</v>
      </c>
      <c r="E284" s="13">
        <v>0</v>
      </c>
      <c r="F284" s="11">
        <v>0</v>
      </c>
      <c r="G284" s="13">
        <v>3453</v>
      </c>
      <c r="H284" s="11">
        <v>0</v>
      </c>
      <c r="I284" s="13">
        <f>E284+G284</f>
        <v>3453</v>
      </c>
      <c r="J284" s="11">
        <f>F284+H284</f>
        <v>0</v>
      </c>
      <c r="K284" s="13">
        <v>0</v>
      </c>
      <c r="L284" s="11">
        <v>0</v>
      </c>
      <c r="M284" s="11">
        <v>0</v>
      </c>
      <c r="N284" s="13">
        <v>2538</v>
      </c>
      <c r="O284" s="11">
        <v>0</v>
      </c>
      <c r="P284" s="11">
        <v>0</v>
      </c>
      <c r="Q284" s="13">
        <f>K284+N284</f>
        <v>2538</v>
      </c>
      <c r="R284" s="11">
        <f>L284+O284</f>
        <v>0</v>
      </c>
      <c r="S284" s="11">
        <f>M284+P284</f>
        <v>0</v>
      </c>
      <c r="T284" s="8">
        <f>I284-Q284</f>
        <v>915</v>
      </c>
      <c r="U284" s="18">
        <v>0.52356914389147247</v>
      </c>
      <c r="V284" s="11">
        <v>0</v>
      </c>
      <c r="W284" s="11">
        <v>0</v>
      </c>
      <c r="X284" s="11">
        <v>0</v>
      </c>
      <c r="Y284" s="11">
        <v>0</v>
      </c>
      <c r="Z284" t="s">
        <v>9</v>
      </c>
    </row>
    <row r="285" spans="1:26" x14ac:dyDescent="0.25">
      <c r="A285" s="20" t="s">
        <v>633</v>
      </c>
      <c r="B285" s="20" t="s">
        <v>633</v>
      </c>
      <c r="C285" s="20" t="s">
        <v>632</v>
      </c>
      <c r="D285" s="20" t="s">
        <v>216</v>
      </c>
      <c r="E285" s="13">
        <v>2759.05</v>
      </c>
      <c r="F285" s="11">
        <v>0</v>
      </c>
      <c r="G285" s="13">
        <v>14100</v>
      </c>
      <c r="H285" s="11">
        <v>0</v>
      </c>
      <c r="I285" s="13">
        <f>E285+G285</f>
        <v>16859.05</v>
      </c>
      <c r="J285" s="11">
        <f>F285+H285</f>
        <v>0</v>
      </c>
      <c r="K285" s="13">
        <v>4604</v>
      </c>
      <c r="L285" s="11">
        <v>0</v>
      </c>
      <c r="M285" s="11">
        <v>0</v>
      </c>
      <c r="N285" s="13">
        <v>10689.34</v>
      </c>
      <c r="O285" s="11">
        <v>0</v>
      </c>
      <c r="P285" s="11">
        <v>0</v>
      </c>
      <c r="Q285" s="13">
        <f>K285+N285</f>
        <v>15293.34</v>
      </c>
      <c r="R285" s="11">
        <f>L285+O285</f>
        <v>0</v>
      </c>
      <c r="S285" s="11">
        <f>M285+P285</f>
        <v>0</v>
      </c>
      <c r="T285" s="8">
        <f>I285-Q285</f>
        <v>1565.7099999999991</v>
      </c>
      <c r="U285" s="18">
        <v>0.65482139929788197</v>
      </c>
      <c r="V285" s="11">
        <v>0</v>
      </c>
      <c r="W285" s="11">
        <v>0</v>
      </c>
      <c r="X285" s="11">
        <v>1</v>
      </c>
      <c r="Y285" s="11">
        <v>0</v>
      </c>
      <c r="Z285" t="s">
        <v>9</v>
      </c>
    </row>
    <row r="286" spans="1:26" x14ac:dyDescent="0.25">
      <c r="A286" s="20" t="s">
        <v>648</v>
      </c>
      <c r="B286" s="20" t="s">
        <v>60</v>
      </c>
      <c r="C286" s="20" t="s">
        <v>649</v>
      </c>
      <c r="D286" s="20" t="s">
        <v>216</v>
      </c>
      <c r="E286" s="13">
        <v>3737</v>
      </c>
      <c r="F286" s="11">
        <v>0</v>
      </c>
      <c r="G286" s="13">
        <v>3863.11</v>
      </c>
      <c r="H286" s="11">
        <v>0</v>
      </c>
      <c r="I286" s="13">
        <f>E286+G286</f>
        <v>7600.1100000000006</v>
      </c>
      <c r="J286" s="11">
        <f>F286+H286</f>
        <v>0</v>
      </c>
      <c r="K286" s="13">
        <v>3662</v>
      </c>
      <c r="L286" s="11">
        <v>0</v>
      </c>
      <c r="M286" s="11">
        <v>1</v>
      </c>
      <c r="N286" s="13">
        <v>0</v>
      </c>
      <c r="O286" s="11">
        <v>0</v>
      </c>
      <c r="P286" s="11">
        <v>1</v>
      </c>
      <c r="Q286" s="13">
        <f>K286+N286</f>
        <v>3662</v>
      </c>
      <c r="R286" s="11">
        <f>L286+O286</f>
        <v>0</v>
      </c>
      <c r="S286" s="11">
        <f>M286+P286</f>
        <v>2</v>
      </c>
      <c r="T286" s="8">
        <f>I286-Q286</f>
        <v>3938.1100000000006</v>
      </c>
      <c r="U286" s="18">
        <v>-1.6612089872222967E-2</v>
      </c>
      <c r="V286" s="11">
        <v>0.5</v>
      </c>
      <c r="W286" s="11">
        <v>3</v>
      </c>
      <c r="X286" s="11">
        <v>3</v>
      </c>
      <c r="Y286" s="11">
        <v>7</v>
      </c>
      <c r="Z286" t="s">
        <v>9</v>
      </c>
    </row>
    <row r="287" spans="1:26" x14ac:dyDescent="0.25">
      <c r="A287" s="20" t="s">
        <v>650</v>
      </c>
      <c r="B287" s="20" t="s">
        <v>590</v>
      </c>
      <c r="C287" s="20" t="s">
        <v>651</v>
      </c>
      <c r="D287" s="20" t="s">
        <v>216</v>
      </c>
      <c r="E287" s="13">
        <v>0</v>
      </c>
      <c r="F287" s="11">
        <v>0</v>
      </c>
      <c r="G287" s="13">
        <v>1595</v>
      </c>
      <c r="H287" s="11">
        <v>0</v>
      </c>
      <c r="I287" s="13">
        <f>E287+G287</f>
        <v>1595</v>
      </c>
      <c r="J287" s="11">
        <f>F287+H287</f>
        <v>0</v>
      </c>
      <c r="K287" s="13">
        <v>0</v>
      </c>
      <c r="L287" s="11">
        <v>0</v>
      </c>
      <c r="M287" s="11">
        <v>0</v>
      </c>
      <c r="N287" s="13">
        <v>18363</v>
      </c>
      <c r="O287" s="11">
        <v>1</v>
      </c>
      <c r="P287" s="11">
        <v>1</v>
      </c>
      <c r="Q287" s="13">
        <f>K287+N287</f>
        <v>18363</v>
      </c>
      <c r="R287" s="11">
        <f>L287+O287</f>
        <v>1</v>
      </c>
      <c r="S287" s="11">
        <f>M287+P287</f>
        <v>1</v>
      </c>
      <c r="T287" s="8">
        <f>I287-Q287</f>
        <v>-16768</v>
      </c>
      <c r="U287" s="18">
        <v>9.3349804468734796E-2</v>
      </c>
      <c r="V287" s="11">
        <v>0</v>
      </c>
      <c r="W287" s="11">
        <v>0</v>
      </c>
      <c r="X287" s="11">
        <v>3</v>
      </c>
      <c r="Y287" s="11">
        <v>1</v>
      </c>
      <c r="Z287" t="s">
        <v>9</v>
      </c>
    </row>
    <row r="288" spans="1:26" x14ac:dyDescent="0.25">
      <c r="A288" s="20" t="s">
        <v>655</v>
      </c>
      <c r="B288" s="20" t="s">
        <v>590</v>
      </c>
      <c r="C288" s="20" t="s">
        <v>656</v>
      </c>
      <c r="D288" s="20" t="s">
        <v>216</v>
      </c>
      <c r="E288" s="13">
        <v>0</v>
      </c>
      <c r="F288" s="11">
        <v>0</v>
      </c>
      <c r="G288" s="13">
        <v>1839</v>
      </c>
      <c r="H288" s="11">
        <v>0</v>
      </c>
      <c r="I288" s="13">
        <f>E288+G288</f>
        <v>1839</v>
      </c>
      <c r="J288" s="11">
        <f>F288+H288</f>
        <v>0</v>
      </c>
      <c r="K288" s="13">
        <v>25060</v>
      </c>
      <c r="L288" s="11">
        <v>3</v>
      </c>
      <c r="M288" s="11">
        <v>3</v>
      </c>
      <c r="N288" s="13">
        <v>3460</v>
      </c>
      <c r="O288" s="11">
        <v>2</v>
      </c>
      <c r="P288" s="11">
        <v>2</v>
      </c>
      <c r="Q288" s="13">
        <f>K288+N288</f>
        <v>28520</v>
      </c>
      <c r="R288" s="11">
        <f>L288+O288</f>
        <v>5</v>
      </c>
      <c r="S288" s="11">
        <f>M288+P288</f>
        <v>5</v>
      </c>
      <c r="T288" s="8">
        <f>I288-Q288</f>
        <v>-26681</v>
      </c>
      <c r="U288" s="18">
        <v>7.956808284518288E-2</v>
      </c>
      <c r="V288" s="11">
        <v>0</v>
      </c>
      <c r="W288" s="11">
        <v>0</v>
      </c>
      <c r="X288" s="11">
        <v>0</v>
      </c>
      <c r="Y288" s="11">
        <v>1</v>
      </c>
      <c r="Z288" t="s">
        <v>9</v>
      </c>
    </row>
    <row r="289" spans="1:26" x14ac:dyDescent="0.25">
      <c r="A289" s="20" t="s">
        <v>645</v>
      </c>
      <c r="B289" s="20" t="s">
        <v>645</v>
      </c>
      <c r="C289" s="20" t="s">
        <v>221</v>
      </c>
      <c r="D289" s="20" t="s">
        <v>216</v>
      </c>
      <c r="E289" s="13">
        <v>0</v>
      </c>
      <c r="F289" s="11">
        <v>0</v>
      </c>
      <c r="G289" s="13">
        <v>0</v>
      </c>
      <c r="H289" s="11">
        <v>0</v>
      </c>
      <c r="I289" s="13">
        <f>E289+G289</f>
        <v>0</v>
      </c>
      <c r="J289" s="11">
        <f>F289+H289</f>
        <v>0</v>
      </c>
      <c r="K289" s="13">
        <v>0</v>
      </c>
      <c r="L289" s="11">
        <v>0</v>
      </c>
      <c r="M289" s="11">
        <v>0</v>
      </c>
      <c r="N289" s="13">
        <v>0</v>
      </c>
      <c r="O289" s="11">
        <v>0</v>
      </c>
      <c r="P289" s="11">
        <v>0</v>
      </c>
      <c r="Q289" s="13">
        <f>K289+N289</f>
        <v>0</v>
      </c>
      <c r="R289" s="11">
        <f>L289+O289</f>
        <v>0</v>
      </c>
      <c r="S289" s="11">
        <f>M289+P289</f>
        <v>0</v>
      </c>
      <c r="T289" s="8">
        <f>I289-Q289</f>
        <v>0</v>
      </c>
      <c r="U289" s="18">
        <v>1.5447476115679502E-2</v>
      </c>
      <c r="V289" s="11">
        <v>0</v>
      </c>
      <c r="W289" s="11">
        <v>0</v>
      </c>
      <c r="X289" s="11">
        <v>0</v>
      </c>
      <c r="Y289" s="11">
        <v>0</v>
      </c>
      <c r="Z289" t="s">
        <v>9</v>
      </c>
    </row>
    <row r="290" spans="1:26" x14ac:dyDescent="0.25">
      <c r="A290" s="20" t="s">
        <v>658</v>
      </c>
      <c r="B290" s="20" t="s">
        <v>218</v>
      </c>
      <c r="C290" s="20" t="s">
        <v>611</v>
      </c>
      <c r="D290" s="20" t="s">
        <v>216</v>
      </c>
      <c r="E290" s="13">
        <v>0</v>
      </c>
      <c r="F290" s="11">
        <v>0</v>
      </c>
      <c r="G290" s="13">
        <v>0</v>
      </c>
      <c r="H290" s="11">
        <v>0</v>
      </c>
      <c r="I290" s="13">
        <f>E290+G290</f>
        <v>0</v>
      </c>
      <c r="J290" s="11">
        <f>F290+H290</f>
        <v>0</v>
      </c>
      <c r="K290" s="13">
        <v>0</v>
      </c>
      <c r="L290" s="11">
        <v>0</v>
      </c>
      <c r="M290" s="11">
        <v>0</v>
      </c>
      <c r="N290" s="13">
        <v>0</v>
      </c>
      <c r="O290" s="11">
        <v>0</v>
      </c>
      <c r="P290" s="11">
        <v>0</v>
      </c>
      <c r="Q290" s="13">
        <f>K290+N290</f>
        <v>0</v>
      </c>
      <c r="R290" s="11">
        <f>L290+O290</f>
        <v>0</v>
      </c>
      <c r="S290" s="11">
        <f>M290+P290</f>
        <v>0</v>
      </c>
      <c r="T290" s="8">
        <f>I290-Q290</f>
        <v>0</v>
      </c>
      <c r="U290" s="18">
        <v>2.5438398632949508</v>
      </c>
      <c r="V290" s="11">
        <v>0</v>
      </c>
      <c r="W290" s="11">
        <v>0</v>
      </c>
      <c r="X290" s="11">
        <v>0</v>
      </c>
      <c r="Y290" s="11">
        <v>0</v>
      </c>
      <c r="Z290" t="s">
        <v>9</v>
      </c>
    </row>
    <row r="291" spans="1:26" x14ac:dyDescent="0.25">
      <c r="A291" s="20" t="s">
        <v>660</v>
      </c>
      <c r="B291" s="20" t="s">
        <v>598</v>
      </c>
      <c r="C291" s="20" t="s">
        <v>661</v>
      </c>
      <c r="D291" s="20" t="s">
        <v>216</v>
      </c>
      <c r="E291" s="13">
        <v>0</v>
      </c>
      <c r="F291" s="11">
        <v>0</v>
      </c>
      <c r="G291" s="13">
        <v>0</v>
      </c>
      <c r="H291" s="11">
        <v>0</v>
      </c>
      <c r="I291" s="13">
        <f>E291+G291</f>
        <v>0</v>
      </c>
      <c r="J291" s="11">
        <f>F291+H291</f>
        <v>0</v>
      </c>
      <c r="K291" s="13">
        <v>0</v>
      </c>
      <c r="L291" s="11">
        <v>0</v>
      </c>
      <c r="M291" s="11">
        <v>0</v>
      </c>
      <c r="N291" s="13">
        <v>0</v>
      </c>
      <c r="O291" s="11">
        <v>0</v>
      </c>
      <c r="P291" s="11">
        <v>0</v>
      </c>
      <c r="Q291" s="13">
        <f>K291+N291</f>
        <v>0</v>
      </c>
      <c r="R291" s="11">
        <f>L291+O291</f>
        <v>0</v>
      </c>
      <c r="S291" s="11">
        <f>M291+P291</f>
        <v>0</v>
      </c>
      <c r="T291" s="8">
        <f>I291-Q291</f>
        <v>0</v>
      </c>
      <c r="U291" s="18">
        <v>-9.0131042370327624E-2</v>
      </c>
      <c r="V291" s="11">
        <v>0</v>
      </c>
      <c r="W291" s="11">
        <v>0</v>
      </c>
      <c r="X291" s="11">
        <v>0</v>
      </c>
      <c r="Y291" s="11">
        <v>0</v>
      </c>
      <c r="Z291" t="s">
        <v>9</v>
      </c>
    </row>
    <row r="292" spans="1:26" x14ac:dyDescent="0.25">
      <c r="A292" s="20" t="s">
        <v>653</v>
      </c>
      <c r="B292" s="20" t="s">
        <v>653</v>
      </c>
      <c r="C292" s="20" t="s">
        <v>654</v>
      </c>
      <c r="D292" s="20" t="s">
        <v>216</v>
      </c>
      <c r="E292" s="13">
        <v>0</v>
      </c>
      <c r="F292" s="11">
        <v>0</v>
      </c>
      <c r="G292" s="13">
        <v>0</v>
      </c>
      <c r="H292" s="11">
        <v>0</v>
      </c>
      <c r="I292" s="13">
        <f>E292+G292</f>
        <v>0</v>
      </c>
      <c r="J292" s="11">
        <f>F292+H292</f>
        <v>0</v>
      </c>
      <c r="K292" s="13">
        <v>0</v>
      </c>
      <c r="L292" s="11">
        <v>0</v>
      </c>
      <c r="M292" s="11">
        <v>0</v>
      </c>
      <c r="N292" s="13">
        <v>0</v>
      </c>
      <c r="O292" s="11">
        <v>0</v>
      </c>
      <c r="P292" s="11">
        <v>0</v>
      </c>
      <c r="Q292" s="13">
        <f>K292+N292</f>
        <v>0</v>
      </c>
      <c r="R292" s="11">
        <f>L292+O292</f>
        <v>0</v>
      </c>
      <c r="S292" s="11">
        <f>M292+P292</f>
        <v>0</v>
      </c>
      <c r="T292" s="8">
        <f>I292-Q292</f>
        <v>0</v>
      </c>
      <c r="U292" s="18">
        <v>-5.6556121232738149E-2</v>
      </c>
      <c r="V292" s="11">
        <v>0</v>
      </c>
      <c r="W292" s="11">
        <v>0</v>
      </c>
      <c r="X292" s="11">
        <v>0</v>
      </c>
      <c r="Y292" s="11">
        <v>0</v>
      </c>
      <c r="Z292" t="s">
        <v>9</v>
      </c>
    </row>
    <row r="293" spans="1:26" x14ac:dyDescent="0.25">
      <c r="A293" s="20" t="s">
        <v>664</v>
      </c>
      <c r="B293" s="20" t="s">
        <v>60</v>
      </c>
      <c r="C293" s="20" t="s">
        <v>665</v>
      </c>
      <c r="D293" s="20" t="s">
        <v>216</v>
      </c>
      <c r="E293" s="13">
        <v>0</v>
      </c>
      <c r="F293" s="11">
        <v>0</v>
      </c>
      <c r="G293" s="13">
        <v>0</v>
      </c>
      <c r="H293" s="11">
        <v>0</v>
      </c>
      <c r="I293" s="13">
        <f>E293+G293</f>
        <v>0</v>
      </c>
      <c r="J293" s="11">
        <f>F293+H293</f>
        <v>0</v>
      </c>
      <c r="K293" s="13">
        <v>0</v>
      </c>
      <c r="L293" s="11">
        <v>0</v>
      </c>
      <c r="M293" s="11">
        <v>0</v>
      </c>
      <c r="N293" s="13">
        <v>0</v>
      </c>
      <c r="O293" s="11">
        <v>0</v>
      </c>
      <c r="P293" s="11">
        <v>0</v>
      </c>
      <c r="Q293" s="13">
        <f>K293+N293</f>
        <v>0</v>
      </c>
      <c r="R293" s="11">
        <f>L293+O293</f>
        <v>0</v>
      </c>
      <c r="S293" s="11">
        <f>M293+P293</f>
        <v>0</v>
      </c>
      <c r="T293" s="8">
        <f>I293-Q293</f>
        <v>0</v>
      </c>
      <c r="U293" s="18">
        <v>6.1397540177943517</v>
      </c>
      <c r="V293" s="11">
        <v>0</v>
      </c>
      <c r="W293" s="11">
        <v>0</v>
      </c>
      <c r="X293" s="11">
        <v>0</v>
      </c>
      <c r="Y293" s="11">
        <v>0</v>
      </c>
      <c r="Z293" t="s">
        <v>9</v>
      </c>
    </row>
    <row r="294" spans="1:26" x14ac:dyDescent="0.25">
      <c r="A294" s="20" t="s">
        <v>666</v>
      </c>
      <c r="B294" s="20" t="s">
        <v>83</v>
      </c>
      <c r="C294" s="20" t="s">
        <v>266</v>
      </c>
      <c r="D294" s="20" t="s">
        <v>216</v>
      </c>
      <c r="E294" s="13">
        <v>2223</v>
      </c>
      <c r="F294" s="11">
        <v>0</v>
      </c>
      <c r="G294" s="13">
        <v>0</v>
      </c>
      <c r="H294" s="11">
        <v>0</v>
      </c>
      <c r="I294" s="13">
        <f>E294+G294</f>
        <v>2223</v>
      </c>
      <c r="J294" s="11">
        <f>F294+H294</f>
        <v>0</v>
      </c>
      <c r="K294" s="13">
        <v>2032</v>
      </c>
      <c r="L294" s="11">
        <v>0</v>
      </c>
      <c r="M294" s="11">
        <v>0</v>
      </c>
      <c r="N294" s="13">
        <v>0</v>
      </c>
      <c r="O294" s="11">
        <v>0</v>
      </c>
      <c r="P294" s="11">
        <v>0</v>
      </c>
      <c r="Q294" s="13">
        <f>K294+N294</f>
        <v>2032</v>
      </c>
      <c r="R294" s="11">
        <f>L294+O294</f>
        <v>0</v>
      </c>
      <c r="S294" s="11">
        <f>M294+P294</f>
        <v>0</v>
      </c>
      <c r="T294" s="8">
        <f>I294-Q294</f>
        <v>191</v>
      </c>
      <c r="U294" s="18">
        <v>-1.0022642351329079E-2</v>
      </c>
      <c r="V294" s="11">
        <v>0</v>
      </c>
      <c r="W294" s="11">
        <v>0</v>
      </c>
      <c r="X294" s="11">
        <v>0</v>
      </c>
      <c r="Y294" s="11">
        <v>0</v>
      </c>
      <c r="Z294" t="s">
        <v>9</v>
      </c>
    </row>
    <row r="295" spans="1:26" x14ac:dyDescent="0.25">
      <c r="A295" s="20" t="s">
        <v>667</v>
      </c>
      <c r="B295" s="20" t="s">
        <v>668</v>
      </c>
      <c r="C295" s="20" t="s">
        <v>669</v>
      </c>
      <c r="D295" s="20" t="s">
        <v>216</v>
      </c>
      <c r="E295" s="13">
        <v>0</v>
      </c>
      <c r="F295" s="11">
        <v>0</v>
      </c>
      <c r="G295" s="13">
        <v>0</v>
      </c>
      <c r="H295" s="11">
        <v>0</v>
      </c>
      <c r="I295" s="13">
        <f>E295+G295</f>
        <v>0</v>
      </c>
      <c r="J295" s="11">
        <f>F295+H295</f>
        <v>0</v>
      </c>
      <c r="K295" s="13">
        <v>0</v>
      </c>
      <c r="L295" s="11">
        <v>0</v>
      </c>
      <c r="M295" s="11">
        <v>0</v>
      </c>
      <c r="N295" s="13">
        <v>0</v>
      </c>
      <c r="O295" s="11">
        <v>0</v>
      </c>
      <c r="P295" s="11">
        <v>2</v>
      </c>
      <c r="Q295" s="13">
        <f>K295+N295</f>
        <v>0</v>
      </c>
      <c r="R295" s="11">
        <f>L295+O295</f>
        <v>0</v>
      </c>
      <c r="S295" s="11">
        <f>M295+P295</f>
        <v>2</v>
      </c>
      <c r="T295" s="8">
        <f>I295-Q295</f>
        <v>0</v>
      </c>
      <c r="U295" s="18">
        <v>8.5088042437191494E-2</v>
      </c>
      <c r="V295" s="11">
        <v>0.5</v>
      </c>
      <c r="W295" s="11">
        <v>2</v>
      </c>
      <c r="X295" s="11">
        <v>2</v>
      </c>
      <c r="Y295" s="11">
        <v>5</v>
      </c>
      <c r="Z295" t="s">
        <v>9</v>
      </c>
    </row>
    <row r="296" spans="1:26" x14ac:dyDescent="0.25">
      <c r="A296" s="20" t="s">
        <v>3156</v>
      </c>
      <c r="B296" s="20" t="s">
        <v>60</v>
      </c>
      <c r="C296" s="20" t="s">
        <v>3157</v>
      </c>
      <c r="D296" s="20" t="s">
        <v>216</v>
      </c>
      <c r="E296" s="13">
        <v>0</v>
      </c>
      <c r="F296" s="11">
        <v>0</v>
      </c>
      <c r="G296" s="13">
        <v>0</v>
      </c>
      <c r="H296" s="11">
        <v>0</v>
      </c>
      <c r="I296" s="13">
        <f>E296+G296</f>
        <v>0</v>
      </c>
      <c r="J296" s="11">
        <f>F296+H296</f>
        <v>0</v>
      </c>
      <c r="K296" s="13">
        <v>0</v>
      </c>
      <c r="L296" s="11">
        <v>0</v>
      </c>
      <c r="M296" s="11">
        <v>0</v>
      </c>
      <c r="N296" s="13">
        <v>0</v>
      </c>
      <c r="O296" s="11">
        <v>0</v>
      </c>
      <c r="P296" s="11">
        <v>0</v>
      </c>
      <c r="Q296" s="13">
        <f>K296+N296</f>
        <v>0</v>
      </c>
      <c r="R296" s="11">
        <f>L296+O296</f>
        <v>0</v>
      </c>
      <c r="S296" s="11">
        <f>M296+P296</f>
        <v>0</v>
      </c>
      <c r="T296" s="8">
        <f>I296-Q296</f>
        <v>0</v>
      </c>
      <c r="U296" s="18" t="s">
        <v>1803</v>
      </c>
      <c r="V296" s="11">
        <v>0</v>
      </c>
      <c r="W296" s="11">
        <v>0</v>
      </c>
      <c r="X296" s="11">
        <v>0</v>
      </c>
      <c r="Y296" s="11">
        <v>0</v>
      </c>
      <c r="Z296" t="s">
        <v>9</v>
      </c>
    </row>
    <row r="297" spans="1:26" x14ac:dyDescent="0.25">
      <c r="A297" s="20" t="s">
        <v>671</v>
      </c>
      <c r="B297" s="20" t="s">
        <v>83</v>
      </c>
      <c r="C297" s="20" t="s">
        <v>638</v>
      </c>
      <c r="D297" s="20" t="s">
        <v>216</v>
      </c>
      <c r="E297" s="13">
        <v>4854</v>
      </c>
      <c r="F297" s="11">
        <v>0</v>
      </c>
      <c r="G297" s="13">
        <v>3020.6</v>
      </c>
      <c r="H297" s="11">
        <v>0</v>
      </c>
      <c r="I297" s="13">
        <f>E297+G297</f>
        <v>7874.6</v>
      </c>
      <c r="J297" s="11">
        <f>F297+H297</f>
        <v>0</v>
      </c>
      <c r="K297" s="13">
        <v>4600.6000000000004</v>
      </c>
      <c r="L297" s="11">
        <v>0</v>
      </c>
      <c r="M297" s="11">
        <v>0</v>
      </c>
      <c r="N297" s="13">
        <v>6676</v>
      </c>
      <c r="O297" s="11">
        <v>0</v>
      </c>
      <c r="P297" s="11">
        <v>2</v>
      </c>
      <c r="Q297" s="13">
        <f>K297+N297</f>
        <v>11276.6</v>
      </c>
      <c r="R297" s="11">
        <f>L297+O297</f>
        <v>0</v>
      </c>
      <c r="S297" s="11">
        <f>M297+P297</f>
        <v>2</v>
      </c>
      <c r="T297" s="8">
        <f>I297-Q297</f>
        <v>-3402</v>
      </c>
      <c r="U297" s="18">
        <v>3.0911313844734226E-2</v>
      </c>
      <c r="V297" s="11">
        <v>0.28999999999999998</v>
      </c>
      <c r="W297" s="11">
        <v>2</v>
      </c>
      <c r="X297" s="11">
        <v>5</v>
      </c>
      <c r="Y297" s="11">
        <v>1</v>
      </c>
      <c r="Z297" t="s">
        <v>9</v>
      </c>
    </row>
    <row r="298" spans="1:26" x14ac:dyDescent="0.25">
      <c r="A298" s="20" t="s">
        <v>1806</v>
      </c>
      <c r="B298" s="20" t="s">
        <v>257</v>
      </c>
      <c r="C298" s="20" t="s">
        <v>1807</v>
      </c>
      <c r="D298" s="20" t="s">
        <v>216</v>
      </c>
      <c r="E298" s="13">
        <v>0</v>
      </c>
      <c r="F298" s="11">
        <v>0</v>
      </c>
      <c r="G298" s="13">
        <v>0</v>
      </c>
      <c r="H298" s="11">
        <v>0</v>
      </c>
      <c r="I298" s="13">
        <f>E298+G298</f>
        <v>0</v>
      </c>
      <c r="J298" s="11">
        <f>F298+H298</f>
        <v>0</v>
      </c>
      <c r="K298" s="13">
        <v>0</v>
      </c>
      <c r="L298" s="11">
        <v>0</v>
      </c>
      <c r="M298" s="11">
        <v>0</v>
      </c>
      <c r="N298" s="13">
        <v>0</v>
      </c>
      <c r="O298" s="11">
        <v>0</v>
      </c>
      <c r="P298" s="11">
        <v>0</v>
      </c>
      <c r="Q298" s="13">
        <f>K298+N298</f>
        <v>0</v>
      </c>
      <c r="R298" s="11">
        <f>L298+O298</f>
        <v>0</v>
      </c>
      <c r="S298" s="11">
        <f>M298+P298</f>
        <v>0</v>
      </c>
      <c r="T298" s="8">
        <f>I298-Q298</f>
        <v>0</v>
      </c>
      <c r="U298" s="18" t="s">
        <v>1803</v>
      </c>
      <c r="V298" s="11">
        <v>0</v>
      </c>
      <c r="W298" s="11">
        <v>0</v>
      </c>
      <c r="X298" s="11">
        <v>0</v>
      </c>
      <c r="Y298" s="11">
        <v>0</v>
      </c>
      <c r="Z298" t="s">
        <v>9</v>
      </c>
    </row>
    <row r="299" spans="1:26" x14ac:dyDescent="0.25">
      <c r="A299" s="20" t="s">
        <v>2988</v>
      </c>
      <c r="B299" s="20" t="s">
        <v>3342</v>
      </c>
      <c r="C299" s="20" t="s">
        <v>3580</v>
      </c>
      <c r="D299" s="20" t="s">
        <v>215</v>
      </c>
      <c r="E299" s="13">
        <v>0</v>
      </c>
      <c r="F299" s="11">
        <v>0</v>
      </c>
      <c r="G299" s="13">
        <v>0</v>
      </c>
      <c r="H299" s="11">
        <v>0</v>
      </c>
      <c r="I299" s="13">
        <f>E299+G299</f>
        <v>0</v>
      </c>
      <c r="J299" s="11">
        <f>F299+H299</f>
        <v>0</v>
      </c>
      <c r="K299" s="13">
        <v>0</v>
      </c>
      <c r="L299" s="11">
        <v>0</v>
      </c>
      <c r="M299" s="11">
        <v>0</v>
      </c>
      <c r="N299" s="13">
        <v>3329</v>
      </c>
      <c r="O299" s="11">
        <v>0</v>
      </c>
      <c r="P299" s="11">
        <v>0</v>
      </c>
      <c r="Q299" s="13">
        <f>K299+N299</f>
        <v>3329</v>
      </c>
      <c r="R299" s="11">
        <f>L299+O299</f>
        <v>0</v>
      </c>
      <c r="S299" s="11">
        <f>M299+P299</f>
        <v>0</v>
      </c>
      <c r="T299" s="8">
        <f>I299-Q299</f>
        <v>-3329</v>
      </c>
      <c r="U299" s="18" t="s">
        <v>1803</v>
      </c>
      <c r="V299" s="11">
        <v>0</v>
      </c>
      <c r="W299" s="11">
        <v>0</v>
      </c>
      <c r="X299" s="11">
        <v>1</v>
      </c>
      <c r="Y299" s="11">
        <v>3</v>
      </c>
      <c r="Z299" t="s">
        <v>9</v>
      </c>
    </row>
    <row r="300" spans="1:26" x14ac:dyDescent="0.25">
      <c r="A300" s="20" t="s">
        <v>3002</v>
      </c>
      <c r="B300" s="20" t="s">
        <v>218</v>
      </c>
      <c r="C300" s="20" t="s">
        <v>3003</v>
      </c>
      <c r="D300" s="20" t="s">
        <v>216</v>
      </c>
      <c r="E300" s="13">
        <v>0</v>
      </c>
      <c r="F300" s="11">
        <v>0</v>
      </c>
      <c r="G300" s="13">
        <v>0</v>
      </c>
      <c r="H300" s="11">
        <v>0</v>
      </c>
      <c r="I300" s="13">
        <f>E300+G300</f>
        <v>0</v>
      </c>
      <c r="J300" s="11">
        <f>F300+H300</f>
        <v>0</v>
      </c>
      <c r="K300" s="13">
        <v>2977.69</v>
      </c>
      <c r="L300" s="11">
        <v>0</v>
      </c>
      <c r="M300" s="11">
        <v>0</v>
      </c>
      <c r="N300" s="13">
        <v>1895.5</v>
      </c>
      <c r="O300" s="11">
        <v>0</v>
      </c>
      <c r="P300" s="11">
        <v>1</v>
      </c>
      <c r="Q300" s="13">
        <f>K300+N300</f>
        <v>4873.1900000000005</v>
      </c>
      <c r="R300" s="11">
        <f>L300+O300</f>
        <v>0</v>
      </c>
      <c r="S300" s="11">
        <f>M300+P300</f>
        <v>1</v>
      </c>
      <c r="T300" s="8">
        <f>I300-Q300</f>
        <v>-4873.1900000000005</v>
      </c>
      <c r="U300" s="18">
        <v>3.9693958018938616E-2</v>
      </c>
      <c r="V300" s="11">
        <v>0.25</v>
      </c>
      <c r="W300" s="11">
        <v>1</v>
      </c>
      <c r="X300" s="11">
        <v>3</v>
      </c>
      <c r="Y300" s="11">
        <v>0</v>
      </c>
      <c r="Z300" t="s">
        <v>9</v>
      </c>
    </row>
    <row r="301" spans="1:26" x14ac:dyDescent="0.25">
      <c r="A301" s="20" t="s">
        <v>3001</v>
      </c>
      <c r="B301" s="20" t="s">
        <v>3001</v>
      </c>
      <c r="C301" s="20" t="s">
        <v>3004</v>
      </c>
      <c r="D301" s="20" t="s">
        <v>216</v>
      </c>
      <c r="E301" s="13">
        <v>0</v>
      </c>
      <c r="F301" s="11">
        <v>0</v>
      </c>
      <c r="G301" s="13">
        <v>0</v>
      </c>
      <c r="H301" s="11">
        <v>0</v>
      </c>
      <c r="I301" s="13">
        <f>E301+G301</f>
        <v>0</v>
      </c>
      <c r="J301" s="11">
        <f>F301+H301</f>
        <v>0</v>
      </c>
      <c r="K301" s="13">
        <v>0</v>
      </c>
      <c r="L301" s="11">
        <v>0</v>
      </c>
      <c r="M301" s="11">
        <v>0</v>
      </c>
      <c r="N301" s="13">
        <v>0</v>
      </c>
      <c r="O301" s="11">
        <v>0</v>
      </c>
      <c r="P301" s="11">
        <v>0</v>
      </c>
      <c r="Q301" s="13">
        <f>K301+N301</f>
        <v>0</v>
      </c>
      <c r="R301" s="11">
        <f>L301+O301</f>
        <v>0</v>
      </c>
      <c r="S301" s="11">
        <f>M301+P301</f>
        <v>0</v>
      </c>
      <c r="T301" s="8">
        <f>I301-Q301</f>
        <v>0</v>
      </c>
      <c r="U301" s="18">
        <v>0.13767847735346961</v>
      </c>
      <c r="V301" s="11">
        <v>0</v>
      </c>
      <c r="W301" s="11">
        <v>0</v>
      </c>
      <c r="X301" s="11">
        <v>0</v>
      </c>
      <c r="Y301" s="11">
        <v>0</v>
      </c>
      <c r="Z301" t="s">
        <v>9</v>
      </c>
    </row>
    <row r="302" spans="1:26" x14ac:dyDescent="0.25">
      <c r="A302" s="20" t="s">
        <v>3005</v>
      </c>
      <c r="B302" s="20" t="s">
        <v>58</v>
      </c>
      <c r="C302" s="20" t="s">
        <v>3006</v>
      </c>
      <c r="D302" s="20" t="s">
        <v>216</v>
      </c>
      <c r="E302" s="13">
        <v>5789</v>
      </c>
      <c r="F302" s="11">
        <v>0</v>
      </c>
      <c r="G302" s="13">
        <v>0</v>
      </c>
      <c r="H302" s="11">
        <v>0</v>
      </c>
      <c r="I302" s="13">
        <f>E302+G302</f>
        <v>5789</v>
      </c>
      <c r="J302" s="11">
        <f>F302+H302</f>
        <v>0</v>
      </c>
      <c r="K302" s="13">
        <v>5017</v>
      </c>
      <c r="L302" s="11">
        <v>0</v>
      </c>
      <c r="M302" s="11">
        <v>0</v>
      </c>
      <c r="N302" s="13">
        <v>0</v>
      </c>
      <c r="O302" s="11">
        <v>0</v>
      </c>
      <c r="P302" s="11">
        <v>0</v>
      </c>
      <c r="Q302" s="13">
        <f>K302+N302</f>
        <v>5017</v>
      </c>
      <c r="R302" s="11">
        <f>L302+O302</f>
        <v>0</v>
      </c>
      <c r="S302" s="11">
        <f>M302+P302</f>
        <v>0</v>
      </c>
      <c r="T302" s="8">
        <f>I302-Q302</f>
        <v>772</v>
      </c>
      <c r="U302" s="18">
        <v>0.10737668138787869</v>
      </c>
      <c r="V302" s="11">
        <v>0</v>
      </c>
      <c r="W302" s="11">
        <v>0</v>
      </c>
      <c r="X302" s="11">
        <v>1</v>
      </c>
      <c r="Y302" s="11">
        <v>0</v>
      </c>
      <c r="Z302" t="s">
        <v>9</v>
      </c>
    </row>
    <row r="303" spans="1:26" x14ac:dyDescent="0.25">
      <c r="A303" s="20" t="s">
        <v>3018</v>
      </c>
      <c r="B303" s="20" t="s">
        <v>60</v>
      </c>
      <c r="C303" s="20" t="s">
        <v>3019</v>
      </c>
      <c r="D303" s="20" t="s">
        <v>216</v>
      </c>
      <c r="E303" s="13">
        <v>0</v>
      </c>
      <c r="F303" s="11">
        <v>0</v>
      </c>
      <c r="G303" s="13">
        <v>0</v>
      </c>
      <c r="H303" s="11">
        <v>0</v>
      </c>
      <c r="I303" s="13">
        <f>E303+G303</f>
        <v>0</v>
      </c>
      <c r="J303" s="11">
        <f>F303+H303</f>
        <v>0</v>
      </c>
      <c r="K303" s="13">
        <v>0</v>
      </c>
      <c r="L303" s="11">
        <v>0</v>
      </c>
      <c r="M303" s="11">
        <v>0</v>
      </c>
      <c r="N303" s="13">
        <v>0</v>
      </c>
      <c r="O303" s="11">
        <v>0</v>
      </c>
      <c r="P303" s="11">
        <v>0</v>
      </c>
      <c r="Q303" s="13">
        <f>K303+N303</f>
        <v>0</v>
      </c>
      <c r="R303" s="11">
        <f>L303+O303</f>
        <v>0</v>
      </c>
      <c r="S303" s="11">
        <f>M303+P303</f>
        <v>0</v>
      </c>
      <c r="T303" s="8">
        <f>I303-Q303</f>
        <v>0</v>
      </c>
      <c r="U303" s="18" t="s">
        <v>1803</v>
      </c>
      <c r="V303" s="11">
        <v>0</v>
      </c>
      <c r="W303" s="11">
        <v>0</v>
      </c>
      <c r="X303" s="11">
        <v>0</v>
      </c>
      <c r="Y303" s="11">
        <v>0</v>
      </c>
      <c r="Z303" t="s">
        <v>9</v>
      </c>
    </row>
    <row r="304" spans="1:26" x14ac:dyDescent="0.25">
      <c r="A304" s="20" t="s">
        <v>3080</v>
      </c>
      <c r="B304" s="20" t="s">
        <v>83</v>
      </c>
      <c r="C304" s="20" t="s">
        <v>638</v>
      </c>
      <c r="D304" s="20" t="s">
        <v>216</v>
      </c>
      <c r="E304" s="13">
        <v>0</v>
      </c>
      <c r="F304" s="11">
        <v>0</v>
      </c>
      <c r="G304" s="13">
        <v>0</v>
      </c>
      <c r="H304" s="11">
        <v>0</v>
      </c>
      <c r="I304" s="13">
        <f>E304+G304</f>
        <v>0</v>
      </c>
      <c r="J304" s="11">
        <f>F304+H304</f>
        <v>0</v>
      </c>
      <c r="K304" s="13">
        <v>-757.6</v>
      </c>
      <c r="L304" s="11">
        <v>0</v>
      </c>
      <c r="M304" s="11">
        <v>0</v>
      </c>
      <c r="N304" s="13">
        <v>0</v>
      </c>
      <c r="O304" s="11">
        <v>0</v>
      </c>
      <c r="P304" s="11">
        <v>0</v>
      </c>
      <c r="Q304" s="13">
        <f>K304+N304</f>
        <v>-757.6</v>
      </c>
      <c r="R304" s="11">
        <f>L304+O304</f>
        <v>0</v>
      </c>
      <c r="S304" s="11">
        <f>M304+P304</f>
        <v>0</v>
      </c>
      <c r="T304" s="8">
        <f>I304-Q304</f>
        <v>757.6</v>
      </c>
      <c r="U304" s="18">
        <v>0.15915788546750093</v>
      </c>
      <c r="V304" s="11">
        <v>0</v>
      </c>
      <c r="W304" s="11">
        <v>0</v>
      </c>
      <c r="X304" s="11">
        <v>2</v>
      </c>
      <c r="Y304" s="11">
        <v>1</v>
      </c>
      <c r="Z304" t="s">
        <v>9</v>
      </c>
    </row>
    <row r="305" spans="1:26" x14ac:dyDescent="0.25">
      <c r="A305" s="20" t="s">
        <v>3138</v>
      </c>
      <c r="B305" s="20" t="s">
        <v>60</v>
      </c>
      <c r="C305" s="20" t="s">
        <v>3139</v>
      </c>
      <c r="D305" s="20" t="s">
        <v>216</v>
      </c>
      <c r="E305" s="13">
        <v>0</v>
      </c>
      <c r="F305" s="11">
        <v>0</v>
      </c>
      <c r="G305" s="13">
        <v>0</v>
      </c>
      <c r="H305" s="11">
        <v>0</v>
      </c>
      <c r="I305" s="13">
        <f>E305+G305</f>
        <v>0</v>
      </c>
      <c r="J305" s="11">
        <f>F305+H305</f>
        <v>0</v>
      </c>
      <c r="K305" s="13">
        <v>0</v>
      </c>
      <c r="L305" s="11">
        <v>0</v>
      </c>
      <c r="M305" s="11">
        <v>2</v>
      </c>
      <c r="N305" s="13">
        <v>0</v>
      </c>
      <c r="O305" s="11">
        <v>0</v>
      </c>
      <c r="P305" s="11">
        <v>0</v>
      </c>
      <c r="Q305" s="13">
        <f>K305+N305</f>
        <v>0</v>
      </c>
      <c r="R305" s="11">
        <f>L305+O305</f>
        <v>0</v>
      </c>
      <c r="S305" s="11">
        <f>M305+P305</f>
        <v>2</v>
      </c>
      <c r="T305" s="8">
        <f>I305-Q305</f>
        <v>0</v>
      </c>
      <c r="U305" s="18">
        <v>7.1991741450761759E-2</v>
      </c>
      <c r="V305" s="11">
        <v>0.25</v>
      </c>
      <c r="W305" s="11">
        <v>2</v>
      </c>
      <c r="X305" s="11">
        <v>6</v>
      </c>
      <c r="Y305" s="11">
        <v>1</v>
      </c>
      <c r="Z305" t="s">
        <v>9</v>
      </c>
    </row>
    <row r="306" spans="1:26" x14ac:dyDescent="0.25">
      <c r="A306" s="20" t="s">
        <v>3252</v>
      </c>
      <c r="B306" s="20" t="s">
        <v>3252</v>
      </c>
      <c r="C306" s="20" t="s">
        <v>3253</v>
      </c>
      <c r="D306" s="20" t="s">
        <v>216</v>
      </c>
      <c r="E306" s="13">
        <v>3652.11</v>
      </c>
      <c r="F306" s="11">
        <v>0</v>
      </c>
      <c r="G306" s="13">
        <v>0</v>
      </c>
      <c r="H306" s="11">
        <v>0</v>
      </c>
      <c r="I306" s="13">
        <f>E306+G306</f>
        <v>3652.11</v>
      </c>
      <c r="J306" s="11">
        <f>F306+H306</f>
        <v>0</v>
      </c>
      <c r="K306" s="13">
        <v>4106.58</v>
      </c>
      <c r="L306" s="11">
        <v>0</v>
      </c>
      <c r="M306" s="11">
        <v>1</v>
      </c>
      <c r="N306" s="13">
        <v>0</v>
      </c>
      <c r="O306" s="11">
        <v>0</v>
      </c>
      <c r="P306" s="11">
        <v>2</v>
      </c>
      <c r="Q306" s="13">
        <f>K306+N306</f>
        <v>4106.58</v>
      </c>
      <c r="R306" s="11">
        <f>L306+O306</f>
        <v>0</v>
      </c>
      <c r="S306" s="11">
        <f>M306+P306</f>
        <v>3</v>
      </c>
      <c r="T306" s="8">
        <f>I306-Q306</f>
        <v>-454.4699999999998</v>
      </c>
      <c r="U306" s="18">
        <v>0.49709701042950677</v>
      </c>
      <c r="V306" s="11">
        <v>0.38</v>
      </c>
      <c r="W306" s="11">
        <v>3</v>
      </c>
      <c r="X306" s="11">
        <v>5</v>
      </c>
      <c r="Y306" s="11">
        <v>2</v>
      </c>
      <c r="Z306" t="s">
        <v>9</v>
      </c>
    </row>
    <row r="307" spans="1:26" x14ac:dyDescent="0.25">
      <c r="A307" s="20" t="s">
        <v>3261</v>
      </c>
      <c r="B307" s="20" t="s">
        <v>83</v>
      </c>
      <c r="C307" s="20" t="s">
        <v>638</v>
      </c>
      <c r="D307" s="20" t="s">
        <v>215</v>
      </c>
      <c r="E307" s="13">
        <v>0</v>
      </c>
      <c r="F307" s="11">
        <v>0</v>
      </c>
      <c r="G307" s="13">
        <v>0</v>
      </c>
      <c r="H307" s="11">
        <v>0</v>
      </c>
      <c r="I307" s="13">
        <f>E307+G307</f>
        <v>0</v>
      </c>
      <c r="J307" s="11">
        <f>F307+H307</f>
        <v>0</v>
      </c>
      <c r="K307" s="13">
        <v>-10</v>
      </c>
      <c r="L307" s="11">
        <v>0</v>
      </c>
      <c r="M307" s="11">
        <v>0</v>
      </c>
      <c r="N307" s="13">
        <v>0</v>
      </c>
      <c r="O307" s="11">
        <v>0</v>
      </c>
      <c r="P307" s="11">
        <v>0</v>
      </c>
      <c r="Q307" s="13">
        <f>K307+N307</f>
        <v>-10</v>
      </c>
      <c r="R307" s="11">
        <f>L307+O307</f>
        <v>0</v>
      </c>
      <c r="S307" s="11">
        <f>M307+P307</f>
        <v>0</v>
      </c>
      <c r="T307" s="8">
        <f>I307-Q307</f>
        <v>10</v>
      </c>
      <c r="U307" s="18" t="s">
        <v>1803</v>
      </c>
      <c r="V307" s="11">
        <v>0</v>
      </c>
      <c r="W307" s="11">
        <v>0</v>
      </c>
      <c r="X307" s="11">
        <v>0</v>
      </c>
      <c r="Y307" s="11">
        <v>0</v>
      </c>
      <c r="Z307" t="s">
        <v>9</v>
      </c>
    </row>
    <row r="308" spans="1:26" x14ac:dyDescent="0.25">
      <c r="A308" s="20" t="s">
        <v>3308</v>
      </c>
      <c r="B308" s="20" t="s">
        <v>3342</v>
      </c>
      <c r="C308" s="20" t="s">
        <v>3580</v>
      </c>
      <c r="D308" s="20" t="s">
        <v>216</v>
      </c>
      <c r="E308" s="13">
        <v>0</v>
      </c>
      <c r="F308" s="11">
        <v>0</v>
      </c>
      <c r="G308" s="13">
        <v>3514</v>
      </c>
      <c r="H308" s="11">
        <v>0</v>
      </c>
      <c r="I308" s="13">
        <f>E308+G308</f>
        <v>3514</v>
      </c>
      <c r="J308" s="11">
        <f>F308+H308</f>
        <v>0</v>
      </c>
      <c r="K308" s="13">
        <v>0</v>
      </c>
      <c r="L308" s="11">
        <v>0</v>
      </c>
      <c r="M308" s="11">
        <v>0</v>
      </c>
      <c r="N308" s="13">
        <v>0</v>
      </c>
      <c r="O308" s="11">
        <v>0</v>
      </c>
      <c r="P308" s="11">
        <v>0</v>
      </c>
      <c r="Q308" s="13">
        <f>K308+N308</f>
        <v>0</v>
      </c>
      <c r="R308" s="11">
        <f>L308+O308</f>
        <v>0</v>
      </c>
      <c r="S308" s="11">
        <f>M308+P308</f>
        <v>0</v>
      </c>
      <c r="T308" s="8">
        <f>I308-Q308</f>
        <v>3514</v>
      </c>
      <c r="U308" s="18">
        <v>0.3182500062269556</v>
      </c>
      <c r="V308" s="11">
        <v>0</v>
      </c>
      <c r="W308" s="11">
        <v>0</v>
      </c>
      <c r="X308" s="11">
        <v>0</v>
      </c>
      <c r="Y308" s="11">
        <v>0</v>
      </c>
      <c r="Z308" t="s">
        <v>9</v>
      </c>
    </row>
    <row r="309" spans="1:26" x14ac:dyDescent="0.25">
      <c r="A309" s="20" t="s">
        <v>3364</v>
      </c>
      <c r="B309" s="20" t="s">
        <v>60</v>
      </c>
      <c r="C309" s="20" t="s">
        <v>3095</v>
      </c>
      <c r="D309" s="20" t="s">
        <v>216</v>
      </c>
      <c r="E309" s="13">
        <v>2806.46</v>
      </c>
      <c r="F309" s="11">
        <v>1</v>
      </c>
      <c r="G309" s="13">
        <v>2254</v>
      </c>
      <c r="H309" s="11">
        <v>1</v>
      </c>
      <c r="I309" s="13">
        <f>E309+G309</f>
        <v>5060.46</v>
      </c>
      <c r="J309" s="11">
        <f>F309+H309</f>
        <v>2</v>
      </c>
      <c r="K309" s="13">
        <v>0</v>
      </c>
      <c r="L309" s="11">
        <v>0</v>
      </c>
      <c r="M309" s="11">
        <v>3</v>
      </c>
      <c r="N309" s="13">
        <v>0</v>
      </c>
      <c r="O309" s="11">
        <v>0</v>
      </c>
      <c r="P309" s="11">
        <v>0</v>
      </c>
      <c r="Q309" s="13">
        <f>K309+N309</f>
        <v>0</v>
      </c>
      <c r="R309" s="11">
        <f>L309+O309</f>
        <v>0</v>
      </c>
      <c r="S309" s="11">
        <f>M309+P309</f>
        <v>3</v>
      </c>
      <c r="T309" s="8">
        <f>I309-Q309</f>
        <v>5060.46</v>
      </c>
      <c r="U309" s="18">
        <v>1.1640154101140455E-2</v>
      </c>
      <c r="V309" s="11">
        <v>0.33</v>
      </c>
      <c r="W309" s="11">
        <v>5</v>
      </c>
      <c r="X309" s="11">
        <v>10</v>
      </c>
      <c r="Y309" s="11">
        <v>2</v>
      </c>
      <c r="Z309" t="s">
        <v>9</v>
      </c>
    </row>
    <row r="310" spans="1:26" x14ac:dyDescent="0.25">
      <c r="A310" s="20" t="s">
        <v>3377</v>
      </c>
      <c r="B310" s="20" t="s">
        <v>257</v>
      </c>
      <c r="C310" s="20" t="s">
        <v>3378</v>
      </c>
      <c r="D310" s="20" t="s">
        <v>216</v>
      </c>
      <c r="E310" s="13">
        <v>0</v>
      </c>
      <c r="F310" s="11">
        <v>0</v>
      </c>
      <c r="G310" s="13">
        <v>13799</v>
      </c>
      <c r="H310" s="11">
        <v>0</v>
      </c>
      <c r="I310" s="13">
        <f>E310+G310</f>
        <v>13799</v>
      </c>
      <c r="J310" s="11">
        <f>F310+H310</f>
        <v>0</v>
      </c>
      <c r="K310" s="13">
        <v>0</v>
      </c>
      <c r="L310" s="11">
        <v>0</v>
      </c>
      <c r="M310" s="11">
        <v>0</v>
      </c>
      <c r="N310" s="13">
        <v>2300.3000000000002</v>
      </c>
      <c r="O310" s="11">
        <v>1</v>
      </c>
      <c r="P310" s="11">
        <v>2</v>
      </c>
      <c r="Q310" s="13">
        <f>K310+N310</f>
        <v>2300.3000000000002</v>
      </c>
      <c r="R310" s="11">
        <f>L310+O310</f>
        <v>1</v>
      </c>
      <c r="S310" s="11">
        <f>M310+P310</f>
        <v>2</v>
      </c>
      <c r="T310" s="8">
        <f>I310-Q310</f>
        <v>11498.7</v>
      </c>
      <c r="U310" s="18">
        <v>3.4855489538169415E-2</v>
      </c>
      <c r="V310" s="11">
        <v>0.33</v>
      </c>
      <c r="W310" s="11">
        <v>1</v>
      </c>
      <c r="X310" s="11">
        <v>2</v>
      </c>
      <c r="Y310" s="11">
        <v>4</v>
      </c>
      <c r="Z310" t="s">
        <v>9</v>
      </c>
    </row>
    <row r="311" spans="1:26" x14ac:dyDescent="0.25">
      <c r="A311" s="20" t="s">
        <v>3413</v>
      </c>
      <c r="B311" s="20" t="s">
        <v>3342</v>
      </c>
      <c r="C311" s="20" t="s">
        <v>3344</v>
      </c>
      <c r="D311" s="20" t="s">
        <v>216</v>
      </c>
      <c r="E311" s="13">
        <v>0</v>
      </c>
      <c r="F311" s="11">
        <v>0</v>
      </c>
      <c r="G311" s="13">
        <v>0</v>
      </c>
      <c r="H311" s="11">
        <v>0</v>
      </c>
      <c r="I311" s="13">
        <f>E311+G311</f>
        <v>0</v>
      </c>
      <c r="J311" s="11">
        <f>F311+H311</f>
        <v>0</v>
      </c>
      <c r="K311" s="13">
        <v>0</v>
      </c>
      <c r="L311" s="11">
        <v>0</v>
      </c>
      <c r="M311" s="11">
        <v>0</v>
      </c>
      <c r="N311" s="13">
        <v>20887</v>
      </c>
      <c r="O311" s="11">
        <v>0</v>
      </c>
      <c r="P311" s="11">
        <v>0</v>
      </c>
      <c r="Q311" s="13">
        <f>K311+N311</f>
        <v>20887</v>
      </c>
      <c r="R311" s="11">
        <f>L311+O311</f>
        <v>0</v>
      </c>
      <c r="S311" s="11">
        <f>M311+P311</f>
        <v>0</v>
      </c>
      <c r="T311" s="8">
        <f>I311-Q311</f>
        <v>-20887</v>
      </c>
      <c r="U311" s="18">
        <v>-4.57935148870353E-2</v>
      </c>
      <c r="V311" s="11">
        <v>0</v>
      </c>
      <c r="W311" s="11">
        <v>0</v>
      </c>
      <c r="X311" s="11">
        <v>1</v>
      </c>
      <c r="Y311" s="11">
        <v>0</v>
      </c>
      <c r="Z311" t="s">
        <v>9</v>
      </c>
    </row>
    <row r="312" spans="1:26" x14ac:dyDescent="0.25">
      <c r="A312" s="20" t="s">
        <v>3572</v>
      </c>
      <c r="B312" s="20" t="s">
        <v>189</v>
      </c>
      <c r="C312" s="20" t="s">
        <v>625</v>
      </c>
      <c r="D312" s="20" t="s">
        <v>216</v>
      </c>
      <c r="E312" s="13">
        <v>0</v>
      </c>
      <c r="F312" s="11">
        <v>0</v>
      </c>
      <c r="G312" s="13">
        <v>19495</v>
      </c>
      <c r="H312" s="11">
        <v>1</v>
      </c>
      <c r="I312" s="13">
        <f>E312+G312</f>
        <v>19495</v>
      </c>
      <c r="J312" s="11">
        <f>F312+H312</f>
        <v>1</v>
      </c>
      <c r="K312" s="13">
        <v>0</v>
      </c>
      <c r="L312" s="11">
        <v>0</v>
      </c>
      <c r="M312" s="11">
        <v>0</v>
      </c>
      <c r="N312" s="13">
        <v>0</v>
      </c>
      <c r="O312" s="11">
        <v>0</v>
      </c>
      <c r="P312" s="11">
        <v>1</v>
      </c>
      <c r="Q312" s="13">
        <f>K312+N312</f>
        <v>0</v>
      </c>
      <c r="R312" s="11">
        <f>L312+O312</f>
        <v>0</v>
      </c>
      <c r="S312" s="11">
        <f>M312+P312</f>
        <v>1</v>
      </c>
      <c r="T312" s="8">
        <f>I312-Q312</f>
        <v>19495</v>
      </c>
      <c r="U312" s="18">
        <v>2.7509561709073396E-2</v>
      </c>
      <c r="V312" s="11">
        <v>0.1</v>
      </c>
      <c r="W312" s="11">
        <v>1</v>
      </c>
      <c r="X312" s="11">
        <v>9</v>
      </c>
      <c r="Y312" s="11">
        <v>4</v>
      </c>
      <c r="Z312" t="s">
        <v>9</v>
      </c>
    </row>
    <row r="313" spans="1:26" x14ac:dyDescent="0.25">
      <c r="A313" s="20" t="s">
        <v>3596</v>
      </c>
      <c r="B313" s="20" t="s">
        <v>189</v>
      </c>
      <c r="C313" s="20" t="s">
        <v>618</v>
      </c>
      <c r="D313" s="20" t="s">
        <v>216</v>
      </c>
      <c r="E313" s="13">
        <v>8292</v>
      </c>
      <c r="F313" s="11">
        <v>0</v>
      </c>
      <c r="G313" s="13">
        <v>0</v>
      </c>
      <c r="H313" s="11">
        <v>0</v>
      </c>
      <c r="I313" s="13">
        <f>E313+G313</f>
        <v>8292</v>
      </c>
      <c r="J313" s="11">
        <f>F313+H313</f>
        <v>0</v>
      </c>
      <c r="K313" s="13">
        <v>0</v>
      </c>
      <c r="L313" s="11">
        <v>0</v>
      </c>
      <c r="M313" s="11">
        <v>2</v>
      </c>
      <c r="N313" s="13">
        <v>0</v>
      </c>
      <c r="O313" s="11">
        <v>0</v>
      </c>
      <c r="P313" s="11">
        <v>1</v>
      </c>
      <c r="Q313" s="13">
        <f>K313+N313</f>
        <v>0</v>
      </c>
      <c r="R313" s="11">
        <f>L313+O313</f>
        <v>0</v>
      </c>
      <c r="S313" s="11">
        <f>M313+P313</f>
        <v>3</v>
      </c>
      <c r="T313" s="8">
        <f>I313-Q313</f>
        <v>8292</v>
      </c>
      <c r="U313" s="18">
        <v>0.74500651993448852</v>
      </c>
      <c r="V313" s="11">
        <v>0.17</v>
      </c>
      <c r="W313" s="11">
        <v>1</v>
      </c>
      <c r="X313" s="11">
        <v>5</v>
      </c>
      <c r="Y313" s="11">
        <v>0</v>
      </c>
      <c r="Z313" t="s">
        <v>9</v>
      </c>
    </row>
    <row r="314" spans="1:26" x14ac:dyDescent="0.25">
      <c r="A314" s="20" t="s">
        <v>3605</v>
      </c>
      <c r="B314" s="20" t="s">
        <v>189</v>
      </c>
      <c r="C314" s="20" t="s">
        <v>212</v>
      </c>
      <c r="D314" s="20" t="s">
        <v>216</v>
      </c>
      <c r="E314" s="13">
        <v>0</v>
      </c>
      <c r="F314" s="11">
        <v>0</v>
      </c>
      <c r="G314" s="13">
        <v>0</v>
      </c>
      <c r="H314" s="11">
        <v>0</v>
      </c>
      <c r="I314" s="13">
        <f>E314+G314</f>
        <v>0</v>
      </c>
      <c r="J314" s="11">
        <f>F314+H314</f>
        <v>0</v>
      </c>
      <c r="K314" s="13">
        <v>0</v>
      </c>
      <c r="L314" s="11">
        <v>0</v>
      </c>
      <c r="M314" s="11">
        <v>1</v>
      </c>
      <c r="N314" s="13">
        <v>0</v>
      </c>
      <c r="O314" s="11">
        <v>0</v>
      </c>
      <c r="P314" s="11">
        <v>0</v>
      </c>
      <c r="Q314" s="13">
        <f>K314+N314</f>
        <v>0</v>
      </c>
      <c r="R314" s="11">
        <f>L314+O314</f>
        <v>0</v>
      </c>
      <c r="S314" s="11">
        <f>M314+P314</f>
        <v>1</v>
      </c>
      <c r="T314" s="8">
        <f>I314-Q314</f>
        <v>0</v>
      </c>
      <c r="U314" s="18">
        <v>-1.2823589407680767</v>
      </c>
      <c r="V314" s="11">
        <v>0.17</v>
      </c>
      <c r="W314" s="11">
        <v>1</v>
      </c>
      <c r="X314" s="11">
        <v>5</v>
      </c>
      <c r="Y314" s="11">
        <v>1</v>
      </c>
      <c r="Z314" t="s">
        <v>9</v>
      </c>
    </row>
    <row r="315" spans="1:26" x14ac:dyDescent="0.25">
      <c r="A315" s="20" t="s">
        <v>3606</v>
      </c>
      <c r="B315" s="20" t="s">
        <v>189</v>
      </c>
      <c r="C315" s="20" t="s">
        <v>212</v>
      </c>
      <c r="D315" s="20" t="s">
        <v>216</v>
      </c>
      <c r="E315" s="13">
        <v>0</v>
      </c>
      <c r="F315" s="11">
        <v>0</v>
      </c>
      <c r="G315" s="13">
        <v>0</v>
      </c>
      <c r="H315" s="11">
        <v>0</v>
      </c>
      <c r="I315" s="13">
        <f>E315+G315</f>
        <v>0</v>
      </c>
      <c r="J315" s="11">
        <f>F315+H315</f>
        <v>0</v>
      </c>
      <c r="K315" s="13">
        <v>0</v>
      </c>
      <c r="L315" s="11">
        <v>0</v>
      </c>
      <c r="M315" s="11">
        <v>0</v>
      </c>
      <c r="N315" s="13">
        <v>0</v>
      </c>
      <c r="O315" s="11">
        <v>0</v>
      </c>
      <c r="P315" s="11">
        <v>0</v>
      </c>
      <c r="Q315" s="13">
        <f>K315+N315</f>
        <v>0</v>
      </c>
      <c r="R315" s="11">
        <f>L315+O315</f>
        <v>0</v>
      </c>
      <c r="S315" s="11">
        <f>M315+P315</f>
        <v>0</v>
      </c>
      <c r="T315" s="8">
        <f>I315-Q315</f>
        <v>0</v>
      </c>
      <c r="U315" s="18" t="s">
        <v>1803</v>
      </c>
      <c r="V315" s="11">
        <v>0</v>
      </c>
      <c r="W315" s="11">
        <v>0</v>
      </c>
      <c r="X315" s="11">
        <v>0</v>
      </c>
      <c r="Y315" s="11">
        <v>0</v>
      </c>
      <c r="Z315" t="s">
        <v>9</v>
      </c>
    </row>
    <row r="316" spans="1:26" x14ac:dyDescent="0.25">
      <c r="A316" s="20" t="s">
        <v>1066</v>
      </c>
      <c r="B316" s="20" t="s">
        <v>1066</v>
      </c>
      <c r="C316" s="20" t="s">
        <v>1067</v>
      </c>
      <c r="D316" s="20" t="s">
        <v>216</v>
      </c>
      <c r="E316" s="13">
        <v>0</v>
      </c>
      <c r="F316" s="11">
        <v>0</v>
      </c>
      <c r="G316" s="13">
        <v>0</v>
      </c>
      <c r="H316" s="11">
        <v>0</v>
      </c>
      <c r="I316" s="13">
        <f>E316+G316</f>
        <v>0</v>
      </c>
      <c r="J316" s="11">
        <f>F316+H316</f>
        <v>0</v>
      </c>
      <c r="K316" s="13">
        <v>0</v>
      </c>
      <c r="L316" s="11">
        <v>0</v>
      </c>
      <c r="M316" s="11">
        <v>0</v>
      </c>
      <c r="N316" s="13">
        <v>0</v>
      </c>
      <c r="O316" s="11">
        <v>0</v>
      </c>
      <c r="P316" s="11">
        <v>0</v>
      </c>
      <c r="Q316" s="13">
        <f>K316+N316</f>
        <v>0</v>
      </c>
      <c r="R316" s="11">
        <f>L316+O316</f>
        <v>0</v>
      </c>
      <c r="S316" s="11">
        <f>M316+P316</f>
        <v>0</v>
      </c>
      <c r="T316" s="8">
        <f>I316-Q316</f>
        <v>0</v>
      </c>
      <c r="U316" s="18">
        <v>-9.3201963415339095E-2</v>
      </c>
      <c r="V316" s="11">
        <v>0</v>
      </c>
      <c r="W316" s="11">
        <v>0</v>
      </c>
      <c r="X316" s="11">
        <v>0</v>
      </c>
      <c r="Y316" s="11">
        <v>1</v>
      </c>
      <c r="Z316" t="s">
        <v>3428</v>
      </c>
    </row>
    <row r="317" spans="1:26" x14ac:dyDescent="0.25">
      <c r="A317" s="20" t="s">
        <v>3431</v>
      </c>
      <c r="B317" s="20" t="s">
        <v>60</v>
      </c>
      <c r="C317" s="20" t="s">
        <v>3432</v>
      </c>
      <c r="D317" s="20" t="s">
        <v>216</v>
      </c>
      <c r="E317" s="13">
        <v>0</v>
      </c>
      <c r="F317" s="11">
        <v>0</v>
      </c>
      <c r="G317" s="13">
        <v>0</v>
      </c>
      <c r="H317" s="11">
        <v>0</v>
      </c>
      <c r="I317" s="13">
        <f>E317+G317</f>
        <v>0</v>
      </c>
      <c r="J317" s="11">
        <f>F317+H317</f>
        <v>0</v>
      </c>
      <c r="K317" s="13">
        <v>0</v>
      </c>
      <c r="L317" s="11">
        <v>0</v>
      </c>
      <c r="M317" s="11">
        <v>0</v>
      </c>
      <c r="N317" s="13">
        <v>0</v>
      </c>
      <c r="O317" s="11">
        <v>0</v>
      </c>
      <c r="P317" s="11">
        <v>0</v>
      </c>
      <c r="Q317" s="13">
        <f>K317+N317</f>
        <v>0</v>
      </c>
      <c r="R317" s="11">
        <f>L317+O317</f>
        <v>0</v>
      </c>
      <c r="S317" s="11">
        <f>M317+P317</f>
        <v>0</v>
      </c>
      <c r="T317" s="8">
        <f>I317-Q317</f>
        <v>0</v>
      </c>
      <c r="U317" s="18" t="s">
        <v>1803</v>
      </c>
      <c r="V317" s="11">
        <v>0</v>
      </c>
      <c r="W317" s="11">
        <v>0</v>
      </c>
      <c r="X317" s="11">
        <v>0</v>
      </c>
      <c r="Y317" s="11">
        <v>0</v>
      </c>
      <c r="Z317" t="s">
        <v>3428</v>
      </c>
    </row>
    <row r="318" spans="1:26" x14ac:dyDescent="0.25">
      <c r="A318" s="20" t="s">
        <v>3433</v>
      </c>
      <c r="B318" s="20" t="s">
        <v>60</v>
      </c>
      <c r="C318" s="20" t="s">
        <v>3434</v>
      </c>
      <c r="D318" s="20" t="s">
        <v>216</v>
      </c>
      <c r="E318" s="13">
        <v>0</v>
      </c>
      <c r="F318" s="11">
        <v>0</v>
      </c>
      <c r="G318" s="13">
        <v>0</v>
      </c>
      <c r="H318" s="11">
        <v>0</v>
      </c>
      <c r="I318" s="13">
        <f>E318+G318</f>
        <v>0</v>
      </c>
      <c r="J318" s="11">
        <f>F318+H318</f>
        <v>0</v>
      </c>
      <c r="K318" s="13">
        <v>0</v>
      </c>
      <c r="L318" s="11">
        <v>0</v>
      </c>
      <c r="M318" s="11">
        <v>0</v>
      </c>
      <c r="N318" s="13">
        <v>0</v>
      </c>
      <c r="O318" s="11">
        <v>0</v>
      </c>
      <c r="P318" s="11">
        <v>0</v>
      </c>
      <c r="Q318" s="13">
        <f>K318+N318</f>
        <v>0</v>
      </c>
      <c r="R318" s="11">
        <f>L318+O318</f>
        <v>0</v>
      </c>
      <c r="S318" s="11">
        <f>M318+P318</f>
        <v>0</v>
      </c>
      <c r="T318" s="8">
        <f>I318-Q318</f>
        <v>0</v>
      </c>
      <c r="U318" s="18" t="s">
        <v>1803</v>
      </c>
      <c r="V318" s="11">
        <v>0</v>
      </c>
      <c r="W318" s="11">
        <v>0</v>
      </c>
      <c r="X318" s="11">
        <v>0</v>
      </c>
      <c r="Y318" s="11">
        <v>0</v>
      </c>
      <c r="Z318" t="s">
        <v>3428</v>
      </c>
    </row>
    <row r="319" spans="1:26" x14ac:dyDescent="0.25">
      <c r="A319" s="20" t="s">
        <v>3435</v>
      </c>
      <c r="B319" s="20" t="s">
        <v>60</v>
      </c>
      <c r="C319" s="20" t="s">
        <v>3436</v>
      </c>
      <c r="D319" s="20" t="s">
        <v>216</v>
      </c>
      <c r="E319" s="13">
        <v>0</v>
      </c>
      <c r="F319" s="11">
        <v>0</v>
      </c>
      <c r="G319" s="13">
        <v>0</v>
      </c>
      <c r="H319" s="11">
        <v>0</v>
      </c>
      <c r="I319" s="13">
        <f>E319+G319</f>
        <v>0</v>
      </c>
      <c r="J319" s="11">
        <f>F319+H319</f>
        <v>0</v>
      </c>
      <c r="K319" s="13">
        <v>0</v>
      </c>
      <c r="L319" s="11">
        <v>0</v>
      </c>
      <c r="M319" s="11">
        <v>0</v>
      </c>
      <c r="N319" s="13">
        <v>0</v>
      </c>
      <c r="O319" s="11">
        <v>0</v>
      </c>
      <c r="P319" s="11">
        <v>0</v>
      </c>
      <c r="Q319" s="13">
        <f>K319+N319</f>
        <v>0</v>
      </c>
      <c r="R319" s="11">
        <f>L319+O319</f>
        <v>0</v>
      </c>
      <c r="S319" s="11">
        <f>M319+P319</f>
        <v>0</v>
      </c>
      <c r="T319" s="8">
        <f>I319-Q319</f>
        <v>0</v>
      </c>
      <c r="U319" s="18" t="s">
        <v>1803</v>
      </c>
      <c r="V319" s="11">
        <v>0</v>
      </c>
      <c r="W319" s="11">
        <v>0</v>
      </c>
      <c r="X319" s="11">
        <v>0</v>
      </c>
      <c r="Y319" s="11">
        <v>0</v>
      </c>
      <c r="Z319" t="s">
        <v>3428</v>
      </c>
    </row>
    <row r="320" spans="1:26" x14ac:dyDescent="0.25">
      <c r="A320" s="20" t="s">
        <v>1087</v>
      </c>
      <c r="B320" s="20" t="s">
        <v>1088</v>
      </c>
      <c r="C320" s="20" t="s">
        <v>1089</v>
      </c>
      <c r="D320" s="20" t="s">
        <v>216</v>
      </c>
      <c r="E320" s="13">
        <v>0</v>
      </c>
      <c r="F320" s="11">
        <v>0</v>
      </c>
      <c r="G320" s="13">
        <v>0</v>
      </c>
      <c r="H320" s="11">
        <v>0</v>
      </c>
      <c r="I320" s="13">
        <f>E320+G320</f>
        <v>0</v>
      </c>
      <c r="J320" s="11">
        <f>F320+H320</f>
        <v>0</v>
      </c>
      <c r="K320" s="13">
        <v>0</v>
      </c>
      <c r="L320" s="11">
        <v>0</v>
      </c>
      <c r="M320" s="11">
        <v>1</v>
      </c>
      <c r="N320" s="13">
        <v>0</v>
      </c>
      <c r="O320" s="11">
        <v>0</v>
      </c>
      <c r="P320" s="11">
        <v>0</v>
      </c>
      <c r="Q320" s="13">
        <f>K320+N320</f>
        <v>0</v>
      </c>
      <c r="R320" s="11">
        <f>L320+O320</f>
        <v>0</v>
      </c>
      <c r="S320" s="11">
        <f>M320+P320</f>
        <v>1</v>
      </c>
      <c r="T320" s="8">
        <f>I320-Q320</f>
        <v>0</v>
      </c>
      <c r="U320" s="18">
        <v>-0.20404074771421241</v>
      </c>
      <c r="V320" s="11">
        <v>0.12</v>
      </c>
      <c r="W320" s="11">
        <v>1</v>
      </c>
      <c r="X320" s="11">
        <v>7</v>
      </c>
      <c r="Y320" s="11">
        <v>2</v>
      </c>
      <c r="Z320" t="s">
        <v>3428</v>
      </c>
    </row>
    <row r="321" spans="1:26" x14ac:dyDescent="0.25">
      <c r="A321" s="20" t="s">
        <v>3437</v>
      </c>
      <c r="B321" s="20" t="s">
        <v>60</v>
      </c>
      <c r="C321" s="20" t="s">
        <v>3438</v>
      </c>
      <c r="D321" s="20" t="s">
        <v>216</v>
      </c>
      <c r="E321" s="13">
        <v>0</v>
      </c>
      <c r="F321" s="11">
        <v>0</v>
      </c>
      <c r="G321" s="13">
        <v>0</v>
      </c>
      <c r="H321" s="11">
        <v>0</v>
      </c>
      <c r="I321" s="13">
        <f>E321+G321</f>
        <v>0</v>
      </c>
      <c r="J321" s="11">
        <f>F321+H321</f>
        <v>0</v>
      </c>
      <c r="K321" s="13">
        <v>0</v>
      </c>
      <c r="L321" s="11">
        <v>0</v>
      </c>
      <c r="M321" s="11">
        <v>0</v>
      </c>
      <c r="N321" s="13">
        <v>0</v>
      </c>
      <c r="O321" s="11">
        <v>0</v>
      </c>
      <c r="P321" s="11">
        <v>0</v>
      </c>
      <c r="Q321" s="13">
        <f>K321+N321</f>
        <v>0</v>
      </c>
      <c r="R321" s="11">
        <f>L321+O321</f>
        <v>0</v>
      </c>
      <c r="S321" s="11">
        <f>M321+P321</f>
        <v>0</v>
      </c>
      <c r="T321" s="8">
        <f>I321-Q321</f>
        <v>0</v>
      </c>
      <c r="U321" s="18" t="s">
        <v>1803</v>
      </c>
      <c r="V321" s="11">
        <v>0</v>
      </c>
      <c r="W321" s="11">
        <v>0</v>
      </c>
      <c r="X321" s="11">
        <v>0</v>
      </c>
      <c r="Y321" s="11">
        <v>0</v>
      </c>
      <c r="Z321" t="s">
        <v>3428</v>
      </c>
    </row>
    <row r="322" spans="1:26" x14ac:dyDescent="0.25">
      <c r="A322" s="20" t="s">
        <v>3597</v>
      </c>
      <c r="B322" s="20" t="s">
        <v>60</v>
      </c>
      <c r="C322" s="20" t="s">
        <v>3598</v>
      </c>
      <c r="D322" s="20" t="s">
        <v>216</v>
      </c>
      <c r="E322" s="13">
        <v>0</v>
      </c>
      <c r="F322" s="11">
        <v>0</v>
      </c>
      <c r="G322" s="13">
        <v>0</v>
      </c>
      <c r="H322" s="11">
        <v>0</v>
      </c>
      <c r="I322" s="13">
        <f>E322+G322</f>
        <v>0</v>
      </c>
      <c r="J322" s="11">
        <f>F322+H322</f>
        <v>0</v>
      </c>
      <c r="K322" s="13">
        <v>0</v>
      </c>
      <c r="L322" s="11">
        <v>0</v>
      </c>
      <c r="M322" s="11">
        <v>0</v>
      </c>
      <c r="N322" s="13">
        <v>0</v>
      </c>
      <c r="O322" s="11">
        <v>0</v>
      </c>
      <c r="P322" s="11">
        <v>0</v>
      </c>
      <c r="Q322" s="13">
        <f>K322+N322</f>
        <v>0</v>
      </c>
      <c r="R322" s="11">
        <f>L322+O322</f>
        <v>0</v>
      </c>
      <c r="S322" s="11">
        <f>M322+P322</f>
        <v>0</v>
      </c>
      <c r="T322" s="8">
        <f>I322-Q322</f>
        <v>0</v>
      </c>
      <c r="U322" s="18" t="s">
        <v>1803</v>
      </c>
      <c r="V322" s="11">
        <v>0</v>
      </c>
      <c r="W322" s="11">
        <v>0</v>
      </c>
      <c r="X322" s="11">
        <v>0</v>
      </c>
      <c r="Y322" s="11">
        <v>0</v>
      </c>
      <c r="Z322" t="s">
        <v>3428</v>
      </c>
    </row>
    <row r="323" spans="1:26" x14ac:dyDescent="0.25">
      <c r="A323" s="20" t="s">
        <v>1119</v>
      </c>
      <c r="B323" s="20" t="s">
        <v>60</v>
      </c>
      <c r="C323" s="20" t="s">
        <v>3439</v>
      </c>
      <c r="D323" s="20" t="s">
        <v>216</v>
      </c>
      <c r="E323" s="13">
        <v>0</v>
      </c>
      <c r="F323" s="11">
        <v>0</v>
      </c>
      <c r="G323" s="13">
        <v>0</v>
      </c>
      <c r="H323" s="11">
        <v>0</v>
      </c>
      <c r="I323" s="13">
        <f>E323+G323</f>
        <v>0</v>
      </c>
      <c r="J323" s="11">
        <f>F323+H323</f>
        <v>0</v>
      </c>
      <c r="K323" s="13">
        <v>0</v>
      </c>
      <c r="L323" s="11">
        <v>0</v>
      </c>
      <c r="M323" s="11">
        <v>4</v>
      </c>
      <c r="N323" s="13">
        <v>4378</v>
      </c>
      <c r="O323" s="11">
        <v>0</v>
      </c>
      <c r="P323" s="11">
        <v>0</v>
      </c>
      <c r="Q323" s="13">
        <f>K323+N323</f>
        <v>4378</v>
      </c>
      <c r="R323" s="11">
        <f>L323+O323</f>
        <v>0</v>
      </c>
      <c r="S323" s="11">
        <f>M323+P323</f>
        <v>4</v>
      </c>
      <c r="T323" s="8">
        <f>I323-Q323</f>
        <v>-4378</v>
      </c>
      <c r="U323" s="18">
        <v>0.15049677454372778</v>
      </c>
      <c r="V323" s="11">
        <v>0.28999999999999998</v>
      </c>
      <c r="W323" s="11">
        <v>4</v>
      </c>
      <c r="X323" s="11">
        <v>10</v>
      </c>
      <c r="Y323" s="11">
        <v>4</v>
      </c>
      <c r="Z323" t="s">
        <v>3428</v>
      </c>
    </row>
    <row r="324" spans="1:26" x14ac:dyDescent="0.25">
      <c r="A324" s="20" t="s">
        <v>1125</v>
      </c>
      <c r="B324" s="20" t="s">
        <v>60</v>
      </c>
      <c r="C324" s="20" t="s">
        <v>3440</v>
      </c>
      <c r="D324" s="20" t="s">
        <v>216</v>
      </c>
      <c r="E324" s="13">
        <v>0</v>
      </c>
      <c r="F324" s="11">
        <v>0</v>
      </c>
      <c r="G324" s="13">
        <v>0</v>
      </c>
      <c r="H324" s="11">
        <v>0</v>
      </c>
      <c r="I324" s="13">
        <f>E324+G324</f>
        <v>0</v>
      </c>
      <c r="J324" s="11">
        <f>F324+H324</f>
        <v>0</v>
      </c>
      <c r="K324" s="13">
        <v>0</v>
      </c>
      <c r="L324" s="11">
        <v>0</v>
      </c>
      <c r="M324" s="11">
        <v>0</v>
      </c>
      <c r="N324" s="13">
        <v>0</v>
      </c>
      <c r="O324" s="11">
        <v>0</v>
      </c>
      <c r="P324" s="11">
        <v>0</v>
      </c>
      <c r="Q324" s="13">
        <f>K324+N324</f>
        <v>0</v>
      </c>
      <c r="R324" s="11">
        <f>L324+O324</f>
        <v>0</v>
      </c>
      <c r="S324" s="11">
        <f>M324+P324</f>
        <v>0</v>
      </c>
      <c r="T324" s="8">
        <f>I324-Q324</f>
        <v>0</v>
      </c>
      <c r="U324" s="18">
        <v>-1.8359580358237197E-2</v>
      </c>
      <c r="V324" s="11">
        <v>0</v>
      </c>
      <c r="W324" s="11">
        <v>0</v>
      </c>
      <c r="X324" s="11">
        <v>2</v>
      </c>
      <c r="Y324" s="11">
        <v>1</v>
      </c>
      <c r="Z324" t="s">
        <v>3428</v>
      </c>
    </row>
    <row r="325" spans="1:26" x14ac:dyDescent="0.25">
      <c r="A325" s="20" t="s">
        <v>3441</v>
      </c>
      <c r="B325" s="20" t="s">
        <v>60</v>
      </c>
      <c r="C325" s="20" t="s">
        <v>3442</v>
      </c>
      <c r="D325" s="20" t="s">
        <v>216</v>
      </c>
      <c r="E325" s="13">
        <v>0</v>
      </c>
      <c r="F325" s="11">
        <v>0</v>
      </c>
      <c r="G325" s="13">
        <v>0</v>
      </c>
      <c r="H325" s="11">
        <v>0</v>
      </c>
      <c r="I325" s="13">
        <f>E325+G325</f>
        <v>0</v>
      </c>
      <c r="J325" s="11">
        <f>F325+H325</f>
        <v>0</v>
      </c>
      <c r="K325" s="13">
        <v>0</v>
      </c>
      <c r="L325" s="11">
        <v>0</v>
      </c>
      <c r="M325" s="11">
        <v>0</v>
      </c>
      <c r="N325" s="13">
        <v>0</v>
      </c>
      <c r="O325" s="11">
        <v>0</v>
      </c>
      <c r="P325" s="11">
        <v>0</v>
      </c>
      <c r="Q325" s="13">
        <f>K325+N325</f>
        <v>0</v>
      </c>
      <c r="R325" s="11">
        <f>L325+O325</f>
        <v>0</v>
      </c>
      <c r="S325" s="11">
        <f>M325+P325</f>
        <v>0</v>
      </c>
      <c r="T325" s="8">
        <f>I325-Q325</f>
        <v>0</v>
      </c>
      <c r="U325" s="18" t="s">
        <v>1803</v>
      </c>
      <c r="V325" s="11">
        <v>0</v>
      </c>
      <c r="W325" s="11">
        <v>0</v>
      </c>
      <c r="X325" s="11">
        <v>0</v>
      </c>
      <c r="Y325" s="11">
        <v>0</v>
      </c>
      <c r="Z325" t="s">
        <v>3428</v>
      </c>
    </row>
    <row r="326" spans="1:26" x14ac:dyDescent="0.25">
      <c r="A326" s="20" t="s">
        <v>3443</v>
      </c>
      <c r="B326" s="20" t="s">
        <v>60</v>
      </c>
      <c r="C326" s="20" t="s">
        <v>3444</v>
      </c>
      <c r="D326" s="20" t="s">
        <v>216</v>
      </c>
      <c r="E326" s="13">
        <v>0</v>
      </c>
      <c r="F326" s="11">
        <v>0</v>
      </c>
      <c r="G326" s="13">
        <v>0</v>
      </c>
      <c r="H326" s="11">
        <v>0</v>
      </c>
      <c r="I326" s="13">
        <f>E326+G326</f>
        <v>0</v>
      </c>
      <c r="J326" s="11">
        <f>F326+H326</f>
        <v>0</v>
      </c>
      <c r="K326" s="13">
        <v>0</v>
      </c>
      <c r="L326" s="11">
        <v>0</v>
      </c>
      <c r="M326" s="11">
        <v>0</v>
      </c>
      <c r="N326" s="13">
        <v>0</v>
      </c>
      <c r="O326" s="11">
        <v>0</v>
      </c>
      <c r="P326" s="11">
        <v>0</v>
      </c>
      <c r="Q326" s="13">
        <f>K326+N326</f>
        <v>0</v>
      </c>
      <c r="R326" s="11">
        <f>L326+O326</f>
        <v>0</v>
      </c>
      <c r="S326" s="11">
        <f>M326+P326</f>
        <v>0</v>
      </c>
      <c r="T326" s="8">
        <f>I326-Q326</f>
        <v>0</v>
      </c>
      <c r="U326" s="18" t="s">
        <v>1803</v>
      </c>
      <c r="V326" s="11">
        <v>0</v>
      </c>
      <c r="W326" s="11">
        <v>0</v>
      </c>
      <c r="X326" s="11">
        <v>0</v>
      </c>
      <c r="Y326" s="11">
        <v>0</v>
      </c>
      <c r="Z326" t="s">
        <v>3428</v>
      </c>
    </row>
    <row r="327" spans="1:26" x14ac:dyDescent="0.25">
      <c r="A327" s="20" t="s">
        <v>3445</v>
      </c>
      <c r="B327" s="20" t="s">
        <v>60</v>
      </c>
      <c r="C327" s="20" t="s">
        <v>3446</v>
      </c>
      <c r="D327" s="20" t="s">
        <v>216</v>
      </c>
      <c r="E327" s="13">
        <v>0</v>
      </c>
      <c r="F327" s="11">
        <v>0</v>
      </c>
      <c r="G327" s="13">
        <v>0</v>
      </c>
      <c r="H327" s="11">
        <v>0</v>
      </c>
      <c r="I327" s="13">
        <f>E327+G327</f>
        <v>0</v>
      </c>
      <c r="J327" s="11">
        <f>F327+H327</f>
        <v>0</v>
      </c>
      <c r="K327" s="13">
        <v>0</v>
      </c>
      <c r="L327" s="11">
        <v>0</v>
      </c>
      <c r="M327" s="11">
        <v>0</v>
      </c>
      <c r="N327" s="13">
        <v>0</v>
      </c>
      <c r="O327" s="11">
        <v>0</v>
      </c>
      <c r="P327" s="11">
        <v>0</v>
      </c>
      <c r="Q327" s="13">
        <f>K327+N327</f>
        <v>0</v>
      </c>
      <c r="R327" s="11">
        <f>L327+O327</f>
        <v>0</v>
      </c>
      <c r="S327" s="11">
        <f>M327+P327</f>
        <v>0</v>
      </c>
      <c r="T327" s="8">
        <f>I327-Q327</f>
        <v>0</v>
      </c>
      <c r="U327" s="18" t="s">
        <v>1803</v>
      </c>
      <c r="V327" s="11">
        <v>0</v>
      </c>
      <c r="W327" s="11">
        <v>0</v>
      </c>
      <c r="X327" s="11">
        <v>0</v>
      </c>
      <c r="Y327" s="11">
        <v>0</v>
      </c>
      <c r="Z327" t="s">
        <v>3428</v>
      </c>
    </row>
    <row r="328" spans="1:26" x14ac:dyDescent="0.25">
      <c r="A328" s="20" t="s">
        <v>1229</v>
      </c>
      <c r="B328" s="20" t="s">
        <v>1199</v>
      </c>
      <c r="C328" s="20" t="s">
        <v>3447</v>
      </c>
      <c r="D328" s="20" t="s">
        <v>216</v>
      </c>
      <c r="E328" s="13">
        <v>5035</v>
      </c>
      <c r="F328" s="11">
        <v>0</v>
      </c>
      <c r="G328" s="13">
        <v>54</v>
      </c>
      <c r="H328" s="11">
        <v>0</v>
      </c>
      <c r="I328" s="13">
        <f>E328+G328</f>
        <v>5089</v>
      </c>
      <c r="J328" s="11">
        <f>F328+H328</f>
        <v>0</v>
      </c>
      <c r="K328" s="13">
        <v>4768</v>
      </c>
      <c r="L328" s="11">
        <v>0</v>
      </c>
      <c r="M328" s="11">
        <v>0</v>
      </c>
      <c r="N328" s="13">
        <v>0</v>
      </c>
      <c r="O328" s="11">
        <v>0</v>
      </c>
      <c r="P328" s="11">
        <v>0</v>
      </c>
      <c r="Q328" s="13">
        <f>K328+N328</f>
        <v>4768</v>
      </c>
      <c r="R328" s="11">
        <f>L328+O328</f>
        <v>0</v>
      </c>
      <c r="S328" s="11">
        <f>M328+P328</f>
        <v>0</v>
      </c>
      <c r="T328" s="8">
        <f>I328-Q328</f>
        <v>321</v>
      </c>
      <c r="U328" s="18">
        <v>0.3526225748138152</v>
      </c>
      <c r="V328" s="11">
        <v>0</v>
      </c>
      <c r="W328" s="11">
        <v>0</v>
      </c>
      <c r="X328" s="11">
        <v>1</v>
      </c>
      <c r="Y328" s="11">
        <v>0</v>
      </c>
      <c r="Z328" t="s">
        <v>3428</v>
      </c>
    </row>
    <row r="329" spans="1:26" x14ac:dyDescent="0.25">
      <c r="A329" s="20" t="s">
        <v>3448</v>
      </c>
      <c r="B329" s="20" t="s">
        <v>60</v>
      </c>
      <c r="C329" s="20" t="s">
        <v>3449</v>
      </c>
      <c r="D329" s="20" t="s">
        <v>216</v>
      </c>
      <c r="E329" s="13">
        <v>0</v>
      </c>
      <c r="F329" s="11">
        <v>0</v>
      </c>
      <c r="G329" s="13">
        <v>0</v>
      </c>
      <c r="H329" s="11">
        <v>0</v>
      </c>
      <c r="I329" s="13">
        <f>E329+G329</f>
        <v>0</v>
      </c>
      <c r="J329" s="11">
        <f>F329+H329</f>
        <v>0</v>
      </c>
      <c r="K329" s="13">
        <v>0</v>
      </c>
      <c r="L329" s="11">
        <v>0</v>
      </c>
      <c r="M329" s="11">
        <v>0</v>
      </c>
      <c r="N329" s="13">
        <v>0</v>
      </c>
      <c r="O329" s="11">
        <v>0</v>
      </c>
      <c r="P329" s="11">
        <v>0</v>
      </c>
      <c r="Q329" s="13">
        <f>K329+N329</f>
        <v>0</v>
      </c>
      <c r="R329" s="11">
        <f>L329+O329</f>
        <v>0</v>
      </c>
      <c r="S329" s="11">
        <f>M329+P329</f>
        <v>0</v>
      </c>
      <c r="T329" s="8">
        <f>I329-Q329</f>
        <v>0</v>
      </c>
      <c r="U329" s="18" t="s">
        <v>1803</v>
      </c>
      <c r="V329" s="11">
        <v>0</v>
      </c>
      <c r="W329" s="11">
        <v>0</v>
      </c>
      <c r="X329" s="11">
        <v>0</v>
      </c>
      <c r="Y329" s="11">
        <v>0</v>
      </c>
      <c r="Z329" t="s">
        <v>3428</v>
      </c>
    </row>
    <row r="330" spans="1:26" x14ac:dyDescent="0.25">
      <c r="A330" s="20" t="s">
        <v>1137</v>
      </c>
      <c r="B330" s="20" t="s">
        <v>1088</v>
      </c>
      <c r="C330" s="20" t="s">
        <v>3450</v>
      </c>
      <c r="D330" s="20" t="s">
        <v>216</v>
      </c>
      <c r="E330" s="13">
        <v>0</v>
      </c>
      <c r="F330" s="11">
        <v>0</v>
      </c>
      <c r="G330" s="13">
        <v>0</v>
      </c>
      <c r="H330" s="11">
        <v>0</v>
      </c>
      <c r="I330" s="13">
        <f>E330+G330</f>
        <v>0</v>
      </c>
      <c r="J330" s="11">
        <f>F330+H330</f>
        <v>0</v>
      </c>
      <c r="K330" s="13">
        <v>0</v>
      </c>
      <c r="L330" s="11">
        <v>0</v>
      </c>
      <c r="M330" s="11">
        <v>0</v>
      </c>
      <c r="N330" s="13">
        <v>0</v>
      </c>
      <c r="O330" s="11">
        <v>0</v>
      </c>
      <c r="P330" s="11">
        <v>0</v>
      </c>
      <c r="Q330" s="13">
        <f>K330+N330</f>
        <v>0</v>
      </c>
      <c r="R330" s="11">
        <f>L330+O330</f>
        <v>0</v>
      </c>
      <c r="S330" s="11">
        <f>M330+P330</f>
        <v>0</v>
      </c>
      <c r="T330" s="8">
        <f>I330-Q330</f>
        <v>0</v>
      </c>
      <c r="U330" s="18" t="s">
        <v>1803</v>
      </c>
      <c r="V330" s="11">
        <v>0</v>
      </c>
      <c r="W330" s="11">
        <v>0</v>
      </c>
      <c r="X330" s="11">
        <v>0</v>
      </c>
      <c r="Y330" s="11">
        <v>0</v>
      </c>
      <c r="Z330" t="s">
        <v>3428</v>
      </c>
    </row>
    <row r="331" spans="1:26" x14ac:dyDescent="0.25">
      <c r="A331" s="20" t="s">
        <v>3451</v>
      </c>
      <c r="B331" s="20" t="s">
        <v>60</v>
      </c>
      <c r="C331" s="20" t="s">
        <v>3452</v>
      </c>
      <c r="D331" s="20" t="s">
        <v>216</v>
      </c>
      <c r="E331" s="13">
        <v>0</v>
      </c>
      <c r="F331" s="11">
        <v>0</v>
      </c>
      <c r="G331" s="13">
        <v>0</v>
      </c>
      <c r="H331" s="11">
        <v>0</v>
      </c>
      <c r="I331" s="13">
        <f>E331+G331</f>
        <v>0</v>
      </c>
      <c r="J331" s="11">
        <f>F331+H331</f>
        <v>0</v>
      </c>
      <c r="K331" s="13">
        <v>0</v>
      </c>
      <c r="L331" s="11">
        <v>0</v>
      </c>
      <c r="M331" s="11">
        <v>0</v>
      </c>
      <c r="N331" s="13">
        <v>0</v>
      </c>
      <c r="O331" s="11">
        <v>0</v>
      </c>
      <c r="P331" s="11">
        <v>0</v>
      </c>
      <c r="Q331" s="13">
        <f>K331+N331</f>
        <v>0</v>
      </c>
      <c r="R331" s="11">
        <f>L331+O331</f>
        <v>0</v>
      </c>
      <c r="S331" s="11">
        <f>M331+P331</f>
        <v>0</v>
      </c>
      <c r="T331" s="8">
        <f>I331-Q331</f>
        <v>0</v>
      </c>
      <c r="U331" s="18" t="s">
        <v>1803</v>
      </c>
      <c r="V331" s="11">
        <v>0</v>
      </c>
      <c r="W331" s="11">
        <v>0</v>
      </c>
      <c r="X331" s="11">
        <v>0</v>
      </c>
      <c r="Y331" s="11">
        <v>0</v>
      </c>
      <c r="Z331" t="s">
        <v>3428</v>
      </c>
    </row>
    <row r="332" spans="1:26" x14ac:dyDescent="0.25">
      <c r="A332" s="20" t="s">
        <v>3453</v>
      </c>
      <c r="B332" s="20" t="s">
        <v>60</v>
      </c>
      <c r="C332" s="20" t="s">
        <v>3454</v>
      </c>
      <c r="D332" s="20" t="s">
        <v>216</v>
      </c>
      <c r="E332" s="13">
        <v>0</v>
      </c>
      <c r="F332" s="11">
        <v>0</v>
      </c>
      <c r="G332" s="13">
        <v>0</v>
      </c>
      <c r="H332" s="11">
        <v>0</v>
      </c>
      <c r="I332" s="13">
        <f>E332+G332</f>
        <v>0</v>
      </c>
      <c r="J332" s="11">
        <f>F332+H332</f>
        <v>0</v>
      </c>
      <c r="K332" s="13">
        <v>0</v>
      </c>
      <c r="L332" s="11">
        <v>0</v>
      </c>
      <c r="M332" s="11">
        <v>0</v>
      </c>
      <c r="N332" s="13">
        <v>0</v>
      </c>
      <c r="O332" s="11">
        <v>0</v>
      </c>
      <c r="P332" s="11">
        <v>0</v>
      </c>
      <c r="Q332" s="13">
        <f>K332+N332</f>
        <v>0</v>
      </c>
      <c r="R332" s="11">
        <f>L332+O332</f>
        <v>0</v>
      </c>
      <c r="S332" s="11">
        <f>M332+P332</f>
        <v>0</v>
      </c>
      <c r="T332" s="8">
        <f>I332-Q332</f>
        <v>0</v>
      </c>
      <c r="U332" s="18" t="s">
        <v>1803</v>
      </c>
      <c r="V332" s="11">
        <v>0</v>
      </c>
      <c r="W332" s="11">
        <v>0</v>
      </c>
      <c r="X332" s="11">
        <v>0</v>
      </c>
      <c r="Y332" s="11">
        <v>0</v>
      </c>
      <c r="Z332" t="s">
        <v>3428</v>
      </c>
    </row>
    <row r="333" spans="1:26" x14ac:dyDescent="0.25">
      <c r="A333" s="20" t="s">
        <v>3455</v>
      </c>
      <c r="B333" s="20" t="s">
        <v>60</v>
      </c>
      <c r="C333" s="20" t="s">
        <v>3456</v>
      </c>
      <c r="D333" s="20" t="s">
        <v>216</v>
      </c>
      <c r="E333" s="13">
        <v>0</v>
      </c>
      <c r="F333" s="11">
        <v>0</v>
      </c>
      <c r="G333" s="13">
        <v>0</v>
      </c>
      <c r="H333" s="11">
        <v>0</v>
      </c>
      <c r="I333" s="13">
        <f>E333+G333</f>
        <v>0</v>
      </c>
      <c r="J333" s="11">
        <f>F333+H333</f>
        <v>0</v>
      </c>
      <c r="K333" s="13">
        <v>0</v>
      </c>
      <c r="L333" s="11">
        <v>0</v>
      </c>
      <c r="M333" s="11">
        <v>0</v>
      </c>
      <c r="N333" s="13">
        <v>0</v>
      </c>
      <c r="O333" s="11">
        <v>0</v>
      </c>
      <c r="P333" s="11">
        <v>0</v>
      </c>
      <c r="Q333" s="13">
        <f>K333+N333</f>
        <v>0</v>
      </c>
      <c r="R333" s="11">
        <f>L333+O333</f>
        <v>0</v>
      </c>
      <c r="S333" s="11">
        <f>M333+P333</f>
        <v>0</v>
      </c>
      <c r="T333" s="8">
        <f>I333-Q333</f>
        <v>0</v>
      </c>
      <c r="U333" s="18" t="s">
        <v>1803</v>
      </c>
      <c r="V333" s="11">
        <v>0</v>
      </c>
      <c r="W333" s="11">
        <v>0</v>
      </c>
      <c r="X333" s="11">
        <v>0</v>
      </c>
      <c r="Y333" s="11">
        <v>0</v>
      </c>
      <c r="Z333" t="s">
        <v>3428</v>
      </c>
    </row>
    <row r="334" spans="1:26" x14ac:dyDescent="0.25">
      <c r="A334" s="20" t="s">
        <v>3457</v>
      </c>
      <c r="B334" s="20" t="s">
        <v>60</v>
      </c>
      <c r="C334" s="20" t="s">
        <v>3458</v>
      </c>
      <c r="D334" s="20" t="s">
        <v>216</v>
      </c>
      <c r="E334" s="13">
        <v>0</v>
      </c>
      <c r="F334" s="11">
        <v>0</v>
      </c>
      <c r="G334" s="13">
        <v>0</v>
      </c>
      <c r="H334" s="11">
        <v>0</v>
      </c>
      <c r="I334" s="13">
        <f>E334+G334</f>
        <v>0</v>
      </c>
      <c r="J334" s="11">
        <f>F334+H334</f>
        <v>0</v>
      </c>
      <c r="K334" s="13">
        <v>0</v>
      </c>
      <c r="L334" s="11">
        <v>0</v>
      </c>
      <c r="M334" s="11">
        <v>0</v>
      </c>
      <c r="N334" s="13">
        <v>0</v>
      </c>
      <c r="O334" s="11">
        <v>0</v>
      </c>
      <c r="P334" s="11">
        <v>0</v>
      </c>
      <c r="Q334" s="13">
        <f>K334+N334</f>
        <v>0</v>
      </c>
      <c r="R334" s="11">
        <f>L334+O334</f>
        <v>0</v>
      </c>
      <c r="S334" s="11">
        <f>M334+P334</f>
        <v>0</v>
      </c>
      <c r="T334" s="8">
        <f>I334-Q334</f>
        <v>0</v>
      </c>
      <c r="U334" s="18" t="s">
        <v>1803</v>
      </c>
      <c r="V334" s="11">
        <v>0</v>
      </c>
      <c r="W334" s="11">
        <v>0</v>
      </c>
      <c r="X334" s="11">
        <v>0</v>
      </c>
      <c r="Y334" s="11">
        <v>0</v>
      </c>
      <c r="Z334" t="s">
        <v>3428</v>
      </c>
    </row>
    <row r="335" spans="1:26" x14ac:dyDescent="0.25">
      <c r="A335" s="20" t="s">
        <v>3459</v>
      </c>
      <c r="B335" s="20" t="s">
        <v>60</v>
      </c>
      <c r="C335" s="20" t="s">
        <v>3460</v>
      </c>
      <c r="D335" s="20" t="s">
        <v>216</v>
      </c>
      <c r="E335" s="13">
        <v>0</v>
      </c>
      <c r="F335" s="11">
        <v>0</v>
      </c>
      <c r="G335" s="13">
        <v>0</v>
      </c>
      <c r="H335" s="11">
        <v>0</v>
      </c>
      <c r="I335" s="13">
        <f>E335+G335</f>
        <v>0</v>
      </c>
      <c r="J335" s="11">
        <f>F335+H335</f>
        <v>0</v>
      </c>
      <c r="K335" s="13">
        <v>0</v>
      </c>
      <c r="L335" s="11">
        <v>0</v>
      </c>
      <c r="M335" s="11">
        <v>0</v>
      </c>
      <c r="N335" s="13">
        <v>0</v>
      </c>
      <c r="O335" s="11">
        <v>0</v>
      </c>
      <c r="P335" s="11">
        <v>0</v>
      </c>
      <c r="Q335" s="13">
        <f>K335+N335</f>
        <v>0</v>
      </c>
      <c r="R335" s="11">
        <f>L335+O335</f>
        <v>0</v>
      </c>
      <c r="S335" s="11">
        <f>M335+P335</f>
        <v>0</v>
      </c>
      <c r="T335" s="8">
        <f>I335-Q335</f>
        <v>0</v>
      </c>
      <c r="U335" s="18" t="s">
        <v>1803</v>
      </c>
      <c r="V335" s="11">
        <v>0</v>
      </c>
      <c r="W335" s="11">
        <v>0</v>
      </c>
      <c r="X335" s="11">
        <v>0</v>
      </c>
      <c r="Y335" s="11">
        <v>0</v>
      </c>
      <c r="Z335" t="s">
        <v>3428</v>
      </c>
    </row>
    <row r="336" spans="1:26" x14ac:dyDescent="0.25">
      <c r="A336" s="20" t="s">
        <v>3631</v>
      </c>
      <c r="B336" s="20" t="s">
        <v>60</v>
      </c>
      <c r="C336" s="20" t="s">
        <v>3632</v>
      </c>
      <c r="D336" s="20" t="s">
        <v>216</v>
      </c>
      <c r="E336" s="13">
        <v>0</v>
      </c>
      <c r="F336" s="11">
        <v>0</v>
      </c>
      <c r="G336" s="13">
        <v>0</v>
      </c>
      <c r="H336" s="11">
        <v>0</v>
      </c>
      <c r="I336" s="13">
        <f>E336+G336</f>
        <v>0</v>
      </c>
      <c r="J336" s="11">
        <f>F336+H336</f>
        <v>0</v>
      </c>
      <c r="K336" s="13">
        <v>0</v>
      </c>
      <c r="L336" s="11">
        <v>0</v>
      </c>
      <c r="M336" s="11">
        <v>0</v>
      </c>
      <c r="N336" s="13">
        <v>0</v>
      </c>
      <c r="O336" s="11">
        <v>0</v>
      </c>
      <c r="P336" s="11">
        <v>0</v>
      </c>
      <c r="Q336" s="13">
        <f>K336+N336</f>
        <v>0</v>
      </c>
      <c r="R336" s="11">
        <f>L336+O336</f>
        <v>0</v>
      </c>
      <c r="S336" s="11">
        <f>M336+P336</f>
        <v>0</v>
      </c>
      <c r="T336" s="8">
        <f>I336-Q336</f>
        <v>0</v>
      </c>
      <c r="U336" s="18" t="s">
        <v>1803</v>
      </c>
      <c r="V336" s="11">
        <v>0</v>
      </c>
      <c r="W336" s="11">
        <v>0</v>
      </c>
      <c r="X336" s="11">
        <v>0</v>
      </c>
      <c r="Y336" s="11">
        <v>0</v>
      </c>
      <c r="Z336" t="s">
        <v>3428</v>
      </c>
    </row>
    <row r="337" spans="1:26" x14ac:dyDescent="0.25">
      <c r="A337" s="20" t="s">
        <v>3461</v>
      </c>
      <c r="B337" s="20" t="s">
        <v>60</v>
      </c>
      <c r="C337" s="20" t="s">
        <v>3462</v>
      </c>
      <c r="D337" s="20" t="s">
        <v>216</v>
      </c>
      <c r="E337" s="13">
        <v>0</v>
      </c>
      <c r="F337" s="11">
        <v>0</v>
      </c>
      <c r="G337" s="13">
        <v>0</v>
      </c>
      <c r="H337" s="11">
        <v>0</v>
      </c>
      <c r="I337" s="13">
        <f>E337+G337</f>
        <v>0</v>
      </c>
      <c r="J337" s="11">
        <f>F337+H337</f>
        <v>0</v>
      </c>
      <c r="K337" s="13">
        <v>0</v>
      </c>
      <c r="L337" s="11">
        <v>0</v>
      </c>
      <c r="M337" s="11">
        <v>0</v>
      </c>
      <c r="N337" s="13">
        <v>0</v>
      </c>
      <c r="O337" s="11">
        <v>0</v>
      </c>
      <c r="P337" s="11">
        <v>0</v>
      </c>
      <c r="Q337" s="13">
        <f>K337+N337</f>
        <v>0</v>
      </c>
      <c r="R337" s="11">
        <f>L337+O337</f>
        <v>0</v>
      </c>
      <c r="S337" s="11">
        <f>M337+P337</f>
        <v>0</v>
      </c>
      <c r="T337" s="8">
        <f>I337-Q337</f>
        <v>0</v>
      </c>
      <c r="U337" s="18" t="s">
        <v>1803</v>
      </c>
      <c r="V337" s="11">
        <v>0</v>
      </c>
      <c r="W337" s="11">
        <v>0</v>
      </c>
      <c r="X337" s="11">
        <v>0</v>
      </c>
      <c r="Y337" s="11">
        <v>0</v>
      </c>
      <c r="Z337" t="s">
        <v>3428</v>
      </c>
    </row>
    <row r="338" spans="1:26" x14ac:dyDescent="0.25">
      <c r="A338" s="20" t="s">
        <v>3463</v>
      </c>
      <c r="B338" s="20" t="s">
        <v>60</v>
      </c>
      <c r="C338" s="20" t="s">
        <v>3464</v>
      </c>
      <c r="D338" s="20" t="s">
        <v>216</v>
      </c>
      <c r="E338" s="13">
        <v>0</v>
      </c>
      <c r="F338" s="11">
        <v>0</v>
      </c>
      <c r="G338" s="13">
        <v>0</v>
      </c>
      <c r="H338" s="11">
        <v>0</v>
      </c>
      <c r="I338" s="13">
        <f>E338+G338</f>
        <v>0</v>
      </c>
      <c r="J338" s="11">
        <f>F338+H338</f>
        <v>0</v>
      </c>
      <c r="K338" s="13">
        <v>0</v>
      </c>
      <c r="L338" s="11">
        <v>0</v>
      </c>
      <c r="M338" s="11">
        <v>0</v>
      </c>
      <c r="N338" s="13">
        <v>0</v>
      </c>
      <c r="O338" s="11">
        <v>0</v>
      </c>
      <c r="P338" s="11">
        <v>0</v>
      </c>
      <c r="Q338" s="13">
        <f>K338+N338</f>
        <v>0</v>
      </c>
      <c r="R338" s="11">
        <f>L338+O338</f>
        <v>0</v>
      </c>
      <c r="S338" s="11">
        <f>M338+P338</f>
        <v>0</v>
      </c>
      <c r="T338" s="8">
        <f>I338-Q338</f>
        <v>0</v>
      </c>
      <c r="U338" s="18" t="s">
        <v>1803</v>
      </c>
      <c r="V338" s="11">
        <v>0</v>
      </c>
      <c r="W338" s="11">
        <v>0</v>
      </c>
      <c r="X338" s="11">
        <v>0</v>
      </c>
      <c r="Y338" s="11">
        <v>0</v>
      </c>
      <c r="Z338" t="s">
        <v>3428</v>
      </c>
    </row>
    <row r="339" spans="1:26" x14ac:dyDescent="0.25">
      <c r="A339" s="20" t="s">
        <v>3465</v>
      </c>
      <c r="B339" s="20" t="s">
        <v>60</v>
      </c>
      <c r="C339" s="20" t="s">
        <v>3466</v>
      </c>
      <c r="D339" s="20" t="s">
        <v>216</v>
      </c>
      <c r="E339" s="13">
        <v>0</v>
      </c>
      <c r="F339" s="11">
        <v>0</v>
      </c>
      <c r="G339" s="13">
        <v>0</v>
      </c>
      <c r="H339" s="11">
        <v>0</v>
      </c>
      <c r="I339" s="13">
        <f>E339+G339</f>
        <v>0</v>
      </c>
      <c r="J339" s="11">
        <f>F339+H339</f>
        <v>0</v>
      </c>
      <c r="K339" s="13">
        <v>0</v>
      </c>
      <c r="L339" s="11">
        <v>0</v>
      </c>
      <c r="M339" s="11">
        <v>0</v>
      </c>
      <c r="N339" s="13">
        <v>0</v>
      </c>
      <c r="O339" s="11">
        <v>0</v>
      </c>
      <c r="P339" s="11">
        <v>0</v>
      </c>
      <c r="Q339" s="13">
        <f>K339+N339</f>
        <v>0</v>
      </c>
      <c r="R339" s="11">
        <f>L339+O339</f>
        <v>0</v>
      </c>
      <c r="S339" s="11">
        <f>M339+P339</f>
        <v>0</v>
      </c>
      <c r="T339" s="8">
        <f>I339-Q339</f>
        <v>0</v>
      </c>
      <c r="U339" s="18" t="s">
        <v>1803</v>
      </c>
      <c r="V339" s="11">
        <v>0</v>
      </c>
      <c r="W339" s="11">
        <v>0</v>
      </c>
      <c r="X339" s="11">
        <v>0</v>
      </c>
      <c r="Y339" s="11">
        <v>0</v>
      </c>
      <c r="Z339" t="s">
        <v>3428</v>
      </c>
    </row>
    <row r="340" spans="1:26" x14ac:dyDescent="0.25">
      <c r="A340" s="20" t="s">
        <v>3467</v>
      </c>
      <c r="B340" s="20" t="s">
        <v>60</v>
      </c>
      <c r="C340" s="20" t="s">
        <v>3468</v>
      </c>
      <c r="D340" s="20" t="s">
        <v>216</v>
      </c>
      <c r="E340" s="13">
        <v>0</v>
      </c>
      <c r="F340" s="11">
        <v>0</v>
      </c>
      <c r="G340" s="13">
        <v>0</v>
      </c>
      <c r="H340" s="11">
        <v>0</v>
      </c>
      <c r="I340" s="13">
        <f>E340+G340</f>
        <v>0</v>
      </c>
      <c r="J340" s="11">
        <f>F340+H340</f>
        <v>0</v>
      </c>
      <c r="K340" s="13">
        <v>0</v>
      </c>
      <c r="L340" s="11">
        <v>0</v>
      </c>
      <c r="M340" s="11">
        <v>0</v>
      </c>
      <c r="N340" s="13">
        <v>0</v>
      </c>
      <c r="O340" s="11">
        <v>0</v>
      </c>
      <c r="P340" s="11">
        <v>0</v>
      </c>
      <c r="Q340" s="13">
        <f>K340+N340</f>
        <v>0</v>
      </c>
      <c r="R340" s="11">
        <f>L340+O340</f>
        <v>0</v>
      </c>
      <c r="S340" s="11">
        <f>M340+P340</f>
        <v>0</v>
      </c>
      <c r="T340" s="8">
        <f>I340-Q340</f>
        <v>0</v>
      </c>
      <c r="U340" s="18" t="s">
        <v>1803</v>
      </c>
      <c r="V340" s="11">
        <v>0</v>
      </c>
      <c r="W340" s="11">
        <v>0</v>
      </c>
      <c r="X340" s="11">
        <v>0</v>
      </c>
      <c r="Y340" s="11">
        <v>0</v>
      </c>
      <c r="Z340" t="s">
        <v>3428</v>
      </c>
    </row>
    <row r="341" spans="1:26" x14ac:dyDescent="0.25">
      <c r="A341" s="20" t="s">
        <v>3469</v>
      </c>
      <c r="B341" s="20" t="s">
        <v>60</v>
      </c>
      <c r="C341" s="20" t="s">
        <v>3470</v>
      </c>
      <c r="D341" s="20" t="s">
        <v>216</v>
      </c>
      <c r="E341" s="13">
        <v>0</v>
      </c>
      <c r="F341" s="11">
        <v>0</v>
      </c>
      <c r="G341" s="13">
        <v>0</v>
      </c>
      <c r="H341" s="11">
        <v>0</v>
      </c>
      <c r="I341" s="13">
        <f>E341+G341</f>
        <v>0</v>
      </c>
      <c r="J341" s="11">
        <f>F341+H341</f>
        <v>0</v>
      </c>
      <c r="K341" s="13">
        <v>0</v>
      </c>
      <c r="L341" s="11">
        <v>0</v>
      </c>
      <c r="M341" s="11">
        <v>0</v>
      </c>
      <c r="N341" s="13">
        <v>0</v>
      </c>
      <c r="O341" s="11">
        <v>0</v>
      </c>
      <c r="P341" s="11">
        <v>0</v>
      </c>
      <c r="Q341" s="13">
        <f>K341+N341</f>
        <v>0</v>
      </c>
      <c r="R341" s="11">
        <f>L341+O341</f>
        <v>0</v>
      </c>
      <c r="S341" s="11">
        <f>M341+P341</f>
        <v>0</v>
      </c>
      <c r="T341" s="8">
        <f>I341-Q341</f>
        <v>0</v>
      </c>
      <c r="U341" s="18" t="s">
        <v>1803</v>
      </c>
      <c r="V341" s="11">
        <v>0</v>
      </c>
      <c r="W341" s="11">
        <v>0</v>
      </c>
      <c r="X341" s="11">
        <v>0</v>
      </c>
      <c r="Y341" s="11">
        <v>0</v>
      </c>
      <c r="Z341" t="s">
        <v>3428</v>
      </c>
    </row>
    <row r="342" spans="1:26" x14ac:dyDescent="0.25">
      <c r="A342" s="20" t="s">
        <v>545</v>
      </c>
      <c r="B342" s="20" t="s">
        <v>81</v>
      </c>
      <c r="C342" s="20" t="s">
        <v>171</v>
      </c>
      <c r="D342" s="20" t="s">
        <v>216</v>
      </c>
      <c r="E342" s="13">
        <v>0</v>
      </c>
      <c r="F342" s="11">
        <v>0</v>
      </c>
      <c r="G342" s="13">
        <v>0</v>
      </c>
      <c r="H342" s="11">
        <v>0</v>
      </c>
      <c r="I342" s="13">
        <f>E342+G342</f>
        <v>0</v>
      </c>
      <c r="J342" s="11">
        <f>F342+H342</f>
        <v>0</v>
      </c>
      <c r="K342" s="13">
        <v>0</v>
      </c>
      <c r="L342" s="11">
        <v>0</v>
      </c>
      <c r="M342" s="11">
        <v>0</v>
      </c>
      <c r="N342" s="13">
        <v>0</v>
      </c>
      <c r="O342" s="11">
        <v>0</v>
      </c>
      <c r="P342" s="11">
        <v>0</v>
      </c>
      <c r="Q342" s="13">
        <f>K342+N342</f>
        <v>0</v>
      </c>
      <c r="R342" s="11">
        <f>L342+O342</f>
        <v>0</v>
      </c>
      <c r="S342" s="11">
        <f>M342+P342</f>
        <v>0</v>
      </c>
      <c r="T342" s="8">
        <f>I342-Q342</f>
        <v>0</v>
      </c>
      <c r="U342" s="18">
        <v>9.2824520131033488</v>
      </c>
      <c r="V342" s="11">
        <v>0</v>
      </c>
      <c r="W342" s="11">
        <v>0</v>
      </c>
      <c r="X342" s="11">
        <v>0</v>
      </c>
      <c r="Y342" s="11">
        <v>0</v>
      </c>
      <c r="Z342" t="s">
        <v>3428</v>
      </c>
    </row>
    <row r="343" spans="1:26" x14ac:dyDescent="0.25">
      <c r="A343" s="20" t="s">
        <v>3471</v>
      </c>
      <c r="B343" s="20" t="s">
        <v>60</v>
      </c>
      <c r="C343" s="20" t="s">
        <v>3472</v>
      </c>
      <c r="D343" s="20" t="s">
        <v>216</v>
      </c>
      <c r="E343" s="13">
        <v>0</v>
      </c>
      <c r="F343" s="11">
        <v>0</v>
      </c>
      <c r="G343" s="13">
        <v>0</v>
      </c>
      <c r="H343" s="11">
        <v>0</v>
      </c>
      <c r="I343" s="13">
        <f>E343+G343</f>
        <v>0</v>
      </c>
      <c r="J343" s="11">
        <f>F343+H343</f>
        <v>0</v>
      </c>
      <c r="K343" s="13">
        <v>0</v>
      </c>
      <c r="L343" s="11">
        <v>0</v>
      </c>
      <c r="M343" s="11">
        <v>0</v>
      </c>
      <c r="N343" s="13">
        <v>0</v>
      </c>
      <c r="O343" s="11">
        <v>0</v>
      </c>
      <c r="P343" s="11">
        <v>0</v>
      </c>
      <c r="Q343" s="13">
        <f>K343+N343</f>
        <v>0</v>
      </c>
      <c r="R343" s="11">
        <f>L343+O343</f>
        <v>0</v>
      </c>
      <c r="S343" s="11">
        <f>M343+P343</f>
        <v>0</v>
      </c>
      <c r="T343" s="8">
        <f>I343-Q343</f>
        <v>0</v>
      </c>
      <c r="U343" s="18" t="s">
        <v>1803</v>
      </c>
      <c r="V343" s="11">
        <v>0</v>
      </c>
      <c r="W343" s="11">
        <v>0</v>
      </c>
      <c r="X343" s="11">
        <v>0</v>
      </c>
      <c r="Y343" s="11">
        <v>0</v>
      </c>
      <c r="Z343" t="s">
        <v>3428</v>
      </c>
    </row>
    <row r="344" spans="1:26" x14ac:dyDescent="0.25">
      <c r="A344" s="20" t="s">
        <v>387</v>
      </c>
      <c r="B344" s="20" t="s">
        <v>387</v>
      </c>
      <c r="C344" s="20" t="s">
        <v>3429</v>
      </c>
      <c r="D344" s="20" t="s">
        <v>216</v>
      </c>
      <c r="E344" s="13">
        <v>6826</v>
      </c>
      <c r="F344" s="11">
        <v>0</v>
      </c>
      <c r="G344" s="13">
        <v>0</v>
      </c>
      <c r="H344" s="11">
        <v>0</v>
      </c>
      <c r="I344" s="13">
        <f>E344+G344</f>
        <v>6826</v>
      </c>
      <c r="J344" s="11">
        <f>F344+H344</f>
        <v>0</v>
      </c>
      <c r="K344" s="13">
        <v>1483</v>
      </c>
      <c r="L344" s="11">
        <v>0</v>
      </c>
      <c r="M344" s="11">
        <v>1</v>
      </c>
      <c r="N344" s="13">
        <v>0</v>
      </c>
      <c r="O344" s="11">
        <v>0</v>
      </c>
      <c r="P344" s="11">
        <v>0</v>
      </c>
      <c r="Q344" s="13">
        <f>K344+N344</f>
        <v>1483</v>
      </c>
      <c r="R344" s="11">
        <f>L344+O344</f>
        <v>0</v>
      </c>
      <c r="S344" s="11">
        <f>M344+P344</f>
        <v>1</v>
      </c>
      <c r="T344" s="8">
        <f>I344-Q344</f>
        <v>5343</v>
      </c>
      <c r="U344" s="18">
        <v>0.12656772000398875</v>
      </c>
      <c r="V344" s="11">
        <v>0</v>
      </c>
      <c r="W344" s="11">
        <v>1</v>
      </c>
      <c r="X344" s="11"/>
      <c r="Y344" s="11">
        <v>0</v>
      </c>
      <c r="Z344" t="s">
        <v>3428</v>
      </c>
    </row>
    <row r="345" spans="1:26" x14ac:dyDescent="0.25">
      <c r="A345" s="20" t="s">
        <v>3473</v>
      </c>
      <c r="B345" s="20" t="s">
        <v>60</v>
      </c>
      <c r="C345" s="20" t="s">
        <v>3474</v>
      </c>
      <c r="D345" s="20" t="s">
        <v>216</v>
      </c>
      <c r="E345" s="13">
        <v>0</v>
      </c>
      <c r="F345" s="11">
        <v>0</v>
      </c>
      <c r="G345" s="13">
        <v>0</v>
      </c>
      <c r="H345" s="11">
        <v>0</v>
      </c>
      <c r="I345" s="13">
        <f>E345+G345</f>
        <v>0</v>
      </c>
      <c r="J345" s="11">
        <f>F345+H345</f>
        <v>0</v>
      </c>
      <c r="K345" s="13">
        <v>0</v>
      </c>
      <c r="L345" s="11">
        <v>0</v>
      </c>
      <c r="M345" s="11">
        <v>0</v>
      </c>
      <c r="N345" s="13">
        <v>0</v>
      </c>
      <c r="O345" s="11">
        <v>0</v>
      </c>
      <c r="P345" s="11">
        <v>0</v>
      </c>
      <c r="Q345" s="13">
        <f>K345+N345</f>
        <v>0</v>
      </c>
      <c r="R345" s="11">
        <f>L345+O345</f>
        <v>0</v>
      </c>
      <c r="S345" s="11">
        <f>M345+P345</f>
        <v>0</v>
      </c>
      <c r="T345" s="8">
        <f>I345-Q345</f>
        <v>0</v>
      </c>
      <c r="U345" s="18" t="s">
        <v>1803</v>
      </c>
      <c r="V345" s="11">
        <v>0</v>
      </c>
      <c r="W345" s="11">
        <v>0</v>
      </c>
      <c r="X345" s="11">
        <v>0</v>
      </c>
      <c r="Y345" s="11">
        <v>0</v>
      </c>
      <c r="Z345" t="s">
        <v>3428</v>
      </c>
    </row>
    <row r="346" spans="1:26" x14ac:dyDescent="0.25">
      <c r="A346" s="20" t="s">
        <v>3475</v>
      </c>
      <c r="B346" s="20" t="s">
        <v>60</v>
      </c>
      <c r="C346" s="20" t="s">
        <v>3476</v>
      </c>
      <c r="D346" s="20" t="s">
        <v>216</v>
      </c>
      <c r="E346" s="13">
        <v>0</v>
      </c>
      <c r="F346" s="11">
        <v>0</v>
      </c>
      <c r="G346" s="13">
        <v>0</v>
      </c>
      <c r="H346" s="11">
        <v>0</v>
      </c>
      <c r="I346" s="13">
        <f>E346+G346</f>
        <v>0</v>
      </c>
      <c r="J346" s="11">
        <f>F346+H346</f>
        <v>0</v>
      </c>
      <c r="K346" s="13">
        <v>0</v>
      </c>
      <c r="L346" s="11">
        <v>0</v>
      </c>
      <c r="M346" s="11">
        <v>0</v>
      </c>
      <c r="N346" s="13">
        <v>0</v>
      </c>
      <c r="O346" s="11">
        <v>0</v>
      </c>
      <c r="P346" s="11">
        <v>0</v>
      </c>
      <c r="Q346" s="13">
        <f>K346+N346</f>
        <v>0</v>
      </c>
      <c r="R346" s="11">
        <f>L346+O346</f>
        <v>0</v>
      </c>
      <c r="S346" s="11">
        <f>M346+P346</f>
        <v>0</v>
      </c>
      <c r="T346" s="8">
        <f>I346-Q346</f>
        <v>0</v>
      </c>
      <c r="U346" s="18" t="s">
        <v>1803</v>
      </c>
      <c r="V346" s="11">
        <v>0</v>
      </c>
      <c r="W346" s="11">
        <v>0</v>
      </c>
      <c r="X346" s="11">
        <v>0</v>
      </c>
      <c r="Y346" s="11">
        <v>0</v>
      </c>
      <c r="Z346" t="s">
        <v>3428</v>
      </c>
    </row>
    <row r="347" spans="1:26" x14ac:dyDescent="0.25">
      <c r="A347" s="20" t="s">
        <v>506</v>
      </c>
      <c r="B347" s="20" t="s">
        <v>506</v>
      </c>
      <c r="C347" s="20" t="s">
        <v>3430</v>
      </c>
      <c r="D347" s="20" t="s">
        <v>216</v>
      </c>
      <c r="E347" s="13">
        <v>915</v>
      </c>
      <c r="F347" s="11">
        <v>0</v>
      </c>
      <c r="G347" s="13">
        <v>0</v>
      </c>
      <c r="H347" s="11">
        <v>0</v>
      </c>
      <c r="I347" s="13">
        <f>E347+G347</f>
        <v>915</v>
      </c>
      <c r="J347" s="11">
        <f>F347+H347</f>
        <v>0</v>
      </c>
      <c r="K347" s="13">
        <v>872</v>
      </c>
      <c r="L347" s="11">
        <v>0</v>
      </c>
      <c r="M347" s="11">
        <v>0</v>
      </c>
      <c r="N347" s="13">
        <v>0</v>
      </c>
      <c r="O347" s="11">
        <v>0</v>
      </c>
      <c r="P347" s="11">
        <v>0</v>
      </c>
      <c r="Q347" s="13">
        <f>K347+N347</f>
        <v>872</v>
      </c>
      <c r="R347" s="11">
        <f>L347+O347</f>
        <v>0</v>
      </c>
      <c r="S347" s="11">
        <f>M347+P347</f>
        <v>0</v>
      </c>
      <c r="T347" s="8">
        <f>I347-Q347</f>
        <v>43</v>
      </c>
      <c r="U347" s="18">
        <v>-5.2623046139331005E-2</v>
      </c>
      <c r="V347" s="11">
        <v>0</v>
      </c>
      <c r="W347" s="11">
        <v>0</v>
      </c>
      <c r="X347" s="11">
        <v>2</v>
      </c>
      <c r="Y347" s="11">
        <v>0</v>
      </c>
      <c r="Z347" t="s">
        <v>3428</v>
      </c>
    </row>
    <row r="348" spans="1:26" x14ac:dyDescent="0.25">
      <c r="A348" s="20" t="s">
        <v>1178</v>
      </c>
      <c r="B348" s="20" t="s">
        <v>1179</v>
      </c>
      <c r="C348" s="20" t="s">
        <v>3477</v>
      </c>
      <c r="D348" s="20" t="s">
        <v>216</v>
      </c>
      <c r="E348" s="13">
        <v>0</v>
      </c>
      <c r="F348" s="11">
        <v>0</v>
      </c>
      <c r="G348" s="13">
        <v>0</v>
      </c>
      <c r="H348" s="11">
        <v>0</v>
      </c>
      <c r="I348" s="13">
        <f>E348+G348</f>
        <v>0</v>
      </c>
      <c r="J348" s="11">
        <f>F348+H348</f>
        <v>0</v>
      </c>
      <c r="K348" s="13">
        <v>0</v>
      </c>
      <c r="L348" s="11">
        <v>0</v>
      </c>
      <c r="M348" s="11">
        <v>1</v>
      </c>
      <c r="N348" s="13">
        <v>0</v>
      </c>
      <c r="O348" s="11">
        <v>0</v>
      </c>
      <c r="P348" s="11">
        <v>0</v>
      </c>
      <c r="Q348" s="13">
        <f>K348+N348</f>
        <v>0</v>
      </c>
      <c r="R348" s="11">
        <f>L348+O348</f>
        <v>0</v>
      </c>
      <c r="S348" s="11">
        <f>M348+P348</f>
        <v>1</v>
      </c>
      <c r="T348" s="8">
        <f>I348-Q348</f>
        <v>0</v>
      </c>
      <c r="U348" s="18">
        <v>0.20234227922673584</v>
      </c>
      <c r="V348" s="11">
        <v>0.67</v>
      </c>
      <c r="W348" s="11">
        <v>2</v>
      </c>
      <c r="X348" s="11">
        <v>1</v>
      </c>
      <c r="Y348" s="11">
        <v>1</v>
      </c>
      <c r="Z348" t="s">
        <v>3428</v>
      </c>
    </row>
    <row r="349" spans="1:26" x14ac:dyDescent="0.25">
      <c r="A349" s="20" t="s">
        <v>3422</v>
      </c>
      <c r="B349" s="20" t="s">
        <v>3422</v>
      </c>
      <c r="C349" s="20" t="s">
        <v>635</v>
      </c>
      <c r="D349" s="20" t="s">
        <v>216</v>
      </c>
      <c r="E349" s="13">
        <v>0</v>
      </c>
      <c r="F349" s="11">
        <v>0</v>
      </c>
      <c r="G349" s="13">
        <v>0</v>
      </c>
      <c r="H349" s="11">
        <v>0</v>
      </c>
      <c r="I349" s="13">
        <f>E349+G349</f>
        <v>0</v>
      </c>
      <c r="J349" s="11">
        <f>F349+H349</f>
        <v>0</v>
      </c>
      <c r="K349" s="13">
        <v>0</v>
      </c>
      <c r="L349" s="11">
        <v>0</v>
      </c>
      <c r="M349" s="11">
        <v>0</v>
      </c>
      <c r="N349" s="13">
        <v>0</v>
      </c>
      <c r="O349" s="11">
        <v>0</v>
      </c>
      <c r="P349" s="11">
        <v>0</v>
      </c>
      <c r="Q349" s="13">
        <f>K349+N349</f>
        <v>0</v>
      </c>
      <c r="R349" s="11">
        <f>L349+O349</f>
        <v>0</v>
      </c>
      <c r="S349" s="11">
        <f>M349+P349</f>
        <v>0</v>
      </c>
      <c r="T349" s="8">
        <f>I349-Q349</f>
        <v>0</v>
      </c>
      <c r="U349" s="18" t="s">
        <v>1803</v>
      </c>
      <c r="V349" s="11">
        <v>0</v>
      </c>
      <c r="W349" s="11">
        <v>0</v>
      </c>
      <c r="X349" s="11">
        <v>0</v>
      </c>
      <c r="Y349" s="11">
        <v>0</v>
      </c>
      <c r="Z349" t="s">
        <v>3428</v>
      </c>
    </row>
    <row r="350" spans="1:26" x14ac:dyDescent="0.25">
      <c r="A350" s="20" t="s">
        <v>3160</v>
      </c>
      <c r="B350" s="20" t="s">
        <v>60</v>
      </c>
      <c r="C350" s="20" t="s">
        <v>3161</v>
      </c>
      <c r="D350" s="20" t="s">
        <v>216</v>
      </c>
      <c r="E350" s="13">
        <v>0</v>
      </c>
      <c r="F350" s="11">
        <v>0</v>
      </c>
      <c r="G350" s="13">
        <v>0</v>
      </c>
      <c r="H350" s="11">
        <v>0</v>
      </c>
      <c r="I350" s="13">
        <f>E350+G350</f>
        <v>0</v>
      </c>
      <c r="J350" s="11">
        <f>F350+H350</f>
        <v>0</v>
      </c>
      <c r="K350" s="13">
        <v>0</v>
      </c>
      <c r="L350" s="11">
        <v>0</v>
      </c>
      <c r="M350" s="11">
        <v>0</v>
      </c>
      <c r="N350" s="13">
        <v>0</v>
      </c>
      <c r="O350" s="11">
        <v>0</v>
      </c>
      <c r="P350" s="11">
        <v>0</v>
      </c>
      <c r="Q350" s="13">
        <f>K350+N350</f>
        <v>0</v>
      </c>
      <c r="R350" s="11">
        <f>L350+O350</f>
        <v>0</v>
      </c>
      <c r="S350" s="11">
        <f>M350+P350</f>
        <v>0</v>
      </c>
      <c r="T350" s="8">
        <f>I350-Q350</f>
        <v>0</v>
      </c>
      <c r="U350" s="18" t="s">
        <v>1803</v>
      </c>
      <c r="V350" s="11">
        <v>0</v>
      </c>
      <c r="W350" s="11">
        <v>0</v>
      </c>
      <c r="X350" s="11">
        <v>0</v>
      </c>
      <c r="Y350" s="11">
        <v>0</v>
      </c>
      <c r="Z350" t="s">
        <v>3428</v>
      </c>
    </row>
    <row r="351" spans="1:26" x14ac:dyDescent="0.25">
      <c r="A351" s="20" t="s">
        <v>3478</v>
      </c>
      <c r="B351" s="20" t="s">
        <v>60</v>
      </c>
      <c r="C351" s="20" t="s">
        <v>3479</v>
      </c>
      <c r="D351" s="20" t="s">
        <v>216</v>
      </c>
      <c r="E351" s="13">
        <v>0</v>
      </c>
      <c r="F351" s="11">
        <v>0</v>
      </c>
      <c r="G351" s="13">
        <v>0</v>
      </c>
      <c r="H351" s="11">
        <v>0</v>
      </c>
      <c r="I351" s="13">
        <f>E351+G351</f>
        <v>0</v>
      </c>
      <c r="J351" s="11">
        <f>F351+H351</f>
        <v>0</v>
      </c>
      <c r="K351" s="13">
        <v>0</v>
      </c>
      <c r="L351" s="11">
        <v>0</v>
      </c>
      <c r="M351" s="11">
        <v>0</v>
      </c>
      <c r="N351" s="13">
        <v>0</v>
      </c>
      <c r="O351" s="11">
        <v>0</v>
      </c>
      <c r="P351" s="11">
        <v>0</v>
      </c>
      <c r="Q351" s="13">
        <f>K351+N351</f>
        <v>0</v>
      </c>
      <c r="R351" s="11">
        <f>L351+O351</f>
        <v>0</v>
      </c>
      <c r="S351" s="11">
        <f>M351+P351</f>
        <v>0</v>
      </c>
      <c r="T351" s="8">
        <f>I351-Q351</f>
        <v>0</v>
      </c>
      <c r="U351" s="18" t="s">
        <v>1803</v>
      </c>
      <c r="V351" s="11">
        <v>0</v>
      </c>
      <c r="W351" s="11">
        <v>0</v>
      </c>
      <c r="X351" s="11">
        <v>0</v>
      </c>
      <c r="Y351" s="11">
        <v>0</v>
      </c>
      <c r="Z351" t="s">
        <v>3428</v>
      </c>
    </row>
    <row r="352" spans="1:26" x14ac:dyDescent="0.25">
      <c r="A352" s="20" t="s">
        <v>3480</v>
      </c>
      <c r="B352" s="20" t="s">
        <v>60</v>
      </c>
      <c r="C352" s="20" t="s">
        <v>3481</v>
      </c>
      <c r="D352" s="20" t="s">
        <v>216</v>
      </c>
      <c r="E352" s="13">
        <v>0</v>
      </c>
      <c r="F352" s="11">
        <v>0</v>
      </c>
      <c r="G352" s="13">
        <v>0</v>
      </c>
      <c r="H352" s="11">
        <v>0</v>
      </c>
      <c r="I352" s="13">
        <f>E352+G352</f>
        <v>0</v>
      </c>
      <c r="J352" s="11">
        <f>F352+H352</f>
        <v>0</v>
      </c>
      <c r="K352" s="13">
        <v>0</v>
      </c>
      <c r="L352" s="11">
        <v>0</v>
      </c>
      <c r="M352" s="11">
        <v>0</v>
      </c>
      <c r="N352" s="13">
        <v>0</v>
      </c>
      <c r="O352" s="11">
        <v>0</v>
      </c>
      <c r="P352" s="11">
        <v>0</v>
      </c>
      <c r="Q352" s="13">
        <f>K352+N352</f>
        <v>0</v>
      </c>
      <c r="R352" s="11">
        <f>L352+O352</f>
        <v>0</v>
      </c>
      <c r="S352" s="11">
        <f>M352+P352</f>
        <v>0</v>
      </c>
      <c r="T352" s="8">
        <f>I352-Q352</f>
        <v>0</v>
      </c>
      <c r="U352" s="18" t="s">
        <v>1803</v>
      </c>
      <c r="V352" s="11">
        <v>0</v>
      </c>
      <c r="W352" s="11">
        <v>0</v>
      </c>
      <c r="X352" s="11">
        <v>0</v>
      </c>
      <c r="Y352" s="11">
        <v>0</v>
      </c>
      <c r="Z352" t="s">
        <v>3428</v>
      </c>
    </row>
    <row r="353" spans="1:26" x14ac:dyDescent="0.25">
      <c r="A353" s="20" t="s">
        <v>1148</v>
      </c>
      <c r="B353" s="20" t="s">
        <v>1148</v>
      </c>
      <c r="C353" s="20" t="s">
        <v>3482</v>
      </c>
      <c r="D353" s="20" t="s">
        <v>216</v>
      </c>
      <c r="E353" s="13">
        <v>6590</v>
      </c>
      <c r="F353" s="11">
        <v>0</v>
      </c>
      <c r="G353" s="13">
        <v>0</v>
      </c>
      <c r="H353" s="11">
        <v>0</v>
      </c>
      <c r="I353" s="13">
        <f>E353+G353</f>
        <v>6590</v>
      </c>
      <c r="J353" s="11">
        <f>F353+H353</f>
        <v>0</v>
      </c>
      <c r="K353" s="13">
        <v>6272</v>
      </c>
      <c r="L353" s="11">
        <v>0</v>
      </c>
      <c r="M353" s="11">
        <v>0</v>
      </c>
      <c r="N353" s="13">
        <v>0</v>
      </c>
      <c r="O353" s="11">
        <v>0</v>
      </c>
      <c r="P353" s="11">
        <v>0</v>
      </c>
      <c r="Q353" s="13">
        <f>K353+N353</f>
        <v>6272</v>
      </c>
      <c r="R353" s="11">
        <f>L353+O353</f>
        <v>0</v>
      </c>
      <c r="S353" s="11">
        <f>M353+P353</f>
        <v>0</v>
      </c>
      <c r="T353" s="8">
        <f>I353-Q353</f>
        <v>318</v>
      </c>
      <c r="U353" s="18">
        <v>-5.476095419284855E-2</v>
      </c>
      <c r="V353" s="11">
        <v>0</v>
      </c>
      <c r="W353" s="11">
        <v>0</v>
      </c>
      <c r="X353" s="11">
        <v>0</v>
      </c>
      <c r="Y353" s="11">
        <v>0</v>
      </c>
      <c r="Z353" t="s">
        <v>3428</v>
      </c>
    </row>
    <row r="354" spans="1:26" x14ac:dyDescent="0.25">
      <c r="A354" s="20" t="s">
        <v>1096</v>
      </c>
      <c r="B354" s="20" t="s">
        <v>1096</v>
      </c>
      <c r="C354" s="20" t="s">
        <v>3483</v>
      </c>
      <c r="D354" s="20" t="s">
        <v>216</v>
      </c>
      <c r="E354" s="13">
        <v>9794</v>
      </c>
      <c r="F354" s="11">
        <v>0</v>
      </c>
      <c r="G354" s="13">
        <v>0</v>
      </c>
      <c r="H354" s="11">
        <v>0</v>
      </c>
      <c r="I354" s="13">
        <f>E354+G354</f>
        <v>9794</v>
      </c>
      <c r="J354" s="11">
        <f>F354+H354</f>
        <v>0</v>
      </c>
      <c r="K354" s="13">
        <v>14614</v>
      </c>
      <c r="L354" s="11">
        <v>0</v>
      </c>
      <c r="M354" s="11">
        <v>0</v>
      </c>
      <c r="N354" s="13">
        <v>0</v>
      </c>
      <c r="O354" s="11">
        <v>0</v>
      </c>
      <c r="P354" s="11">
        <v>0</v>
      </c>
      <c r="Q354" s="13">
        <f>K354+N354</f>
        <v>14614</v>
      </c>
      <c r="R354" s="11">
        <f>L354+O354</f>
        <v>0</v>
      </c>
      <c r="S354" s="11">
        <f>M354+P354</f>
        <v>0</v>
      </c>
      <c r="T354" s="8">
        <f>I354-Q354</f>
        <v>-4820</v>
      </c>
      <c r="U354" s="18">
        <v>6.4086671146429686E-2</v>
      </c>
      <c r="V354" s="11">
        <v>0</v>
      </c>
      <c r="W354" s="11">
        <v>0</v>
      </c>
      <c r="X354" s="11">
        <v>0</v>
      </c>
      <c r="Y354" s="11">
        <v>0</v>
      </c>
      <c r="Z354" t="s">
        <v>3428</v>
      </c>
    </row>
    <row r="355" spans="1:26" x14ac:dyDescent="0.25">
      <c r="A355" s="20" t="s">
        <v>3484</v>
      </c>
      <c r="B355" s="20" t="s">
        <v>60</v>
      </c>
      <c r="C355" s="20" t="s">
        <v>3485</v>
      </c>
      <c r="D355" s="20" t="s">
        <v>216</v>
      </c>
      <c r="E355" s="13">
        <v>0</v>
      </c>
      <c r="F355" s="11">
        <v>0</v>
      </c>
      <c r="G355" s="13">
        <v>0</v>
      </c>
      <c r="H355" s="11">
        <v>0</v>
      </c>
      <c r="I355" s="13">
        <f>E355+G355</f>
        <v>0</v>
      </c>
      <c r="J355" s="11">
        <f>F355+H355</f>
        <v>0</v>
      </c>
      <c r="K355" s="13">
        <v>0</v>
      </c>
      <c r="L355" s="11">
        <v>0</v>
      </c>
      <c r="M355" s="11">
        <v>0</v>
      </c>
      <c r="N355" s="13">
        <v>0</v>
      </c>
      <c r="O355" s="11">
        <v>0</v>
      </c>
      <c r="P355" s="11">
        <v>0</v>
      </c>
      <c r="Q355" s="13">
        <f>K355+N355</f>
        <v>0</v>
      </c>
      <c r="R355" s="11">
        <f>L355+O355</f>
        <v>0</v>
      </c>
      <c r="S355" s="11">
        <f>M355+P355</f>
        <v>0</v>
      </c>
      <c r="T355" s="8">
        <f>I355-Q355</f>
        <v>0</v>
      </c>
      <c r="U355" s="18" t="s">
        <v>1803</v>
      </c>
      <c r="V355" s="11">
        <v>0</v>
      </c>
      <c r="W355" s="11">
        <v>0</v>
      </c>
      <c r="X355" s="11">
        <v>0</v>
      </c>
      <c r="Y355" s="11">
        <v>0</v>
      </c>
      <c r="Z355" t="s">
        <v>3428</v>
      </c>
    </row>
    <row r="356" spans="1:26" x14ac:dyDescent="0.25">
      <c r="A356" s="20" t="s">
        <v>1188</v>
      </c>
      <c r="B356" s="20" t="s">
        <v>218</v>
      </c>
      <c r="C356" s="20" t="s">
        <v>3486</v>
      </c>
      <c r="D356" s="20" t="s">
        <v>216</v>
      </c>
      <c r="E356" s="13">
        <v>25081.52</v>
      </c>
      <c r="F356" s="11">
        <v>0</v>
      </c>
      <c r="G356" s="13">
        <v>0</v>
      </c>
      <c r="H356" s="11">
        <v>0</v>
      </c>
      <c r="I356" s="13">
        <f>E356+G356</f>
        <v>25081.52</v>
      </c>
      <c r="J356" s="11">
        <f>F356+H356</f>
        <v>0</v>
      </c>
      <c r="K356" s="13">
        <v>38728.46</v>
      </c>
      <c r="L356" s="11">
        <v>1</v>
      </c>
      <c r="M356" s="11">
        <v>4</v>
      </c>
      <c r="N356" s="13">
        <v>0</v>
      </c>
      <c r="O356" s="11">
        <v>0</v>
      </c>
      <c r="P356" s="11">
        <v>0</v>
      </c>
      <c r="Q356" s="13">
        <f>K356+N356</f>
        <v>38728.46</v>
      </c>
      <c r="R356" s="11">
        <f>L356+O356</f>
        <v>1</v>
      </c>
      <c r="S356" s="11">
        <f>M356+P356</f>
        <v>4</v>
      </c>
      <c r="T356" s="8">
        <f>I356-Q356</f>
        <v>-13646.939999999999</v>
      </c>
      <c r="U356" s="18">
        <v>0.7455748997144106</v>
      </c>
      <c r="V356" s="11">
        <v>0.23</v>
      </c>
      <c r="W356" s="11">
        <v>3</v>
      </c>
      <c r="X356" s="11">
        <v>10</v>
      </c>
      <c r="Y356" s="11">
        <v>0</v>
      </c>
      <c r="Z356" t="s">
        <v>3428</v>
      </c>
    </row>
    <row r="357" spans="1:26" x14ac:dyDescent="0.25">
      <c r="A357" s="20" t="s">
        <v>3487</v>
      </c>
      <c r="B357" s="20" t="s">
        <v>60</v>
      </c>
      <c r="C357" s="20" t="s">
        <v>3488</v>
      </c>
      <c r="D357" s="20" t="s">
        <v>216</v>
      </c>
      <c r="E357" s="13">
        <v>0</v>
      </c>
      <c r="F357" s="11">
        <v>0</v>
      </c>
      <c r="G357" s="13">
        <v>0</v>
      </c>
      <c r="H357" s="11">
        <v>0</v>
      </c>
      <c r="I357" s="13">
        <f>E357+G357</f>
        <v>0</v>
      </c>
      <c r="J357" s="11">
        <f>F357+H357</f>
        <v>0</v>
      </c>
      <c r="K357" s="13">
        <v>0</v>
      </c>
      <c r="L357" s="11">
        <v>0</v>
      </c>
      <c r="M357" s="11">
        <v>0</v>
      </c>
      <c r="N357" s="13">
        <v>0</v>
      </c>
      <c r="O357" s="11">
        <v>0</v>
      </c>
      <c r="P357" s="11">
        <v>0</v>
      </c>
      <c r="Q357" s="13">
        <f>K357+N357</f>
        <v>0</v>
      </c>
      <c r="R357" s="11">
        <f>L357+O357</f>
        <v>0</v>
      </c>
      <c r="S357" s="11">
        <f>M357+P357</f>
        <v>0</v>
      </c>
      <c r="T357" s="8">
        <f>I357-Q357</f>
        <v>0</v>
      </c>
      <c r="U357" s="18" t="s">
        <v>1803</v>
      </c>
      <c r="V357" s="11">
        <v>0</v>
      </c>
      <c r="W357" s="11">
        <v>0</v>
      </c>
      <c r="X357" s="11">
        <v>0</v>
      </c>
      <c r="Y357" s="11">
        <v>0</v>
      </c>
      <c r="Z357" t="s">
        <v>3428</v>
      </c>
    </row>
    <row r="358" spans="1:26" x14ac:dyDescent="0.25">
      <c r="A358" s="20" t="s">
        <v>3489</v>
      </c>
      <c r="B358" s="20" t="s">
        <v>60</v>
      </c>
      <c r="C358" s="20" t="s">
        <v>3490</v>
      </c>
      <c r="D358" s="20" t="s">
        <v>216</v>
      </c>
      <c r="E358" s="13">
        <v>0</v>
      </c>
      <c r="F358" s="11">
        <v>0</v>
      </c>
      <c r="G358" s="13">
        <v>0</v>
      </c>
      <c r="H358" s="11">
        <v>0</v>
      </c>
      <c r="I358" s="13">
        <f>E358+G358</f>
        <v>0</v>
      </c>
      <c r="J358" s="11">
        <f>F358+H358</f>
        <v>0</v>
      </c>
      <c r="K358" s="13">
        <v>0</v>
      </c>
      <c r="L358" s="11">
        <v>0</v>
      </c>
      <c r="M358" s="11">
        <v>0</v>
      </c>
      <c r="N358" s="13">
        <v>0</v>
      </c>
      <c r="O358" s="11">
        <v>0</v>
      </c>
      <c r="P358" s="11">
        <v>0</v>
      </c>
      <c r="Q358" s="13">
        <f>K358+N358</f>
        <v>0</v>
      </c>
      <c r="R358" s="11">
        <f>L358+O358</f>
        <v>0</v>
      </c>
      <c r="S358" s="11">
        <f>M358+P358</f>
        <v>0</v>
      </c>
      <c r="T358" s="8">
        <f>I358-Q358</f>
        <v>0</v>
      </c>
      <c r="U358" s="18" t="s">
        <v>1803</v>
      </c>
      <c r="V358" s="11">
        <v>0</v>
      </c>
      <c r="W358" s="11">
        <v>0</v>
      </c>
      <c r="X358" s="11">
        <v>0</v>
      </c>
      <c r="Y358" s="11">
        <v>0</v>
      </c>
      <c r="Z358" t="s">
        <v>3428</v>
      </c>
    </row>
    <row r="359" spans="1:26" x14ac:dyDescent="0.25">
      <c r="A359" s="20" t="s">
        <v>3491</v>
      </c>
      <c r="B359" s="20" t="s">
        <v>60</v>
      </c>
      <c r="C359" s="20" t="s">
        <v>3492</v>
      </c>
      <c r="D359" s="20" t="s">
        <v>216</v>
      </c>
      <c r="E359" s="13">
        <v>0</v>
      </c>
      <c r="F359" s="11">
        <v>0</v>
      </c>
      <c r="G359" s="13">
        <v>0</v>
      </c>
      <c r="H359" s="11">
        <v>0</v>
      </c>
      <c r="I359" s="13">
        <f>E359+G359</f>
        <v>0</v>
      </c>
      <c r="J359" s="11">
        <f>F359+H359</f>
        <v>0</v>
      </c>
      <c r="K359" s="13">
        <v>0</v>
      </c>
      <c r="L359" s="11">
        <v>0</v>
      </c>
      <c r="M359" s="11">
        <v>0</v>
      </c>
      <c r="N359" s="13">
        <v>0</v>
      </c>
      <c r="O359" s="11">
        <v>0</v>
      </c>
      <c r="P359" s="11">
        <v>0</v>
      </c>
      <c r="Q359" s="13">
        <f>K359+N359</f>
        <v>0</v>
      </c>
      <c r="R359" s="11">
        <f>L359+O359</f>
        <v>0</v>
      </c>
      <c r="S359" s="11">
        <f>M359+P359</f>
        <v>0</v>
      </c>
      <c r="T359" s="8">
        <f>I359-Q359</f>
        <v>0</v>
      </c>
      <c r="U359" s="18" t="s">
        <v>1803</v>
      </c>
      <c r="V359" s="11">
        <v>0</v>
      </c>
      <c r="W359" s="11">
        <v>0</v>
      </c>
      <c r="X359" s="11">
        <v>0</v>
      </c>
      <c r="Y359" s="11">
        <v>0</v>
      </c>
      <c r="Z359" t="s">
        <v>3428</v>
      </c>
    </row>
    <row r="360" spans="1:26" x14ac:dyDescent="0.25">
      <c r="A360" s="20" t="s">
        <v>3493</v>
      </c>
      <c r="B360" s="20" t="s">
        <v>60</v>
      </c>
      <c r="C360" s="20" t="s">
        <v>3494</v>
      </c>
      <c r="D360" s="20" t="s">
        <v>216</v>
      </c>
      <c r="E360" s="13">
        <v>0</v>
      </c>
      <c r="F360" s="11">
        <v>0</v>
      </c>
      <c r="G360" s="13">
        <v>0</v>
      </c>
      <c r="H360" s="11">
        <v>0</v>
      </c>
      <c r="I360" s="13">
        <f>E360+G360</f>
        <v>0</v>
      </c>
      <c r="J360" s="11">
        <f>F360+H360</f>
        <v>0</v>
      </c>
      <c r="K360" s="13">
        <v>0</v>
      </c>
      <c r="L360" s="11">
        <v>0</v>
      </c>
      <c r="M360" s="11">
        <v>0</v>
      </c>
      <c r="N360" s="13">
        <v>0</v>
      </c>
      <c r="O360" s="11">
        <v>0</v>
      </c>
      <c r="P360" s="11">
        <v>0</v>
      </c>
      <c r="Q360" s="13">
        <f>K360+N360</f>
        <v>0</v>
      </c>
      <c r="R360" s="11">
        <f>L360+O360</f>
        <v>0</v>
      </c>
      <c r="S360" s="11">
        <f>M360+P360</f>
        <v>0</v>
      </c>
      <c r="T360" s="8">
        <f>I360-Q360</f>
        <v>0</v>
      </c>
      <c r="U360" s="18" t="s">
        <v>1803</v>
      </c>
      <c r="V360" s="11">
        <v>0</v>
      </c>
      <c r="W360" s="11">
        <v>0</v>
      </c>
      <c r="X360" s="11">
        <v>0</v>
      </c>
      <c r="Y360" s="11">
        <v>0</v>
      </c>
      <c r="Z360" t="s">
        <v>3428</v>
      </c>
    </row>
    <row r="361" spans="1:26" x14ac:dyDescent="0.25">
      <c r="A361" s="20" t="s">
        <v>977</v>
      </c>
      <c r="B361" s="20" t="s">
        <v>3096</v>
      </c>
      <c r="C361" s="20" t="s">
        <v>3495</v>
      </c>
      <c r="D361" s="20" t="s">
        <v>216</v>
      </c>
      <c r="E361" s="13">
        <v>1737</v>
      </c>
      <c r="F361" s="11">
        <v>0</v>
      </c>
      <c r="G361" s="13">
        <v>0</v>
      </c>
      <c r="H361" s="11">
        <v>0</v>
      </c>
      <c r="I361" s="13">
        <f>E361+G361</f>
        <v>1737</v>
      </c>
      <c r="J361" s="11">
        <f>F361+H361</f>
        <v>0</v>
      </c>
      <c r="K361" s="13">
        <v>1656</v>
      </c>
      <c r="L361" s="11">
        <v>0</v>
      </c>
      <c r="M361" s="11">
        <v>0</v>
      </c>
      <c r="N361" s="13">
        <v>0</v>
      </c>
      <c r="O361" s="11">
        <v>0</v>
      </c>
      <c r="P361" s="11">
        <v>0</v>
      </c>
      <c r="Q361" s="13">
        <f>K361+N361</f>
        <v>1656</v>
      </c>
      <c r="R361" s="11">
        <f>L361+O361</f>
        <v>0</v>
      </c>
      <c r="S361" s="11">
        <f>M361+P361</f>
        <v>0</v>
      </c>
      <c r="T361" s="8">
        <f>I361-Q361</f>
        <v>81</v>
      </c>
      <c r="U361" s="18">
        <v>6.9667005118080425E-2</v>
      </c>
      <c r="V361" s="11">
        <v>0</v>
      </c>
      <c r="W361" s="11">
        <v>0</v>
      </c>
      <c r="X361" s="11">
        <v>2</v>
      </c>
      <c r="Y361" s="11">
        <v>0</v>
      </c>
      <c r="Z361" t="s">
        <v>3428</v>
      </c>
    </row>
    <row r="362" spans="1:26" x14ac:dyDescent="0.25">
      <c r="A362" s="20" t="s">
        <v>1194</v>
      </c>
      <c r="B362" s="20" t="s">
        <v>633</v>
      </c>
      <c r="C362" s="20" t="s">
        <v>3496</v>
      </c>
      <c r="D362" s="20" t="s">
        <v>216</v>
      </c>
      <c r="E362" s="13">
        <v>0</v>
      </c>
      <c r="F362" s="11">
        <v>0</v>
      </c>
      <c r="G362" s="13">
        <v>0</v>
      </c>
      <c r="H362" s="11">
        <v>0</v>
      </c>
      <c r="I362" s="13">
        <f>E362+G362</f>
        <v>0</v>
      </c>
      <c r="J362" s="11">
        <f>F362+H362</f>
        <v>0</v>
      </c>
      <c r="K362" s="13">
        <v>0</v>
      </c>
      <c r="L362" s="11">
        <v>0</v>
      </c>
      <c r="M362" s="11">
        <v>0</v>
      </c>
      <c r="N362" s="13">
        <v>0</v>
      </c>
      <c r="O362" s="11">
        <v>0</v>
      </c>
      <c r="P362" s="11">
        <v>0</v>
      </c>
      <c r="Q362" s="13">
        <f>K362+N362</f>
        <v>0</v>
      </c>
      <c r="R362" s="11">
        <f>L362+O362</f>
        <v>0</v>
      </c>
      <c r="S362" s="11">
        <f>M362+P362</f>
        <v>0</v>
      </c>
      <c r="T362" s="8">
        <f>I362-Q362</f>
        <v>0</v>
      </c>
      <c r="U362" s="18" t="s">
        <v>1803</v>
      </c>
      <c r="V362" s="11">
        <v>0</v>
      </c>
      <c r="W362" s="11">
        <v>0</v>
      </c>
      <c r="X362" s="11">
        <v>0</v>
      </c>
      <c r="Y362" s="11">
        <v>0</v>
      </c>
      <c r="Z362" t="s">
        <v>3428</v>
      </c>
    </row>
    <row r="363" spans="1:26" x14ac:dyDescent="0.25">
      <c r="A363" s="20" t="s">
        <v>3497</v>
      </c>
      <c r="B363" s="20" t="s">
        <v>60</v>
      </c>
      <c r="C363" s="20" t="s">
        <v>3498</v>
      </c>
      <c r="D363" s="20" t="s">
        <v>216</v>
      </c>
      <c r="E363" s="13">
        <v>0</v>
      </c>
      <c r="F363" s="11">
        <v>0</v>
      </c>
      <c r="G363" s="13">
        <v>0</v>
      </c>
      <c r="H363" s="11">
        <v>0</v>
      </c>
      <c r="I363" s="13">
        <f>E363+G363</f>
        <v>0</v>
      </c>
      <c r="J363" s="11">
        <f>F363+H363</f>
        <v>0</v>
      </c>
      <c r="K363" s="13">
        <v>0</v>
      </c>
      <c r="L363" s="11">
        <v>0</v>
      </c>
      <c r="M363" s="11">
        <v>0</v>
      </c>
      <c r="N363" s="13">
        <v>0</v>
      </c>
      <c r="O363" s="11">
        <v>0</v>
      </c>
      <c r="P363" s="11">
        <v>0</v>
      </c>
      <c r="Q363" s="13">
        <f>K363+N363</f>
        <v>0</v>
      </c>
      <c r="R363" s="11">
        <f>L363+O363</f>
        <v>0</v>
      </c>
      <c r="S363" s="11">
        <f>M363+P363</f>
        <v>0</v>
      </c>
      <c r="T363" s="8">
        <f>I363-Q363</f>
        <v>0</v>
      </c>
      <c r="U363" s="18" t="s">
        <v>1803</v>
      </c>
      <c r="V363" s="11">
        <v>0</v>
      </c>
      <c r="W363" s="11">
        <v>0</v>
      </c>
      <c r="X363" s="11">
        <v>0</v>
      </c>
      <c r="Y363" s="11">
        <v>0</v>
      </c>
      <c r="Z363" t="s">
        <v>3428</v>
      </c>
    </row>
    <row r="364" spans="1:26" x14ac:dyDescent="0.25">
      <c r="A364" s="20" t="s">
        <v>3499</v>
      </c>
      <c r="B364" s="20" t="s">
        <v>60</v>
      </c>
      <c r="C364" s="20" t="s">
        <v>3500</v>
      </c>
      <c r="D364" s="20" t="s">
        <v>216</v>
      </c>
      <c r="E364" s="13">
        <v>0</v>
      </c>
      <c r="F364" s="11">
        <v>0</v>
      </c>
      <c r="G364" s="13">
        <v>0</v>
      </c>
      <c r="H364" s="11">
        <v>0</v>
      </c>
      <c r="I364" s="13">
        <f>E364+G364</f>
        <v>0</v>
      </c>
      <c r="J364" s="11">
        <f>F364+H364</f>
        <v>0</v>
      </c>
      <c r="K364" s="13">
        <v>0</v>
      </c>
      <c r="L364" s="11">
        <v>0</v>
      </c>
      <c r="M364" s="11">
        <v>0</v>
      </c>
      <c r="N364" s="13">
        <v>0</v>
      </c>
      <c r="O364" s="11">
        <v>0</v>
      </c>
      <c r="P364" s="11">
        <v>0</v>
      </c>
      <c r="Q364" s="13">
        <f>K364+N364</f>
        <v>0</v>
      </c>
      <c r="R364" s="11">
        <f>L364+O364</f>
        <v>0</v>
      </c>
      <c r="S364" s="11">
        <f>M364+P364</f>
        <v>0</v>
      </c>
      <c r="T364" s="8">
        <f>I364-Q364</f>
        <v>0</v>
      </c>
      <c r="U364" s="18" t="s">
        <v>1803</v>
      </c>
      <c r="V364" s="11">
        <v>0</v>
      </c>
      <c r="W364" s="11">
        <v>0</v>
      </c>
      <c r="X364" s="11">
        <v>0</v>
      </c>
      <c r="Y364" s="11">
        <v>0</v>
      </c>
      <c r="Z364" t="s">
        <v>3428</v>
      </c>
    </row>
    <row r="365" spans="1:26" x14ac:dyDescent="0.25">
      <c r="A365" s="20" t="s">
        <v>3501</v>
      </c>
      <c r="B365" s="20" t="s">
        <v>60</v>
      </c>
      <c r="C365" s="20" t="s">
        <v>3502</v>
      </c>
      <c r="D365" s="20" t="s">
        <v>216</v>
      </c>
      <c r="E365" s="13">
        <v>0</v>
      </c>
      <c r="F365" s="11">
        <v>0</v>
      </c>
      <c r="G365" s="13">
        <v>0</v>
      </c>
      <c r="H365" s="11">
        <v>0</v>
      </c>
      <c r="I365" s="13">
        <f>E365+G365</f>
        <v>0</v>
      </c>
      <c r="J365" s="11">
        <f>F365+H365</f>
        <v>0</v>
      </c>
      <c r="K365" s="13">
        <v>0</v>
      </c>
      <c r="L365" s="11">
        <v>0</v>
      </c>
      <c r="M365" s="11">
        <v>0</v>
      </c>
      <c r="N365" s="13">
        <v>0</v>
      </c>
      <c r="O365" s="11">
        <v>0</v>
      </c>
      <c r="P365" s="11">
        <v>0</v>
      </c>
      <c r="Q365" s="13">
        <f>K365+N365</f>
        <v>0</v>
      </c>
      <c r="R365" s="11">
        <f>L365+O365</f>
        <v>0</v>
      </c>
      <c r="S365" s="11">
        <f>M365+P365</f>
        <v>0</v>
      </c>
      <c r="T365" s="8">
        <f>I365-Q365</f>
        <v>0</v>
      </c>
      <c r="U365" s="18" t="s">
        <v>1803</v>
      </c>
      <c r="V365" s="11">
        <v>0</v>
      </c>
      <c r="W365" s="11">
        <v>0</v>
      </c>
      <c r="X365" s="11">
        <v>0</v>
      </c>
      <c r="Y365" s="11">
        <v>0</v>
      </c>
      <c r="Z365" t="s">
        <v>3428</v>
      </c>
    </row>
    <row r="366" spans="1:26" x14ac:dyDescent="0.25">
      <c r="A366" s="20" t="s">
        <v>200</v>
      </c>
      <c r="B366" s="20" t="s">
        <v>97</v>
      </c>
      <c r="C366" s="20" t="s">
        <v>3503</v>
      </c>
      <c r="D366" s="20" t="s">
        <v>216</v>
      </c>
      <c r="E366" s="13">
        <v>-2741.28</v>
      </c>
      <c r="F366" s="11">
        <v>0</v>
      </c>
      <c r="G366" s="13">
        <v>0</v>
      </c>
      <c r="H366" s="11">
        <v>0</v>
      </c>
      <c r="I366" s="13">
        <f>E366+G366</f>
        <v>-2741.28</v>
      </c>
      <c r="J366" s="11">
        <f>F366+H366</f>
        <v>0</v>
      </c>
      <c r="K366" s="13">
        <v>0</v>
      </c>
      <c r="L366" s="11">
        <v>0</v>
      </c>
      <c r="M366" s="11">
        <v>1</v>
      </c>
      <c r="N366" s="13">
        <v>8875</v>
      </c>
      <c r="O366" s="11">
        <v>1</v>
      </c>
      <c r="P366" s="11">
        <v>3</v>
      </c>
      <c r="Q366" s="13">
        <f>K366+N366</f>
        <v>8875</v>
      </c>
      <c r="R366" s="11">
        <f>L366+O366</f>
        <v>1</v>
      </c>
      <c r="S366" s="11">
        <f>M366+P366</f>
        <v>4</v>
      </c>
      <c r="T366" s="8">
        <f>I366-Q366</f>
        <v>-11616.28</v>
      </c>
      <c r="U366" s="18">
        <v>8.8369945778790648E-2</v>
      </c>
      <c r="V366" s="11">
        <v>0.43</v>
      </c>
      <c r="W366" s="11">
        <v>3</v>
      </c>
      <c r="X366" s="11">
        <v>4</v>
      </c>
      <c r="Y366" s="11">
        <v>0</v>
      </c>
      <c r="Z366" t="s">
        <v>3428</v>
      </c>
    </row>
    <row r="367" spans="1:26" x14ac:dyDescent="0.25">
      <c r="A367" s="20" t="s">
        <v>3504</v>
      </c>
      <c r="B367" s="20" t="s">
        <v>60</v>
      </c>
      <c r="C367" s="20" t="s">
        <v>3505</v>
      </c>
      <c r="D367" s="20" t="s">
        <v>216</v>
      </c>
      <c r="E367" s="13">
        <v>0</v>
      </c>
      <c r="F367" s="11">
        <v>0</v>
      </c>
      <c r="G367" s="13">
        <v>0</v>
      </c>
      <c r="H367" s="11">
        <v>0</v>
      </c>
      <c r="I367" s="13">
        <f>E367+G367</f>
        <v>0</v>
      </c>
      <c r="J367" s="11">
        <f>F367+H367</f>
        <v>0</v>
      </c>
      <c r="K367" s="13">
        <v>0</v>
      </c>
      <c r="L367" s="11">
        <v>0</v>
      </c>
      <c r="M367" s="11">
        <v>0</v>
      </c>
      <c r="N367" s="13">
        <v>0</v>
      </c>
      <c r="O367" s="11">
        <v>0</v>
      </c>
      <c r="P367" s="11">
        <v>0</v>
      </c>
      <c r="Q367" s="13">
        <f>K367+N367</f>
        <v>0</v>
      </c>
      <c r="R367" s="11">
        <f>L367+O367</f>
        <v>0</v>
      </c>
      <c r="S367" s="11">
        <f>M367+P367</f>
        <v>0</v>
      </c>
      <c r="T367" s="8">
        <f>I367-Q367</f>
        <v>0</v>
      </c>
      <c r="U367" s="18" t="s">
        <v>1803</v>
      </c>
      <c r="V367" s="11">
        <v>0</v>
      </c>
      <c r="W367" s="11">
        <v>0</v>
      </c>
      <c r="X367" s="11">
        <v>0</v>
      </c>
      <c r="Y367" s="11">
        <v>0</v>
      </c>
      <c r="Z367" t="s">
        <v>3428</v>
      </c>
    </row>
    <row r="368" spans="1:26" x14ac:dyDescent="0.25">
      <c r="A368" s="20" t="s">
        <v>3506</v>
      </c>
      <c r="B368" s="20" t="s">
        <v>60</v>
      </c>
      <c r="C368" s="20" t="s">
        <v>3507</v>
      </c>
      <c r="D368" s="20" t="s">
        <v>216</v>
      </c>
      <c r="E368" s="13">
        <v>0</v>
      </c>
      <c r="F368" s="11">
        <v>0</v>
      </c>
      <c r="G368" s="13">
        <v>0</v>
      </c>
      <c r="H368" s="11">
        <v>0</v>
      </c>
      <c r="I368" s="13">
        <f>E368+G368</f>
        <v>0</v>
      </c>
      <c r="J368" s="11">
        <f>F368+H368</f>
        <v>0</v>
      </c>
      <c r="K368" s="13">
        <v>0</v>
      </c>
      <c r="L368" s="11">
        <v>0</v>
      </c>
      <c r="M368" s="11">
        <v>0</v>
      </c>
      <c r="N368" s="13">
        <v>0</v>
      </c>
      <c r="O368" s="11">
        <v>0</v>
      </c>
      <c r="P368" s="11">
        <v>0</v>
      </c>
      <c r="Q368" s="13">
        <f>K368+N368</f>
        <v>0</v>
      </c>
      <c r="R368" s="11">
        <f>L368+O368</f>
        <v>0</v>
      </c>
      <c r="S368" s="11">
        <f>M368+P368</f>
        <v>0</v>
      </c>
      <c r="T368" s="8">
        <f>I368-Q368</f>
        <v>0</v>
      </c>
      <c r="U368" s="18" t="s">
        <v>1803</v>
      </c>
      <c r="V368" s="11">
        <v>0</v>
      </c>
      <c r="W368" s="11">
        <v>0</v>
      </c>
      <c r="X368" s="11">
        <v>0</v>
      </c>
      <c r="Y368" s="11">
        <v>0</v>
      </c>
      <c r="Z368" t="s">
        <v>3428</v>
      </c>
    </row>
    <row r="369" spans="1:26" x14ac:dyDescent="0.25">
      <c r="A369" s="20" t="s">
        <v>3508</v>
      </c>
      <c r="B369" s="20" t="s">
        <v>60</v>
      </c>
      <c r="C369" s="20" t="s">
        <v>3507</v>
      </c>
      <c r="D369" s="20" t="s">
        <v>216</v>
      </c>
      <c r="E369" s="13">
        <v>0</v>
      </c>
      <c r="F369" s="11">
        <v>0</v>
      </c>
      <c r="G369" s="13">
        <v>0</v>
      </c>
      <c r="H369" s="11">
        <v>0</v>
      </c>
      <c r="I369" s="13">
        <f>E369+G369</f>
        <v>0</v>
      </c>
      <c r="J369" s="11">
        <f>F369+H369</f>
        <v>0</v>
      </c>
      <c r="K369" s="13">
        <v>0</v>
      </c>
      <c r="L369" s="11">
        <v>0</v>
      </c>
      <c r="M369" s="11">
        <v>0</v>
      </c>
      <c r="N369" s="13">
        <v>0</v>
      </c>
      <c r="O369" s="11">
        <v>0</v>
      </c>
      <c r="P369" s="11">
        <v>0</v>
      </c>
      <c r="Q369" s="13">
        <f>K369+N369</f>
        <v>0</v>
      </c>
      <c r="R369" s="11">
        <f>L369+O369</f>
        <v>0</v>
      </c>
      <c r="S369" s="11">
        <f>M369+P369</f>
        <v>0</v>
      </c>
      <c r="T369" s="8">
        <f>I369-Q369</f>
        <v>0</v>
      </c>
      <c r="U369" s="18" t="s">
        <v>1803</v>
      </c>
      <c r="V369" s="11">
        <v>0</v>
      </c>
      <c r="W369" s="11">
        <v>0</v>
      </c>
      <c r="X369" s="11">
        <v>0</v>
      </c>
      <c r="Y369" s="11">
        <v>0</v>
      </c>
      <c r="Z369" t="s">
        <v>3428</v>
      </c>
    </row>
    <row r="370" spans="1:26" x14ac:dyDescent="0.25">
      <c r="A370" s="20" t="s">
        <v>3509</v>
      </c>
      <c r="B370" s="20" t="s">
        <v>60</v>
      </c>
      <c r="C370" s="20" t="s">
        <v>3510</v>
      </c>
      <c r="D370" s="20" t="s">
        <v>216</v>
      </c>
      <c r="E370" s="13">
        <v>0</v>
      </c>
      <c r="F370" s="11">
        <v>0</v>
      </c>
      <c r="G370" s="13">
        <v>0</v>
      </c>
      <c r="H370" s="11">
        <v>0</v>
      </c>
      <c r="I370" s="13">
        <f>E370+G370</f>
        <v>0</v>
      </c>
      <c r="J370" s="11">
        <f>F370+H370</f>
        <v>0</v>
      </c>
      <c r="K370" s="13">
        <v>0</v>
      </c>
      <c r="L370" s="11">
        <v>0</v>
      </c>
      <c r="M370" s="11">
        <v>0</v>
      </c>
      <c r="N370" s="13">
        <v>0</v>
      </c>
      <c r="O370" s="11">
        <v>0</v>
      </c>
      <c r="P370" s="11">
        <v>0</v>
      </c>
      <c r="Q370" s="13">
        <f>K370+N370</f>
        <v>0</v>
      </c>
      <c r="R370" s="11">
        <f>L370+O370</f>
        <v>0</v>
      </c>
      <c r="S370" s="11">
        <f>M370+P370</f>
        <v>0</v>
      </c>
      <c r="T370" s="8">
        <f>I370-Q370</f>
        <v>0</v>
      </c>
      <c r="U370" s="18" t="s">
        <v>1803</v>
      </c>
      <c r="V370" s="11">
        <v>0</v>
      </c>
      <c r="W370" s="11">
        <v>0</v>
      </c>
      <c r="X370" s="11">
        <v>0</v>
      </c>
      <c r="Y370" s="11">
        <v>0</v>
      </c>
      <c r="Z370" t="s">
        <v>3428</v>
      </c>
    </row>
    <row r="371" spans="1:26" x14ac:dyDescent="0.25">
      <c r="A371" s="20" t="s">
        <v>3511</v>
      </c>
      <c r="B371" s="20" t="s">
        <v>60</v>
      </c>
      <c r="C371" s="20" t="s">
        <v>3512</v>
      </c>
      <c r="D371" s="20" t="s">
        <v>216</v>
      </c>
      <c r="E371" s="13">
        <v>0</v>
      </c>
      <c r="F371" s="11">
        <v>0</v>
      </c>
      <c r="G371" s="13">
        <v>0</v>
      </c>
      <c r="H371" s="11">
        <v>0</v>
      </c>
      <c r="I371" s="13">
        <f>E371+G371</f>
        <v>0</v>
      </c>
      <c r="J371" s="11">
        <f>F371+H371</f>
        <v>0</v>
      </c>
      <c r="K371" s="13">
        <v>0</v>
      </c>
      <c r="L371" s="11">
        <v>0</v>
      </c>
      <c r="M371" s="11">
        <v>0</v>
      </c>
      <c r="N371" s="13">
        <v>0</v>
      </c>
      <c r="O371" s="11">
        <v>0</v>
      </c>
      <c r="P371" s="11">
        <v>0</v>
      </c>
      <c r="Q371" s="13">
        <f>K371+N371</f>
        <v>0</v>
      </c>
      <c r="R371" s="11">
        <f>L371+O371</f>
        <v>0</v>
      </c>
      <c r="S371" s="11">
        <f>M371+P371</f>
        <v>0</v>
      </c>
      <c r="T371" s="8">
        <f>I371-Q371</f>
        <v>0</v>
      </c>
      <c r="U371" s="18" t="s">
        <v>1803</v>
      </c>
      <c r="V371" s="11">
        <v>0</v>
      </c>
      <c r="W371" s="11">
        <v>0</v>
      </c>
      <c r="X371" s="11">
        <v>0</v>
      </c>
      <c r="Y371" s="11">
        <v>0</v>
      </c>
      <c r="Z371" t="s">
        <v>3428</v>
      </c>
    </row>
    <row r="372" spans="1:26" x14ac:dyDescent="0.25">
      <c r="A372" s="20" t="s">
        <v>3513</v>
      </c>
      <c r="B372" s="20" t="s">
        <v>60</v>
      </c>
      <c r="C372" s="20" t="s">
        <v>3514</v>
      </c>
      <c r="D372" s="20" t="s">
        <v>216</v>
      </c>
      <c r="E372" s="13">
        <v>0</v>
      </c>
      <c r="F372" s="11">
        <v>0</v>
      </c>
      <c r="G372" s="13">
        <v>0</v>
      </c>
      <c r="H372" s="11">
        <v>0</v>
      </c>
      <c r="I372" s="13">
        <f>E372+G372</f>
        <v>0</v>
      </c>
      <c r="J372" s="11">
        <f>F372+H372</f>
        <v>0</v>
      </c>
      <c r="K372" s="13">
        <v>0</v>
      </c>
      <c r="L372" s="11">
        <v>0</v>
      </c>
      <c r="M372" s="11">
        <v>0</v>
      </c>
      <c r="N372" s="13">
        <v>0</v>
      </c>
      <c r="O372" s="11">
        <v>0</v>
      </c>
      <c r="P372" s="11">
        <v>0</v>
      </c>
      <c r="Q372" s="13">
        <f>K372+N372</f>
        <v>0</v>
      </c>
      <c r="R372" s="11">
        <f>L372+O372</f>
        <v>0</v>
      </c>
      <c r="S372" s="11">
        <f>M372+P372</f>
        <v>0</v>
      </c>
      <c r="T372" s="8">
        <f>I372-Q372</f>
        <v>0</v>
      </c>
      <c r="U372" s="18" t="s">
        <v>1803</v>
      </c>
      <c r="V372" s="11">
        <v>0</v>
      </c>
      <c r="W372" s="11">
        <v>0</v>
      </c>
      <c r="X372" s="11">
        <v>0</v>
      </c>
      <c r="Y372" s="11">
        <v>0</v>
      </c>
      <c r="Z372" t="s">
        <v>3428</v>
      </c>
    </row>
    <row r="373" spans="1:26" x14ac:dyDescent="0.25">
      <c r="A373" s="20" t="s">
        <v>3515</v>
      </c>
      <c r="B373" s="20" t="s">
        <v>60</v>
      </c>
      <c r="C373" s="20" t="s">
        <v>3516</v>
      </c>
      <c r="D373" s="20" t="s">
        <v>216</v>
      </c>
      <c r="E373" s="13">
        <v>0</v>
      </c>
      <c r="F373" s="11">
        <v>0</v>
      </c>
      <c r="G373" s="13">
        <v>0</v>
      </c>
      <c r="H373" s="11">
        <v>0</v>
      </c>
      <c r="I373" s="13">
        <f>E373+G373</f>
        <v>0</v>
      </c>
      <c r="J373" s="11">
        <f>F373+H373</f>
        <v>0</v>
      </c>
      <c r="K373" s="13">
        <v>0</v>
      </c>
      <c r="L373" s="11">
        <v>0</v>
      </c>
      <c r="M373" s="11">
        <v>0</v>
      </c>
      <c r="N373" s="13">
        <v>0</v>
      </c>
      <c r="O373" s="11">
        <v>0</v>
      </c>
      <c r="P373" s="11">
        <v>0</v>
      </c>
      <c r="Q373" s="13">
        <f>K373+N373</f>
        <v>0</v>
      </c>
      <c r="R373" s="11">
        <f>L373+O373</f>
        <v>0</v>
      </c>
      <c r="S373" s="11">
        <f>M373+P373</f>
        <v>0</v>
      </c>
      <c r="T373" s="8">
        <f>I373-Q373</f>
        <v>0</v>
      </c>
      <c r="U373" s="18" t="s">
        <v>1803</v>
      </c>
      <c r="V373" s="11">
        <v>0</v>
      </c>
      <c r="W373" s="11">
        <v>0</v>
      </c>
      <c r="X373" s="11">
        <v>0</v>
      </c>
      <c r="Y373" s="11">
        <v>0</v>
      </c>
      <c r="Z373" t="s">
        <v>3428</v>
      </c>
    </row>
    <row r="374" spans="1:26" x14ac:dyDescent="0.25">
      <c r="A374" s="20" t="s">
        <v>3517</v>
      </c>
      <c r="B374" s="20" t="s">
        <v>60</v>
      </c>
      <c r="C374" s="20" t="s">
        <v>3518</v>
      </c>
      <c r="D374" s="20" t="s">
        <v>216</v>
      </c>
      <c r="E374" s="13">
        <v>0</v>
      </c>
      <c r="F374" s="11">
        <v>0</v>
      </c>
      <c r="G374" s="13">
        <v>0</v>
      </c>
      <c r="H374" s="11">
        <v>0</v>
      </c>
      <c r="I374" s="13">
        <f>E374+G374</f>
        <v>0</v>
      </c>
      <c r="J374" s="11">
        <f>F374+H374</f>
        <v>0</v>
      </c>
      <c r="K374" s="13">
        <v>0</v>
      </c>
      <c r="L374" s="11">
        <v>0</v>
      </c>
      <c r="M374" s="11">
        <v>0</v>
      </c>
      <c r="N374" s="13">
        <v>0</v>
      </c>
      <c r="O374" s="11">
        <v>0</v>
      </c>
      <c r="P374" s="11">
        <v>0</v>
      </c>
      <c r="Q374" s="13">
        <f>K374+N374</f>
        <v>0</v>
      </c>
      <c r="R374" s="11">
        <f>L374+O374</f>
        <v>0</v>
      </c>
      <c r="S374" s="11">
        <f>M374+P374</f>
        <v>0</v>
      </c>
      <c r="T374" s="8">
        <f>I374-Q374</f>
        <v>0</v>
      </c>
      <c r="U374" s="18" t="s">
        <v>1803</v>
      </c>
      <c r="V374" s="11">
        <v>0</v>
      </c>
      <c r="W374" s="11">
        <v>0</v>
      </c>
      <c r="X374" s="11">
        <v>0</v>
      </c>
      <c r="Y374" s="11">
        <v>0</v>
      </c>
      <c r="Z374" t="s">
        <v>3428</v>
      </c>
    </row>
    <row r="375" spans="1:26" x14ac:dyDescent="0.25">
      <c r="A375" s="20" t="s">
        <v>3519</v>
      </c>
      <c r="B375" s="20" t="s">
        <v>60</v>
      </c>
      <c r="C375" s="20" t="s">
        <v>3618</v>
      </c>
      <c r="D375" s="20" t="s">
        <v>216</v>
      </c>
      <c r="E375" s="13">
        <v>0</v>
      </c>
      <c r="F375" s="11">
        <v>0</v>
      </c>
      <c r="G375" s="13">
        <v>0</v>
      </c>
      <c r="H375" s="11">
        <v>0</v>
      </c>
      <c r="I375" s="13">
        <f>E375+G375</f>
        <v>0</v>
      </c>
      <c r="J375" s="11">
        <f>F375+H375</f>
        <v>0</v>
      </c>
      <c r="K375" s="13">
        <v>0</v>
      </c>
      <c r="L375" s="11">
        <v>0</v>
      </c>
      <c r="M375" s="11">
        <v>0</v>
      </c>
      <c r="N375" s="13">
        <v>0</v>
      </c>
      <c r="O375" s="11">
        <v>0</v>
      </c>
      <c r="P375" s="11">
        <v>0</v>
      </c>
      <c r="Q375" s="13">
        <f>K375+N375</f>
        <v>0</v>
      </c>
      <c r="R375" s="11">
        <f>L375+O375</f>
        <v>0</v>
      </c>
      <c r="S375" s="11">
        <f>M375+P375</f>
        <v>0</v>
      </c>
      <c r="T375" s="8">
        <f>I375-Q375</f>
        <v>0</v>
      </c>
      <c r="U375" s="18" t="s">
        <v>1803</v>
      </c>
      <c r="V375" s="11">
        <v>0</v>
      </c>
      <c r="W375" s="11">
        <v>0</v>
      </c>
      <c r="X375" s="11">
        <v>0</v>
      </c>
      <c r="Y375" s="11">
        <v>0</v>
      </c>
      <c r="Z375" t="s">
        <v>3428</v>
      </c>
    </row>
    <row r="376" spans="1:26" x14ac:dyDescent="0.25">
      <c r="A376" s="20" t="s">
        <v>3520</v>
      </c>
      <c r="B376" s="20" t="s">
        <v>60</v>
      </c>
      <c r="C376" s="20" t="s">
        <v>3521</v>
      </c>
      <c r="D376" s="20" t="s">
        <v>216</v>
      </c>
      <c r="E376" s="13">
        <v>0</v>
      </c>
      <c r="F376" s="11">
        <v>0</v>
      </c>
      <c r="G376" s="13">
        <v>0</v>
      </c>
      <c r="H376" s="11">
        <v>0</v>
      </c>
      <c r="I376" s="13">
        <f>E376+G376</f>
        <v>0</v>
      </c>
      <c r="J376" s="11">
        <f>F376+H376</f>
        <v>0</v>
      </c>
      <c r="K376" s="13">
        <v>0</v>
      </c>
      <c r="L376" s="11">
        <v>0</v>
      </c>
      <c r="M376" s="11">
        <v>0</v>
      </c>
      <c r="N376" s="13">
        <v>0</v>
      </c>
      <c r="O376" s="11">
        <v>0</v>
      </c>
      <c r="P376" s="11">
        <v>0</v>
      </c>
      <c r="Q376" s="13">
        <f>K376+N376</f>
        <v>0</v>
      </c>
      <c r="R376" s="11">
        <f>L376+O376</f>
        <v>0</v>
      </c>
      <c r="S376" s="11">
        <f>M376+P376</f>
        <v>0</v>
      </c>
      <c r="T376" s="8">
        <f>I376-Q376</f>
        <v>0</v>
      </c>
      <c r="U376" s="18" t="s">
        <v>1803</v>
      </c>
      <c r="V376" s="11">
        <v>0</v>
      </c>
      <c r="W376" s="11">
        <v>0</v>
      </c>
      <c r="X376" s="11">
        <v>0</v>
      </c>
      <c r="Y376" s="11">
        <v>0</v>
      </c>
      <c r="Z376" t="s">
        <v>3428</v>
      </c>
    </row>
    <row r="377" spans="1:26" x14ac:dyDescent="0.25">
      <c r="A377" s="20" t="s">
        <v>3162</v>
      </c>
      <c r="B377" s="20" t="s">
        <v>60</v>
      </c>
      <c r="C377" s="20" t="s">
        <v>3163</v>
      </c>
      <c r="D377" s="20" t="s">
        <v>216</v>
      </c>
      <c r="E377" s="13">
        <v>0</v>
      </c>
      <c r="F377" s="11">
        <v>0</v>
      </c>
      <c r="G377" s="13">
        <v>0</v>
      </c>
      <c r="H377" s="11">
        <v>0</v>
      </c>
      <c r="I377" s="13">
        <f>E377+G377</f>
        <v>0</v>
      </c>
      <c r="J377" s="11">
        <f>F377+H377</f>
        <v>0</v>
      </c>
      <c r="K377" s="13">
        <v>0</v>
      </c>
      <c r="L377" s="11">
        <v>0</v>
      </c>
      <c r="M377" s="11">
        <v>0</v>
      </c>
      <c r="N377" s="13">
        <v>0</v>
      </c>
      <c r="O377" s="11">
        <v>0</v>
      </c>
      <c r="P377" s="11">
        <v>0</v>
      </c>
      <c r="Q377" s="13">
        <f>K377+N377</f>
        <v>0</v>
      </c>
      <c r="R377" s="11">
        <f>L377+O377</f>
        <v>0</v>
      </c>
      <c r="S377" s="11">
        <f>M377+P377</f>
        <v>0</v>
      </c>
      <c r="T377" s="8">
        <f>I377-Q377</f>
        <v>0</v>
      </c>
      <c r="U377" s="18" t="s">
        <v>1803</v>
      </c>
      <c r="V377" s="11">
        <v>0</v>
      </c>
      <c r="W377" s="11">
        <v>0</v>
      </c>
      <c r="X377" s="11">
        <v>0</v>
      </c>
      <c r="Y377" s="11">
        <v>0</v>
      </c>
      <c r="Z377" t="s">
        <v>3428</v>
      </c>
    </row>
    <row r="378" spans="1:26" x14ac:dyDescent="0.25">
      <c r="A378" s="20" t="s">
        <v>3522</v>
      </c>
      <c r="B378" s="20" t="s">
        <v>60</v>
      </c>
      <c r="C378" s="20" t="s">
        <v>3523</v>
      </c>
      <c r="D378" s="20" t="s">
        <v>216</v>
      </c>
      <c r="E378" s="13">
        <v>0</v>
      </c>
      <c r="F378" s="11">
        <v>0</v>
      </c>
      <c r="G378" s="13">
        <v>0</v>
      </c>
      <c r="H378" s="11">
        <v>0</v>
      </c>
      <c r="I378" s="13">
        <f>E378+G378</f>
        <v>0</v>
      </c>
      <c r="J378" s="11">
        <f>F378+H378</f>
        <v>0</v>
      </c>
      <c r="K378" s="13">
        <v>0</v>
      </c>
      <c r="L378" s="11">
        <v>0</v>
      </c>
      <c r="M378" s="11">
        <v>0</v>
      </c>
      <c r="N378" s="13">
        <v>0</v>
      </c>
      <c r="O378" s="11">
        <v>0</v>
      </c>
      <c r="P378" s="11">
        <v>0</v>
      </c>
      <c r="Q378" s="13">
        <f>K378+N378</f>
        <v>0</v>
      </c>
      <c r="R378" s="11">
        <f>L378+O378</f>
        <v>0</v>
      </c>
      <c r="S378" s="11">
        <f>M378+P378</f>
        <v>0</v>
      </c>
      <c r="T378" s="8">
        <f>I378-Q378</f>
        <v>0</v>
      </c>
      <c r="U378" s="18" t="s">
        <v>1803</v>
      </c>
      <c r="V378" s="11">
        <v>0</v>
      </c>
      <c r="W378" s="11">
        <v>0</v>
      </c>
      <c r="X378" s="11">
        <v>0</v>
      </c>
      <c r="Y378" s="11">
        <v>0</v>
      </c>
      <c r="Z378" t="s">
        <v>3428</v>
      </c>
    </row>
    <row r="379" spans="1:26" x14ac:dyDescent="0.25">
      <c r="A379" s="20" t="s">
        <v>3524</v>
      </c>
      <c r="B379" s="20" t="s">
        <v>60</v>
      </c>
      <c r="C379" s="20" t="s">
        <v>3525</v>
      </c>
      <c r="D379" s="20" t="s">
        <v>216</v>
      </c>
      <c r="E379" s="13">
        <v>0</v>
      </c>
      <c r="F379" s="11">
        <v>0</v>
      </c>
      <c r="G379" s="13">
        <v>0</v>
      </c>
      <c r="H379" s="11">
        <v>0</v>
      </c>
      <c r="I379" s="13">
        <f>E379+G379</f>
        <v>0</v>
      </c>
      <c r="J379" s="11">
        <f>F379+H379</f>
        <v>0</v>
      </c>
      <c r="K379" s="13">
        <v>0</v>
      </c>
      <c r="L379" s="11">
        <v>0</v>
      </c>
      <c r="M379" s="11">
        <v>0</v>
      </c>
      <c r="N379" s="13">
        <v>0</v>
      </c>
      <c r="O379" s="11">
        <v>0</v>
      </c>
      <c r="P379" s="11">
        <v>0</v>
      </c>
      <c r="Q379" s="13">
        <f>K379+N379</f>
        <v>0</v>
      </c>
      <c r="R379" s="11">
        <f>L379+O379</f>
        <v>0</v>
      </c>
      <c r="S379" s="11">
        <f>M379+P379</f>
        <v>0</v>
      </c>
      <c r="T379" s="8">
        <f>I379-Q379</f>
        <v>0</v>
      </c>
      <c r="U379" s="18" t="s">
        <v>1803</v>
      </c>
      <c r="V379" s="11">
        <v>0</v>
      </c>
      <c r="W379" s="11">
        <v>0</v>
      </c>
      <c r="X379" s="11">
        <v>0</v>
      </c>
      <c r="Y379" s="11">
        <v>0</v>
      </c>
      <c r="Z379" t="s">
        <v>3428</v>
      </c>
    </row>
    <row r="380" spans="1:26" x14ac:dyDescent="0.25">
      <c r="A380" s="20" t="s">
        <v>3526</v>
      </c>
      <c r="B380" s="20" t="s">
        <v>60</v>
      </c>
      <c r="C380" s="20" t="s">
        <v>3527</v>
      </c>
      <c r="D380" s="20" t="s">
        <v>216</v>
      </c>
      <c r="E380" s="13">
        <v>0</v>
      </c>
      <c r="F380" s="11">
        <v>0</v>
      </c>
      <c r="G380" s="13">
        <v>0</v>
      </c>
      <c r="H380" s="11">
        <v>0</v>
      </c>
      <c r="I380" s="13">
        <f>E380+G380</f>
        <v>0</v>
      </c>
      <c r="J380" s="11">
        <f>F380+H380</f>
        <v>0</v>
      </c>
      <c r="K380" s="13">
        <v>0</v>
      </c>
      <c r="L380" s="11">
        <v>0</v>
      </c>
      <c r="M380" s="11">
        <v>0</v>
      </c>
      <c r="N380" s="13">
        <v>0</v>
      </c>
      <c r="O380" s="11">
        <v>0</v>
      </c>
      <c r="P380" s="11">
        <v>0</v>
      </c>
      <c r="Q380" s="13">
        <f>K380+N380</f>
        <v>0</v>
      </c>
      <c r="R380" s="11">
        <f>L380+O380</f>
        <v>0</v>
      </c>
      <c r="S380" s="11">
        <f>M380+P380</f>
        <v>0</v>
      </c>
      <c r="T380" s="8">
        <f>I380-Q380</f>
        <v>0</v>
      </c>
      <c r="U380" s="18" t="s">
        <v>1803</v>
      </c>
      <c r="V380" s="11">
        <v>0</v>
      </c>
      <c r="W380" s="11">
        <v>0</v>
      </c>
      <c r="X380" s="11">
        <v>0</v>
      </c>
      <c r="Y380" s="11">
        <v>0</v>
      </c>
      <c r="Z380" t="s">
        <v>3428</v>
      </c>
    </row>
    <row r="381" spans="1:26" x14ac:dyDescent="0.25">
      <c r="A381" s="20" t="s">
        <v>3528</v>
      </c>
      <c r="B381" s="20" t="s">
        <v>60</v>
      </c>
      <c r="C381" s="20" t="s">
        <v>3529</v>
      </c>
      <c r="D381" s="20" t="s">
        <v>216</v>
      </c>
      <c r="E381" s="13">
        <v>0</v>
      </c>
      <c r="F381" s="11">
        <v>0</v>
      </c>
      <c r="G381" s="13">
        <v>0</v>
      </c>
      <c r="H381" s="11">
        <v>0</v>
      </c>
      <c r="I381" s="13">
        <f>E381+G381</f>
        <v>0</v>
      </c>
      <c r="J381" s="11">
        <f>F381+H381</f>
        <v>0</v>
      </c>
      <c r="K381" s="13">
        <v>0</v>
      </c>
      <c r="L381" s="11">
        <v>0</v>
      </c>
      <c r="M381" s="11">
        <v>0</v>
      </c>
      <c r="N381" s="13">
        <v>0</v>
      </c>
      <c r="O381" s="11">
        <v>0</v>
      </c>
      <c r="P381" s="11">
        <v>0</v>
      </c>
      <c r="Q381" s="13">
        <f>K381+N381</f>
        <v>0</v>
      </c>
      <c r="R381" s="11">
        <f>L381+O381</f>
        <v>0</v>
      </c>
      <c r="S381" s="11">
        <f>M381+P381</f>
        <v>0</v>
      </c>
      <c r="T381" s="8">
        <f>I381-Q381</f>
        <v>0</v>
      </c>
      <c r="U381" s="18" t="s">
        <v>1803</v>
      </c>
      <c r="V381" s="11">
        <v>0</v>
      </c>
      <c r="W381" s="11">
        <v>0</v>
      </c>
      <c r="X381" s="11">
        <v>0</v>
      </c>
      <c r="Y381" s="11">
        <v>0</v>
      </c>
      <c r="Z381" t="s">
        <v>3428</v>
      </c>
    </row>
    <row r="382" spans="1:26" x14ac:dyDescent="0.25">
      <c r="A382" s="20" t="s">
        <v>3530</v>
      </c>
      <c r="B382" s="20" t="s">
        <v>60</v>
      </c>
      <c r="C382" s="20" t="s">
        <v>3531</v>
      </c>
      <c r="D382" s="20" t="s">
        <v>216</v>
      </c>
      <c r="E382" s="13">
        <v>0</v>
      </c>
      <c r="F382" s="11">
        <v>0</v>
      </c>
      <c r="G382" s="13">
        <v>0</v>
      </c>
      <c r="H382" s="11">
        <v>0</v>
      </c>
      <c r="I382" s="13">
        <f>E382+G382</f>
        <v>0</v>
      </c>
      <c r="J382" s="11">
        <f>F382+H382</f>
        <v>0</v>
      </c>
      <c r="K382" s="13">
        <v>0</v>
      </c>
      <c r="L382" s="11">
        <v>0</v>
      </c>
      <c r="M382" s="11">
        <v>0</v>
      </c>
      <c r="N382" s="13">
        <v>0</v>
      </c>
      <c r="O382" s="11">
        <v>0</v>
      </c>
      <c r="P382" s="11">
        <v>0</v>
      </c>
      <c r="Q382" s="13">
        <f>K382+N382</f>
        <v>0</v>
      </c>
      <c r="R382" s="11">
        <f>L382+O382</f>
        <v>0</v>
      </c>
      <c r="S382" s="11">
        <f>M382+P382</f>
        <v>0</v>
      </c>
      <c r="T382" s="8">
        <f>I382-Q382</f>
        <v>0</v>
      </c>
      <c r="U382" s="18" t="s">
        <v>1803</v>
      </c>
      <c r="V382" s="11">
        <v>0</v>
      </c>
      <c r="W382" s="11">
        <v>0</v>
      </c>
      <c r="X382" s="11">
        <v>0</v>
      </c>
      <c r="Y382" s="11">
        <v>0</v>
      </c>
      <c r="Z382" t="s">
        <v>3428</v>
      </c>
    </row>
    <row r="383" spans="1:26" x14ac:dyDescent="0.25">
      <c r="A383" s="20" t="s">
        <v>3532</v>
      </c>
      <c r="B383" s="20" t="s">
        <v>60</v>
      </c>
      <c r="C383" s="20" t="s">
        <v>3533</v>
      </c>
      <c r="D383" s="20" t="s">
        <v>216</v>
      </c>
      <c r="E383" s="13">
        <v>0</v>
      </c>
      <c r="F383" s="11">
        <v>0</v>
      </c>
      <c r="G383" s="13">
        <v>0</v>
      </c>
      <c r="H383" s="11">
        <v>0</v>
      </c>
      <c r="I383" s="13">
        <f>E383+G383</f>
        <v>0</v>
      </c>
      <c r="J383" s="11">
        <f>F383+H383</f>
        <v>0</v>
      </c>
      <c r="K383" s="13">
        <v>0</v>
      </c>
      <c r="L383" s="11">
        <v>0</v>
      </c>
      <c r="M383" s="11">
        <v>0</v>
      </c>
      <c r="N383" s="13">
        <v>0</v>
      </c>
      <c r="O383" s="11">
        <v>0</v>
      </c>
      <c r="P383" s="11">
        <v>0</v>
      </c>
      <c r="Q383" s="13">
        <f>K383+N383</f>
        <v>0</v>
      </c>
      <c r="R383" s="11">
        <f>L383+O383</f>
        <v>0</v>
      </c>
      <c r="S383" s="11">
        <f>M383+P383</f>
        <v>0</v>
      </c>
      <c r="T383" s="8">
        <f>I383-Q383</f>
        <v>0</v>
      </c>
      <c r="U383" s="18" t="s">
        <v>1803</v>
      </c>
      <c r="V383" s="11">
        <v>0</v>
      </c>
      <c r="W383" s="11">
        <v>0</v>
      </c>
      <c r="X383" s="11">
        <v>0</v>
      </c>
      <c r="Y383" s="11">
        <v>0</v>
      </c>
      <c r="Z383" t="s">
        <v>3428</v>
      </c>
    </row>
    <row r="384" spans="1:26" x14ac:dyDescent="0.25">
      <c r="A384" s="20" t="s">
        <v>3534</v>
      </c>
      <c r="B384" s="20" t="s">
        <v>60</v>
      </c>
      <c r="C384" s="20" t="s">
        <v>3535</v>
      </c>
      <c r="D384" s="20" t="s">
        <v>216</v>
      </c>
      <c r="E384" s="13">
        <v>0</v>
      </c>
      <c r="F384" s="11">
        <v>0</v>
      </c>
      <c r="G384" s="13">
        <v>0</v>
      </c>
      <c r="H384" s="11">
        <v>0</v>
      </c>
      <c r="I384" s="13">
        <f>E384+G384</f>
        <v>0</v>
      </c>
      <c r="J384" s="11">
        <f>F384+H384</f>
        <v>0</v>
      </c>
      <c r="K384" s="13">
        <v>0</v>
      </c>
      <c r="L384" s="11">
        <v>0</v>
      </c>
      <c r="M384" s="11">
        <v>0</v>
      </c>
      <c r="N384" s="13">
        <v>0</v>
      </c>
      <c r="O384" s="11">
        <v>0</v>
      </c>
      <c r="P384" s="11">
        <v>0</v>
      </c>
      <c r="Q384" s="13">
        <f>K384+N384</f>
        <v>0</v>
      </c>
      <c r="R384" s="11">
        <f>L384+O384</f>
        <v>0</v>
      </c>
      <c r="S384" s="11">
        <f>M384+P384</f>
        <v>0</v>
      </c>
      <c r="T384" s="8">
        <f>I384-Q384</f>
        <v>0</v>
      </c>
      <c r="U384" s="18" t="s">
        <v>1803</v>
      </c>
      <c r="V384" s="11">
        <v>0</v>
      </c>
      <c r="W384" s="11">
        <v>0</v>
      </c>
      <c r="X384" s="11">
        <v>0</v>
      </c>
      <c r="Y384" s="11">
        <v>0</v>
      </c>
      <c r="Z384" t="s">
        <v>3428</v>
      </c>
    </row>
    <row r="385" spans="1:26" x14ac:dyDescent="0.25">
      <c r="A385" s="20" t="s">
        <v>3536</v>
      </c>
      <c r="B385" s="20" t="s">
        <v>60</v>
      </c>
      <c r="C385" s="20" t="s">
        <v>3537</v>
      </c>
      <c r="D385" s="20" t="s">
        <v>216</v>
      </c>
      <c r="E385" s="13">
        <v>0</v>
      </c>
      <c r="F385" s="11">
        <v>0</v>
      </c>
      <c r="G385" s="13">
        <v>0</v>
      </c>
      <c r="H385" s="11">
        <v>0</v>
      </c>
      <c r="I385" s="13">
        <f>E385+G385</f>
        <v>0</v>
      </c>
      <c r="J385" s="11">
        <f>F385+H385</f>
        <v>0</v>
      </c>
      <c r="K385" s="13">
        <v>0</v>
      </c>
      <c r="L385" s="11">
        <v>0</v>
      </c>
      <c r="M385" s="11">
        <v>0</v>
      </c>
      <c r="N385" s="13">
        <v>0</v>
      </c>
      <c r="O385" s="11">
        <v>0</v>
      </c>
      <c r="P385" s="11">
        <v>0</v>
      </c>
      <c r="Q385" s="13">
        <f>K385+N385</f>
        <v>0</v>
      </c>
      <c r="R385" s="11">
        <f>L385+O385</f>
        <v>0</v>
      </c>
      <c r="S385" s="11">
        <f>M385+P385</f>
        <v>0</v>
      </c>
      <c r="T385" s="8">
        <f>I385-Q385</f>
        <v>0</v>
      </c>
      <c r="U385" s="18" t="s">
        <v>1803</v>
      </c>
      <c r="V385" s="11">
        <v>0</v>
      </c>
      <c r="W385" s="11">
        <v>0</v>
      </c>
      <c r="X385" s="11">
        <v>0</v>
      </c>
      <c r="Y385" s="11">
        <v>0</v>
      </c>
      <c r="Z385" t="s">
        <v>3428</v>
      </c>
    </row>
    <row r="386" spans="1:26" x14ac:dyDescent="0.25">
      <c r="A386" s="20" t="s">
        <v>3175</v>
      </c>
      <c r="B386" s="20" t="s">
        <v>189</v>
      </c>
      <c r="C386" s="20" t="s">
        <v>212</v>
      </c>
      <c r="D386" s="20" t="s">
        <v>216</v>
      </c>
      <c r="E386" s="13">
        <v>0</v>
      </c>
      <c r="F386" s="11">
        <v>0</v>
      </c>
      <c r="G386" s="13">
        <v>0</v>
      </c>
      <c r="H386" s="11">
        <v>0</v>
      </c>
      <c r="I386" s="13">
        <f>E386+G386</f>
        <v>0</v>
      </c>
      <c r="J386" s="11">
        <f>F386+H386</f>
        <v>0</v>
      </c>
      <c r="K386" s="13">
        <v>0</v>
      </c>
      <c r="L386" s="11">
        <v>0</v>
      </c>
      <c r="M386" s="11">
        <v>0</v>
      </c>
      <c r="N386" s="13">
        <v>0</v>
      </c>
      <c r="O386" s="11">
        <v>0</v>
      </c>
      <c r="P386" s="11">
        <v>0</v>
      </c>
      <c r="Q386" s="13">
        <f>K386+N386</f>
        <v>0</v>
      </c>
      <c r="R386" s="11">
        <f>L386+O386</f>
        <v>0</v>
      </c>
      <c r="S386" s="11">
        <f>M386+P386</f>
        <v>0</v>
      </c>
      <c r="T386" s="8">
        <f>I386-Q386</f>
        <v>0</v>
      </c>
      <c r="U386" s="18">
        <v>2.9230530946038041E-2</v>
      </c>
      <c r="V386" s="11">
        <v>0</v>
      </c>
      <c r="W386" s="11">
        <v>0</v>
      </c>
      <c r="X386" s="11">
        <v>0</v>
      </c>
      <c r="Y386" s="11">
        <v>0</v>
      </c>
      <c r="Z386" t="s">
        <v>3428</v>
      </c>
    </row>
    <row r="387" spans="1:26" x14ac:dyDescent="0.25">
      <c r="A387" s="20" t="s">
        <v>3538</v>
      </c>
      <c r="B387" s="20" t="s">
        <v>60</v>
      </c>
      <c r="C387" s="20" t="s">
        <v>3539</v>
      </c>
      <c r="D387" s="20" t="s">
        <v>216</v>
      </c>
      <c r="E387" s="13">
        <v>0</v>
      </c>
      <c r="F387" s="11">
        <v>0</v>
      </c>
      <c r="G387" s="13">
        <v>0</v>
      </c>
      <c r="H387" s="11">
        <v>0</v>
      </c>
      <c r="I387" s="13">
        <f>E387+G387</f>
        <v>0</v>
      </c>
      <c r="J387" s="11">
        <f>F387+H387</f>
        <v>0</v>
      </c>
      <c r="K387" s="13">
        <v>0</v>
      </c>
      <c r="L387" s="11">
        <v>0</v>
      </c>
      <c r="M387" s="11">
        <v>0</v>
      </c>
      <c r="N387" s="13">
        <v>0</v>
      </c>
      <c r="O387" s="11">
        <v>0</v>
      </c>
      <c r="P387" s="11">
        <v>0</v>
      </c>
      <c r="Q387" s="13">
        <f>K387+N387</f>
        <v>0</v>
      </c>
      <c r="R387" s="11">
        <f>L387+O387</f>
        <v>0</v>
      </c>
      <c r="S387" s="11">
        <f>M387+P387</f>
        <v>0</v>
      </c>
      <c r="T387" s="8">
        <f>I387-Q387</f>
        <v>0</v>
      </c>
      <c r="U387" s="18" t="s">
        <v>1803</v>
      </c>
      <c r="V387" s="11">
        <v>0</v>
      </c>
      <c r="W387" s="11">
        <v>0</v>
      </c>
      <c r="X387" s="11">
        <v>0</v>
      </c>
      <c r="Y387" s="11">
        <v>0</v>
      </c>
      <c r="Z387" t="s">
        <v>3428</v>
      </c>
    </row>
    <row r="388" spans="1:26" x14ac:dyDescent="0.25">
      <c r="A388" s="20" t="s">
        <v>3540</v>
      </c>
      <c r="B388" s="20" t="s">
        <v>60</v>
      </c>
      <c r="C388" s="20" t="s">
        <v>3541</v>
      </c>
      <c r="D388" s="20" t="s">
        <v>216</v>
      </c>
      <c r="E388" s="13">
        <v>0</v>
      </c>
      <c r="F388" s="11">
        <v>0</v>
      </c>
      <c r="G388" s="13">
        <v>0</v>
      </c>
      <c r="H388" s="11">
        <v>0</v>
      </c>
      <c r="I388" s="13">
        <f>E388+G388</f>
        <v>0</v>
      </c>
      <c r="J388" s="11">
        <f>F388+H388</f>
        <v>0</v>
      </c>
      <c r="K388" s="13">
        <v>0</v>
      </c>
      <c r="L388" s="11">
        <v>0</v>
      </c>
      <c r="M388" s="11">
        <v>0</v>
      </c>
      <c r="N388" s="13">
        <v>0</v>
      </c>
      <c r="O388" s="11">
        <v>0</v>
      </c>
      <c r="P388" s="11">
        <v>0</v>
      </c>
      <c r="Q388" s="13">
        <f>K388+N388</f>
        <v>0</v>
      </c>
      <c r="R388" s="11">
        <f>L388+O388</f>
        <v>0</v>
      </c>
      <c r="S388" s="11">
        <f>M388+P388</f>
        <v>0</v>
      </c>
      <c r="T388" s="8">
        <f>I388-Q388</f>
        <v>0</v>
      </c>
      <c r="U388" s="18" t="s">
        <v>1803</v>
      </c>
      <c r="V388" s="11">
        <v>0</v>
      </c>
      <c r="W388" s="11">
        <v>0</v>
      </c>
      <c r="X388" s="11">
        <v>0</v>
      </c>
      <c r="Y388" s="11">
        <v>0</v>
      </c>
      <c r="Z388" t="s">
        <v>3428</v>
      </c>
    </row>
    <row r="389" spans="1:26" x14ac:dyDescent="0.25">
      <c r="A389" s="20" t="s">
        <v>3542</v>
      </c>
      <c r="B389" s="20" t="s">
        <v>60</v>
      </c>
      <c r="C389" s="20" t="s">
        <v>3543</v>
      </c>
      <c r="D389" s="20" t="s">
        <v>216</v>
      </c>
      <c r="E389" s="13">
        <v>0</v>
      </c>
      <c r="F389" s="11">
        <v>0</v>
      </c>
      <c r="G389" s="13">
        <v>0</v>
      </c>
      <c r="H389" s="11">
        <v>0</v>
      </c>
      <c r="I389" s="13">
        <f>E389+G389</f>
        <v>0</v>
      </c>
      <c r="J389" s="11">
        <f>F389+H389</f>
        <v>0</v>
      </c>
      <c r="K389" s="13">
        <v>0</v>
      </c>
      <c r="L389" s="11">
        <v>0</v>
      </c>
      <c r="M389" s="11">
        <v>0</v>
      </c>
      <c r="N389" s="13">
        <v>0</v>
      </c>
      <c r="O389" s="11">
        <v>0</v>
      </c>
      <c r="P389" s="11">
        <v>0</v>
      </c>
      <c r="Q389" s="13">
        <f>K389+N389</f>
        <v>0</v>
      </c>
      <c r="R389" s="11">
        <f>L389+O389</f>
        <v>0</v>
      </c>
      <c r="S389" s="11">
        <f>M389+P389</f>
        <v>0</v>
      </c>
      <c r="T389" s="8">
        <f>I389-Q389</f>
        <v>0</v>
      </c>
      <c r="U389" s="18" t="s">
        <v>1803</v>
      </c>
      <c r="V389" s="11">
        <v>0</v>
      </c>
      <c r="W389" s="11">
        <v>0</v>
      </c>
      <c r="X389" s="11">
        <v>0</v>
      </c>
      <c r="Y389" s="11">
        <v>0</v>
      </c>
      <c r="Z389" t="s">
        <v>3428</v>
      </c>
    </row>
    <row r="390" spans="1:26" x14ac:dyDescent="0.25">
      <c r="A390" s="20" t="s">
        <v>3203</v>
      </c>
      <c r="B390" s="20" t="s">
        <v>3203</v>
      </c>
      <c r="C390" s="20" t="s">
        <v>3544</v>
      </c>
      <c r="D390" s="20" t="s">
        <v>216</v>
      </c>
      <c r="E390" s="13">
        <v>0</v>
      </c>
      <c r="F390" s="11">
        <v>0</v>
      </c>
      <c r="G390" s="13">
        <v>0</v>
      </c>
      <c r="H390" s="11">
        <v>0</v>
      </c>
      <c r="I390" s="13">
        <f>E390+G390</f>
        <v>0</v>
      </c>
      <c r="J390" s="11">
        <f>F390+H390</f>
        <v>0</v>
      </c>
      <c r="K390" s="13">
        <v>0</v>
      </c>
      <c r="L390" s="11">
        <v>0</v>
      </c>
      <c r="M390" s="11">
        <v>0</v>
      </c>
      <c r="N390" s="13">
        <v>0</v>
      </c>
      <c r="O390" s="11">
        <v>0</v>
      </c>
      <c r="P390" s="11">
        <v>0</v>
      </c>
      <c r="Q390" s="13">
        <f>K390+N390</f>
        <v>0</v>
      </c>
      <c r="R390" s="11">
        <f>L390+O390</f>
        <v>0</v>
      </c>
      <c r="S390" s="11">
        <f>M390+P390</f>
        <v>0</v>
      </c>
      <c r="T390" s="8">
        <f>I390-Q390</f>
        <v>0</v>
      </c>
      <c r="U390" s="18" t="s">
        <v>1803</v>
      </c>
      <c r="V390" s="11">
        <v>0</v>
      </c>
      <c r="W390" s="11">
        <v>0</v>
      </c>
      <c r="X390" s="11">
        <v>0</v>
      </c>
      <c r="Y390" s="11">
        <v>0</v>
      </c>
      <c r="Z390" t="s">
        <v>3428</v>
      </c>
    </row>
    <row r="391" spans="1:26" x14ac:dyDescent="0.25">
      <c r="A391" s="20" t="s">
        <v>3212</v>
      </c>
      <c r="B391" s="20" t="s">
        <v>60</v>
      </c>
      <c r="C391" s="20" t="s">
        <v>3213</v>
      </c>
      <c r="D391" s="20" t="s">
        <v>216</v>
      </c>
      <c r="E391" s="13">
        <v>0</v>
      </c>
      <c r="F391" s="11">
        <v>0</v>
      </c>
      <c r="G391" s="13">
        <v>0</v>
      </c>
      <c r="H391" s="11">
        <v>0</v>
      </c>
      <c r="I391" s="13">
        <f>E391+G391</f>
        <v>0</v>
      </c>
      <c r="J391" s="11">
        <f>F391+H391</f>
        <v>0</v>
      </c>
      <c r="K391" s="13">
        <v>0</v>
      </c>
      <c r="L391" s="11">
        <v>0</v>
      </c>
      <c r="M391" s="11">
        <v>0</v>
      </c>
      <c r="N391" s="13">
        <v>0</v>
      </c>
      <c r="O391" s="11">
        <v>0</v>
      </c>
      <c r="P391" s="11">
        <v>0</v>
      </c>
      <c r="Q391" s="13">
        <f>K391+N391</f>
        <v>0</v>
      </c>
      <c r="R391" s="11">
        <f>L391+O391</f>
        <v>0</v>
      </c>
      <c r="S391" s="11">
        <f>M391+P391</f>
        <v>0</v>
      </c>
      <c r="T391" s="8">
        <f>I391-Q391</f>
        <v>0</v>
      </c>
      <c r="U391" s="18" t="s">
        <v>1803</v>
      </c>
      <c r="V391" s="11">
        <v>0</v>
      </c>
      <c r="W391" s="11">
        <v>0</v>
      </c>
      <c r="X391" s="11">
        <v>0</v>
      </c>
      <c r="Y391" s="11">
        <v>0</v>
      </c>
      <c r="Z391" t="s">
        <v>3428</v>
      </c>
    </row>
    <row r="392" spans="1:26" x14ac:dyDescent="0.25">
      <c r="A392" s="20" t="s">
        <v>3545</v>
      </c>
      <c r="B392" s="20" t="s">
        <v>295</v>
      </c>
      <c r="C392" s="20" t="s">
        <v>3219</v>
      </c>
      <c r="D392" s="20" t="s">
        <v>216</v>
      </c>
      <c r="E392" s="13">
        <v>0</v>
      </c>
      <c r="F392" s="11">
        <v>0</v>
      </c>
      <c r="G392" s="13">
        <v>0</v>
      </c>
      <c r="H392" s="11">
        <v>0</v>
      </c>
      <c r="I392" s="13">
        <f>E392+G392</f>
        <v>0</v>
      </c>
      <c r="J392" s="11">
        <f>F392+H392</f>
        <v>0</v>
      </c>
      <c r="K392" s="13">
        <v>0</v>
      </c>
      <c r="L392" s="11">
        <v>0</v>
      </c>
      <c r="M392" s="11">
        <v>0</v>
      </c>
      <c r="N392" s="13">
        <v>0</v>
      </c>
      <c r="O392" s="11">
        <v>0</v>
      </c>
      <c r="P392" s="11">
        <v>0</v>
      </c>
      <c r="Q392" s="13">
        <f>K392+N392</f>
        <v>0</v>
      </c>
      <c r="R392" s="11">
        <f>L392+O392</f>
        <v>0</v>
      </c>
      <c r="S392" s="11">
        <f>M392+P392</f>
        <v>0</v>
      </c>
      <c r="T392" s="8">
        <f>I392-Q392</f>
        <v>0</v>
      </c>
      <c r="U392" s="18" t="s">
        <v>1803</v>
      </c>
      <c r="V392" s="11">
        <v>0</v>
      </c>
      <c r="W392" s="11">
        <v>0</v>
      </c>
      <c r="X392" s="11">
        <v>0</v>
      </c>
      <c r="Y392" s="11">
        <v>0</v>
      </c>
      <c r="Z392" t="s">
        <v>3428</v>
      </c>
    </row>
    <row r="393" spans="1:26" x14ac:dyDescent="0.25">
      <c r="A393" s="20" t="s">
        <v>3546</v>
      </c>
      <c r="B393" s="20" t="s">
        <v>60</v>
      </c>
      <c r="C393" s="20" t="s">
        <v>3547</v>
      </c>
      <c r="D393" s="20" t="s">
        <v>216</v>
      </c>
      <c r="E393" s="13">
        <v>0</v>
      </c>
      <c r="F393" s="11">
        <v>0</v>
      </c>
      <c r="G393" s="13">
        <v>0</v>
      </c>
      <c r="H393" s="11">
        <v>0</v>
      </c>
      <c r="I393" s="13">
        <f>E393+G393</f>
        <v>0</v>
      </c>
      <c r="J393" s="11">
        <f>F393+H393</f>
        <v>0</v>
      </c>
      <c r="K393" s="13">
        <v>0</v>
      </c>
      <c r="L393" s="11">
        <v>0</v>
      </c>
      <c r="M393" s="11">
        <v>0</v>
      </c>
      <c r="N393" s="13">
        <v>0</v>
      </c>
      <c r="O393" s="11">
        <v>0</v>
      </c>
      <c r="P393" s="11">
        <v>0</v>
      </c>
      <c r="Q393" s="13">
        <f>K393+N393</f>
        <v>0</v>
      </c>
      <c r="R393" s="11">
        <f>L393+O393</f>
        <v>0</v>
      </c>
      <c r="S393" s="11">
        <f>M393+P393</f>
        <v>0</v>
      </c>
      <c r="T393" s="8">
        <f>I393-Q393</f>
        <v>0</v>
      </c>
      <c r="U393" s="18" t="s">
        <v>1803</v>
      </c>
      <c r="V393" s="11">
        <v>0</v>
      </c>
      <c r="W393" s="11">
        <v>0</v>
      </c>
      <c r="X393" s="11">
        <v>0</v>
      </c>
      <c r="Y393" s="11">
        <v>0</v>
      </c>
      <c r="Z393" t="s">
        <v>3428</v>
      </c>
    </row>
    <row r="394" spans="1:26" x14ac:dyDescent="0.25">
      <c r="A394" s="20" t="s">
        <v>3548</v>
      </c>
      <c r="B394" s="20" t="s">
        <v>60</v>
      </c>
      <c r="C394" s="20" t="s">
        <v>3549</v>
      </c>
      <c r="D394" s="20" t="s">
        <v>216</v>
      </c>
      <c r="E394" s="13">
        <v>0</v>
      </c>
      <c r="F394" s="11">
        <v>0</v>
      </c>
      <c r="G394" s="13">
        <v>0</v>
      </c>
      <c r="H394" s="11">
        <v>0</v>
      </c>
      <c r="I394" s="13">
        <f>E394+G394</f>
        <v>0</v>
      </c>
      <c r="J394" s="11">
        <f>F394+H394</f>
        <v>0</v>
      </c>
      <c r="K394" s="13">
        <v>0</v>
      </c>
      <c r="L394" s="11">
        <v>0</v>
      </c>
      <c r="M394" s="11">
        <v>0</v>
      </c>
      <c r="N394" s="13">
        <v>0</v>
      </c>
      <c r="O394" s="11">
        <v>0</v>
      </c>
      <c r="P394" s="11">
        <v>0</v>
      </c>
      <c r="Q394" s="13">
        <f>K394+N394</f>
        <v>0</v>
      </c>
      <c r="R394" s="11">
        <f>L394+O394</f>
        <v>0</v>
      </c>
      <c r="S394" s="11">
        <f>M394+P394</f>
        <v>0</v>
      </c>
      <c r="T394" s="8">
        <f>I394-Q394</f>
        <v>0</v>
      </c>
      <c r="U394" s="18" t="s">
        <v>1803</v>
      </c>
      <c r="V394" s="11">
        <v>0</v>
      </c>
      <c r="W394" s="11">
        <v>0</v>
      </c>
      <c r="X394" s="11">
        <v>0</v>
      </c>
      <c r="Y394" s="11">
        <v>0</v>
      </c>
      <c r="Z394" t="s">
        <v>3428</v>
      </c>
    </row>
    <row r="395" spans="1:26" x14ac:dyDescent="0.25">
      <c r="A395" s="20" t="s">
        <v>3550</v>
      </c>
      <c r="B395" s="20" t="s">
        <v>60</v>
      </c>
      <c r="C395" s="20" t="s">
        <v>3551</v>
      </c>
      <c r="D395" s="20" t="s">
        <v>216</v>
      </c>
      <c r="E395" s="13">
        <v>0</v>
      </c>
      <c r="F395" s="11">
        <v>0</v>
      </c>
      <c r="G395" s="13">
        <v>0</v>
      </c>
      <c r="H395" s="11">
        <v>0</v>
      </c>
      <c r="I395" s="13">
        <f>E395+G395</f>
        <v>0</v>
      </c>
      <c r="J395" s="11">
        <f>F395+H395</f>
        <v>0</v>
      </c>
      <c r="K395" s="13">
        <v>0</v>
      </c>
      <c r="L395" s="11">
        <v>0</v>
      </c>
      <c r="M395" s="11">
        <v>0</v>
      </c>
      <c r="N395" s="13">
        <v>0</v>
      </c>
      <c r="O395" s="11">
        <v>0</v>
      </c>
      <c r="P395" s="11">
        <v>0</v>
      </c>
      <c r="Q395" s="13">
        <f>K395+N395</f>
        <v>0</v>
      </c>
      <c r="R395" s="11">
        <f>L395+O395</f>
        <v>0</v>
      </c>
      <c r="S395" s="11">
        <f>M395+P395</f>
        <v>0</v>
      </c>
      <c r="T395" s="8">
        <f>I395-Q395</f>
        <v>0</v>
      </c>
      <c r="U395" s="18" t="s">
        <v>1803</v>
      </c>
      <c r="V395" s="11">
        <v>0</v>
      </c>
      <c r="W395" s="11">
        <v>0</v>
      </c>
      <c r="X395" s="11">
        <v>0</v>
      </c>
      <c r="Y395" s="11">
        <v>0</v>
      </c>
      <c r="Z395" t="s">
        <v>3428</v>
      </c>
    </row>
    <row r="396" spans="1:26" x14ac:dyDescent="0.25">
      <c r="A396" s="20" t="s">
        <v>3552</v>
      </c>
      <c r="B396" s="20" t="s">
        <v>3552</v>
      </c>
      <c r="C396" s="20" t="s">
        <v>3553</v>
      </c>
      <c r="D396" s="20" t="s">
        <v>216</v>
      </c>
      <c r="E396" s="13">
        <v>0</v>
      </c>
      <c r="F396" s="11">
        <v>0</v>
      </c>
      <c r="G396" s="13">
        <v>0</v>
      </c>
      <c r="H396" s="11">
        <v>0</v>
      </c>
      <c r="I396" s="13">
        <f>E396+G396</f>
        <v>0</v>
      </c>
      <c r="J396" s="11">
        <f>F396+H396</f>
        <v>0</v>
      </c>
      <c r="K396" s="13">
        <v>0</v>
      </c>
      <c r="L396" s="11">
        <v>0</v>
      </c>
      <c r="M396" s="11">
        <v>0</v>
      </c>
      <c r="N396" s="13">
        <v>0</v>
      </c>
      <c r="O396" s="11">
        <v>0</v>
      </c>
      <c r="P396" s="11">
        <v>0</v>
      </c>
      <c r="Q396" s="13">
        <f>K396+N396</f>
        <v>0</v>
      </c>
      <c r="R396" s="11">
        <f>L396+O396</f>
        <v>0</v>
      </c>
      <c r="S396" s="11">
        <f>M396+P396</f>
        <v>0</v>
      </c>
      <c r="T396" s="8">
        <f>I396-Q396</f>
        <v>0</v>
      </c>
      <c r="U396" s="18" t="s">
        <v>1803</v>
      </c>
      <c r="V396" s="11">
        <v>0</v>
      </c>
      <c r="W396" s="11">
        <v>0</v>
      </c>
      <c r="X396" s="11">
        <v>0</v>
      </c>
      <c r="Y396" s="11">
        <v>0</v>
      </c>
      <c r="Z396" t="s">
        <v>3428</v>
      </c>
    </row>
    <row r="397" spans="1:26" x14ac:dyDescent="0.25">
      <c r="A397" s="20" t="s">
        <v>3357</v>
      </c>
      <c r="B397" s="20" t="s">
        <v>3552</v>
      </c>
      <c r="C397" s="20" t="s">
        <v>3554</v>
      </c>
      <c r="D397" s="20" t="s">
        <v>216</v>
      </c>
      <c r="E397" s="13">
        <v>0</v>
      </c>
      <c r="F397" s="11">
        <v>0</v>
      </c>
      <c r="G397" s="13">
        <v>0</v>
      </c>
      <c r="H397" s="11">
        <v>0</v>
      </c>
      <c r="I397" s="13">
        <f>E397+G397</f>
        <v>0</v>
      </c>
      <c r="J397" s="11">
        <f>F397+H397</f>
        <v>0</v>
      </c>
      <c r="K397" s="13">
        <v>0</v>
      </c>
      <c r="L397" s="11">
        <v>0</v>
      </c>
      <c r="M397" s="11">
        <v>0</v>
      </c>
      <c r="N397" s="13">
        <v>0</v>
      </c>
      <c r="O397" s="11">
        <v>0</v>
      </c>
      <c r="P397" s="11">
        <v>0</v>
      </c>
      <c r="Q397" s="13">
        <f>K397+N397</f>
        <v>0</v>
      </c>
      <c r="R397" s="11">
        <f>L397+O397</f>
        <v>0</v>
      </c>
      <c r="S397" s="11">
        <f>M397+P397</f>
        <v>0</v>
      </c>
      <c r="T397" s="8">
        <f>I397-Q397</f>
        <v>0</v>
      </c>
      <c r="U397" s="18" t="s">
        <v>1803</v>
      </c>
      <c r="V397" s="11">
        <v>0</v>
      </c>
      <c r="W397" s="11">
        <v>0</v>
      </c>
      <c r="X397" s="11">
        <v>0</v>
      </c>
      <c r="Y397" s="11">
        <v>0</v>
      </c>
      <c r="Z397" t="s">
        <v>3428</v>
      </c>
    </row>
    <row r="398" spans="1:26" x14ac:dyDescent="0.25">
      <c r="A398" s="20" t="s">
        <v>3555</v>
      </c>
      <c r="B398" s="20" t="s">
        <v>60</v>
      </c>
      <c r="C398" s="20" t="s">
        <v>3556</v>
      </c>
      <c r="D398" s="20" t="s">
        <v>216</v>
      </c>
      <c r="E398" s="13">
        <v>0</v>
      </c>
      <c r="F398" s="11">
        <v>0</v>
      </c>
      <c r="G398" s="13">
        <v>0</v>
      </c>
      <c r="H398" s="11">
        <v>0</v>
      </c>
      <c r="I398" s="13">
        <f>E398+G398</f>
        <v>0</v>
      </c>
      <c r="J398" s="11">
        <f>F398+H398</f>
        <v>0</v>
      </c>
      <c r="K398" s="13">
        <v>0</v>
      </c>
      <c r="L398" s="11">
        <v>0</v>
      </c>
      <c r="M398" s="11">
        <v>0</v>
      </c>
      <c r="N398" s="13">
        <v>0</v>
      </c>
      <c r="O398" s="11">
        <v>0</v>
      </c>
      <c r="P398" s="11">
        <v>0</v>
      </c>
      <c r="Q398" s="13">
        <f>K398+N398</f>
        <v>0</v>
      </c>
      <c r="R398" s="11">
        <f>L398+O398</f>
        <v>0</v>
      </c>
      <c r="S398" s="11">
        <f>M398+P398</f>
        <v>0</v>
      </c>
      <c r="T398" s="8">
        <f>I398-Q398</f>
        <v>0</v>
      </c>
      <c r="U398" s="18" t="s">
        <v>1803</v>
      </c>
      <c r="V398" s="11">
        <v>0</v>
      </c>
      <c r="W398" s="11">
        <v>0</v>
      </c>
      <c r="X398" s="11">
        <v>0</v>
      </c>
      <c r="Y398" s="11">
        <v>0</v>
      </c>
      <c r="Z398" t="s">
        <v>3428</v>
      </c>
    </row>
    <row r="399" spans="1:26" x14ac:dyDescent="0.25">
      <c r="A399" s="20" t="s">
        <v>3340</v>
      </c>
      <c r="B399" s="20" t="s">
        <v>3340</v>
      </c>
      <c r="C399" s="20" t="s">
        <v>3223</v>
      </c>
      <c r="D399" s="20" t="s">
        <v>216</v>
      </c>
      <c r="E399" s="13">
        <v>0</v>
      </c>
      <c r="F399" s="11">
        <v>0</v>
      </c>
      <c r="G399" s="13">
        <v>0</v>
      </c>
      <c r="H399" s="11">
        <v>0</v>
      </c>
      <c r="I399" s="13">
        <f>E399+G399</f>
        <v>0</v>
      </c>
      <c r="J399" s="11">
        <f>F399+H399</f>
        <v>0</v>
      </c>
      <c r="K399" s="13">
        <v>0</v>
      </c>
      <c r="L399" s="11">
        <v>0</v>
      </c>
      <c r="M399" s="11">
        <v>0</v>
      </c>
      <c r="N399" s="13">
        <v>0</v>
      </c>
      <c r="O399" s="11">
        <v>0</v>
      </c>
      <c r="P399" s="11">
        <v>0</v>
      </c>
      <c r="Q399" s="13">
        <f>K399+N399</f>
        <v>0</v>
      </c>
      <c r="R399" s="11">
        <f>L399+O399</f>
        <v>0</v>
      </c>
      <c r="S399" s="11">
        <f>M399+P399</f>
        <v>0</v>
      </c>
      <c r="T399" s="8">
        <f>I399-Q399</f>
        <v>0</v>
      </c>
      <c r="U399" s="18" t="s">
        <v>1803</v>
      </c>
      <c r="V399" s="11">
        <v>0</v>
      </c>
      <c r="W399" s="11">
        <v>0</v>
      </c>
      <c r="X399" s="11">
        <v>0</v>
      </c>
      <c r="Y399" s="11">
        <v>0</v>
      </c>
      <c r="Z399" t="s">
        <v>3428</v>
      </c>
    </row>
    <row r="400" spans="1:26" x14ac:dyDescent="0.25">
      <c r="A400" s="20" t="s">
        <v>3557</v>
      </c>
      <c r="B400" s="20" t="s">
        <v>60</v>
      </c>
      <c r="C400" s="20" t="s">
        <v>3558</v>
      </c>
      <c r="D400" s="20" t="s">
        <v>216</v>
      </c>
      <c r="E400" s="13">
        <v>0</v>
      </c>
      <c r="F400" s="11">
        <v>0</v>
      </c>
      <c r="G400" s="13">
        <v>0</v>
      </c>
      <c r="H400" s="11">
        <v>0</v>
      </c>
      <c r="I400" s="13">
        <f>E400+G400</f>
        <v>0</v>
      </c>
      <c r="J400" s="11">
        <f>F400+H400</f>
        <v>0</v>
      </c>
      <c r="K400" s="13">
        <v>0</v>
      </c>
      <c r="L400" s="11">
        <v>0</v>
      </c>
      <c r="M400" s="11">
        <v>0</v>
      </c>
      <c r="N400" s="13">
        <v>0</v>
      </c>
      <c r="O400" s="11">
        <v>0</v>
      </c>
      <c r="P400" s="11">
        <v>0</v>
      </c>
      <c r="Q400" s="13">
        <f>K400+N400</f>
        <v>0</v>
      </c>
      <c r="R400" s="11">
        <f>L400+O400</f>
        <v>0</v>
      </c>
      <c r="S400" s="11">
        <f>M400+P400</f>
        <v>0</v>
      </c>
      <c r="T400" s="8">
        <f>I400-Q400</f>
        <v>0</v>
      </c>
      <c r="U400" s="18" t="s">
        <v>1803</v>
      </c>
      <c r="V400" s="11">
        <v>0</v>
      </c>
      <c r="W400" s="11">
        <v>0</v>
      </c>
      <c r="X400" s="11">
        <v>1</v>
      </c>
      <c r="Y400" s="11">
        <v>0</v>
      </c>
      <c r="Z400" t="s">
        <v>3428</v>
      </c>
    </row>
    <row r="401" spans="1:26" x14ac:dyDescent="0.25">
      <c r="A401" s="20" t="s">
        <v>3347</v>
      </c>
      <c r="B401" s="20" t="s">
        <v>77</v>
      </c>
      <c r="C401" s="20" t="s">
        <v>3348</v>
      </c>
      <c r="D401" s="20" t="s">
        <v>216</v>
      </c>
      <c r="E401" s="13">
        <v>0</v>
      </c>
      <c r="F401" s="11">
        <v>1</v>
      </c>
      <c r="G401" s="13">
        <v>0</v>
      </c>
      <c r="H401" s="11">
        <v>0</v>
      </c>
      <c r="I401" s="13">
        <f>E401+G401</f>
        <v>0</v>
      </c>
      <c r="J401" s="11">
        <f>F401+H401</f>
        <v>1</v>
      </c>
      <c r="K401" s="13">
        <v>0</v>
      </c>
      <c r="L401" s="11">
        <v>0</v>
      </c>
      <c r="M401" s="11">
        <v>0</v>
      </c>
      <c r="N401" s="13">
        <v>0</v>
      </c>
      <c r="O401" s="11">
        <v>0</v>
      </c>
      <c r="P401" s="11">
        <v>0</v>
      </c>
      <c r="Q401" s="13">
        <f>K401+N401</f>
        <v>0</v>
      </c>
      <c r="R401" s="11">
        <f>L401+O401</f>
        <v>0</v>
      </c>
      <c r="S401" s="11">
        <f>M401+P401</f>
        <v>0</v>
      </c>
      <c r="T401" s="8">
        <f>I401-Q401</f>
        <v>0</v>
      </c>
      <c r="U401" s="18" t="s">
        <v>1803</v>
      </c>
      <c r="V401" s="11">
        <v>0.12</v>
      </c>
      <c r="W401" s="11">
        <v>1</v>
      </c>
      <c r="X401" s="11">
        <v>7</v>
      </c>
      <c r="Y401" s="11">
        <v>0</v>
      </c>
      <c r="Z401" t="s">
        <v>3428</v>
      </c>
    </row>
    <row r="402" spans="1:26" x14ac:dyDescent="0.25">
      <c r="A402" s="20" t="s">
        <v>3394</v>
      </c>
      <c r="B402" s="20" t="s">
        <v>60</v>
      </c>
      <c r="C402" s="20" t="s">
        <v>3395</v>
      </c>
      <c r="D402" s="20" t="s">
        <v>216</v>
      </c>
      <c r="E402" s="13">
        <v>3060</v>
      </c>
      <c r="F402" s="11">
        <v>0</v>
      </c>
      <c r="G402" s="13">
        <v>0</v>
      </c>
      <c r="H402" s="11">
        <v>0</v>
      </c>
      <c r="I402" s="13">
        <f>E402+G402</f>
        <v>3060</v>
      </c>
      <c r="J402" s="11">
        <f>F402+H402</f>
        <v>0</v>
      </c>
      <c r="K402" s="13">
        <v>3071.67</v>
      </c>
      <c r="L402" s="11">
        <v>0</v>
      </c>
      <c r="M402" s="11">
        <v>0</v>
      </c>
      <c r="N402" s="13">
        <v>0</v>
      </c>
      <c r="O402" s="11">
        <v>0</v>
      </c>
      <c r="P402" s="11">
        <v>0</v>
      </c>
      <c r="Q402" s="13">
        <f>K402+N402</f>
        <v>3071.67</v>
      </c>
      <c r="R402" s="11">
        <f>L402+O402</f>
        <v>0</v>
      </c>
      <c r="S402" s="11">
        <f>M402+P402</f>
        <v>0</v>
      </c>
      <c r="T402" s="8">
        <f>I402-Q402</f>
        <v>-11.670000000000073</v>
      </c>
      <c r="U402" s="18">
        <v>6.998730653769808E-2</v>
      </c>
      <c r="V402" s="11">
        <v>0</v>
      </c>
      <c r="W402" s="11">
        <v>0</v>
      </c>
      <c r="X402" s="11">
        <v>0</v>
      </c>
      <c r="Y402" s="11">
        <v>0</v>
      </c>
      <c r="Z402" t="s">
        <v>3428</v>
      </c>
    </row>
    <row r="403" spans="1:26" x14ac:dyDescent="0.25">
      <c r="A403" s="20" t="s">
        <v>3559</v>
      </c>
      <c r="B403" s="20" t="s">
        <v>60</v>
      </c>
      <c r="C403" s="20" t="s">
        <v>3560</v>
      </c>
      <c r="D403" s="20" t="s">
        <v>216</v>
      </c>
      <c r="E403" s="13">
        <v>0</v>
      </c>
      <c r="F403" s="11">
        <v>0</v>
      </c>
      <c r="G403" s="13">
        <v>0</v>
      </c>
      <c r="H403" s="11">
        <v>0</v>
      </c>
      <c r="I403" s="13">
        <f>E403+G403</f>
        <v>0</v>
      </c>
      <c r="J403" s="11">
        <f>F403+H403</f>
        <v>0</v>
      </c>
      <c r="K403" s="13">
        <v>0</v>
      </c>
      <c r="L403" s="11">
        <v>0</v>
      </c>
      <c r="M403" s="11">
        <v>0</v>
      </c>
      <c r="N403" s="13">
        <v>0</v>
      </c>
      <c r="O403" s="11">
        <v>0</v>
      </c>
      <c r="P403" s="11">
        <v>0</v>
      </c>
      <c r="Q403" s="13">
        <f>K403+N403</f>
        <v>0</v>
      </c>
      <c r="R403" s="11">
        <f>L403+O403</f>
        <v>0</v>
      </c>
      <c r="S403" s="11">
        <f>M403+P403</f>
        <v>0</v>
      </c>
      <c r="T403" s="8">
        <f>I403-Q403</f>
        <v>0</v>
      </c>
      <c r="U403" s="18" t="s">
        <v>1803</v>
      </c>
      <c r="V403" s="11">
        <v>0</v>
      </c>
      <c r="W403" s="11">
        <v>0</v>
      </c>
      <c r="X403" s="11">
        <v>0</v>
      </c>
      <c r="Y403" s="11">
        <v>0</v>
      </c>
      <c r="Z403" t="s">
        <v>3428</v>
      </c>
    </row>
    <row r="404" spans="1:26" x14ac:dyDescent="0.25">
      <c r="A404" s="20" t="s">
        <v>3561</v>
      </c>
      <c r="B404" s="20" t="s">
        <v>60</v>
      </c>
      <c r="C404" s="20" t="s">
        <v>3562</v>
      </c>
      <c r="D404" s="20" t="s">
        <v>216</v>
      </c>
      <c r="E404" s="13">
        <v>0</v>
      </c>
      <c r="F404" s="11">
        <v>0</v>
      </c>
      <c r="G404" s="13">
        <v>0</v>
      </c>
      <c r="H404" s="11">
        <v>0</v>
      </c>
      <c r="I404" s="13">
        <f>E404+G404</f>
        <v>0</v>
      </c>
      <c r="J404" s="11">
        <f>F404+H404</f>
        <v>0</v>
      </c>
      <c r="K404" s="13">
        <v>0</v>
      </c>
      <c r="L404" s="11">
        <v>0</v>
      </c>
      <c r="M404" s="11">
        <v>0</v>
      </c>
      <c r="N404" s="13">
        <v>0</v>
      </c>
      <c r="O404" s="11">
        <v>0</v>
      </c>
      <c r="P404" s="11">
        <v>0</v>
      </c>
      <c r="Q404" s="13">
        <f>K404+N404</f>
        <v>0</v>
      </c>
      <c r="R404" s="11">
        <f>L404+O404</f>
        <v>0</v>
      </c>
      <c r="S404" s="11">
        <f>M404+P404</f>
        <v>0</v>
      </c>
      <c r="T404" s="8">
        <f>I404-Q404</f>
        <v>0</v>
      </c>
      <c r="U404" s="18" t="s">
        <v>1803</v>
      </c>
      <c r="V404" s="11">
        <v>0</v>
      </c>
      <c r="W404" s="11">
        <v>0</v>
      </c>
      <c r="X404" s="11">
        <v>0</v>
      </c>
      <c r="Y404" s="11">
        <v>0</v>
      </c>
      <c r="Z404" t="s">
        <v>3428</v>
      </c>
    </row>
    <row r="405" spans="1:26" x14ac:dyDescent="0.25">
      <c r="A405" s="20" t="s">
        <v>3424</v>
      </c>
      <c r="B405" s="20" t="s">
        <v>60</v>
      </c>
      <c r="C405" s="20" t="s">
        <v>3425</v>
      </c>
      <c r="D405" s="20" t="s">
        <v>216</v>
      </c>
      <c r="E405" s="13">
        <v>9590</v>
      </c>
      <c r="F405" s="11">
        <v>1</v>
      </c>
      <c r="G405" s="13">
        <v>0</v>
      </c>
      <c r="H405" s="11">
        <v>0</v>
      </c>
      <c r="I405" s="13">
        <f>E405+G405</f>
        <v>9590</v>
      </c>
      <c r="J405" s="11">
        <f>F405+H405</f>
        <v>1</v>
      </c>
      <c r="K405" s="13">
        <v>0</v>
      </c>
      <c r="L405" s="11">
        <v>0</v>
      </c>
      <c r="M405" s="11">
        <v>0</v>
      </c>
      <c r="N405" s="13">
        <v>0</v>
      </c>
      <c r="O405" s="11">
        <v>0</v>
      </c>
      <c r="P405" s="11">
        <v>0</v>
      </c>
      <c r="Q405" s="13">
        <f>K405+N405</f>
        <v>0</v>
      </c>
      <c r="R405" s="11">
        <f>L405+O405</f>
        <v>0</v>
      </c>
      <c r="S405" s="11">
        <f>M405+P405</f>
        <v>0</v>
      </c>
      <c r="T405" s="8">
        <f>I405-Q405</f>
        <v>9590</v>
      </c>
      <c r="U405" s="18">
        <v>0.23970856542174643</v>
      </c>
      <c r="V405" s="11">
        <v>0.25</v>
      </c>
      <c r="W405" s="11">
        <v>1</v>
      </c>
      <c r="X405" s="11">
        <v>3</v>
      </c>
      <c r="Y405" s="11">
        <v>0</v>
      </c>
      <c r="Z405" t="s">
        <v>3428</v>
      </c>
    </row>
    <row r="406" spans="1:26" x14ac:dyDescent="0.25">
      <c r="A406" s="20" t="s">
        <v>3633</v>
      </c>
      <c r="B406" s="20" t="s">
        <v>60</v>
      </c>
      <c r="C406" s="20" t="s">
        <v>3634</v>
      </c>
      <c r="D406" s="20" t="s">
        <v>216</v>
      </c>
      <c r="E406" s="13">
        <v>0</v>
      </c>
      <c r="F406" s="11">
        <v>0</v>
      </c>
      <c r="G406" s="13">
        <v>0</v>
      </c>
      <c r="H406" s="11">
        <v>0</v>
      </c>
      <c r="I406" s="13">
        <f>E406+G406</f>
        <v>0</v>
      </c>
      <c r="J406" s="11">
        <f>F406+H406</f>
        <v>0</v>
      </c>
      <c r="K406" s="13">
        <v>0</v>
      </c>
      <c r="L406" s="11">
        <v>0</v>
      </c>
      <c r="M406" s="11">
        <v>0</v>
      </c>
      <c r="N406" s="13">
        <v>0</v>
      </c>
      <c r="O406" s="11">
        <v>0</v>
      </c>
      <c r="P406" s="11">
        <v>0</v>
      </c>
      <c r="Q406" s="13">
        <f>K406+N406</f>
        <v>0</v>
      </c>
      <c r="R406" s="11">
        <f>L406+O406</f>
        <v>0</v>
      </c>
      <c r="S406" s="11">
        <f>M406+P406</f>
        <v>0</v>
      </c>
      <c r="T406" s="8">
        <f>I406-Q406</f>
        <v>0</v>
      </c>
      <c r="U406" s="18" t="s">
        <v>1803</v>
      </c>
      <c r="V406" s="11">
        <v>0</v>
      </c>
      <c r="W406" s="11">
        <v>0</v>
      </c>
      <c r="X406" s="11">
        <v>0</v>
      </c>
      <c r="Y406" s="11">
        <v>0</v>
      </c>
      <c r="Z406" t="s">
        <v>3428</v>
      </c>
    </row>
    <row r="407" spans="1:26" x14ac:dyDescent="0.25">
      <c r="A407" s="20" t="s">
        <v>673</v>
      </c>
      <c r="B407" s="20" t="s">
        <v>60</v>
      </c>
      <c r="C407" s="20" t="s">
        <v>674</v>
      </c>
      <c r="D407" s="20" t="s">
        <v>216</v>
      </c>
      <c r="E407" s="13">
        <v>0</v>
      </c>
      <c r="F407" s="11">
        <v>0</v>
      </c>
      <c r="G407" s="13">
        <v>0</v>
      </c>
      <c r="H407" s="11">
        <v>0</v>
      </c>
      <c r="I407" s="13">
        <f>E407+G407</f>
        <v>0</v>
      </c>
      <c r="J407" s="11">
        <f>F407+H407</f>
        <v>0</v>
      </c>
      <c r="K407" s="13">
        <v>0</v>
      </c>
      <c r="L407" s="11">
        <v>0</v>
      </c>
      <c r="M407" s="11">
        <v>0</v>
      </c>
      <c r="N407" s="13">
        <v>0</v>
      </c>
      <c r="O407" s="11">
        <v>0</v>
      </c>
      <c r="P407" s="11">
        <v>0</v>
      </c>
      <c r="Q407" s="13">
        <f>K407+N407</f>
        <v>0</v>
      </c>
      <c r="R407" s="11">
        <f>L407+O407</f>
        <v>0</v>
      </c>
      <c r="S407" s="11">
        <f>M407+P407</f>
        <v>0</v>
      </c>
      <c r="T407" s="8">
        <f>I407-Q407</f>
        <v>0</v>
      </c>
      <c r="U407" s="18">
        <v>0.23686421456698165</v>
      </c>
      <c r="V407" s="11">
        <v>0</v>
      </c>
      <c r="W407" s="11">
        <v>0</v>
      </c>
      <c r="X407" s="11">
        <v>0</v>
      </c>
      <c r="Y407" s="11">
        <v>0</v>
      </c>
      <c r="Z407" t="s">
        <v>10</v>
      </c>
    </row>
    <row r="408" spans="1:26" x14ac:dyDescent="0.25">
      <c r="A408" s="20" t="s">
        <v>682</v>
      </c>
      <c r="B408" s="20" t="s">
        <v>60</v>
      </c>
      <c r="C408" s="20" t="s">
        <v>683</v>
      </c>
      <c r="D408" s="20" t="s">
        <v>216</v>
      </c>
      <c r="E408" s="13">
        <v>58340</v>
      </c>
      <c r="F408" s="11">
        <v>0</v>
      </c>
      <c r="G408" s="13">
        <v>28239.61</v>
      </c>
      <c r="H408" s="11">
        <v>0</v>
      </c>
      <c r="I408" s="13">
        <f>E408+G408</f>
        <v>86579.61</v>
      </c>
      <c r="J408" s="11">
        <f>F408+H408</f>
        <v>0</v>
      </c>
      <c r="K408" s="13">
        <v>62755</v>
      </c>
      <c r="L408" s="11">
        <v>2</v>
      </c>
      <c r="M408" s="11">
        <v>3</v>
      </c>
      <c r="N408" s="13">
        <v>27079</v>
      </c>
      <c r="O408" s="11">
        <v>0</v>
      </c>
      <c r="P408" s="11">
        <v>1</v>
      </c>
      <c r="Q408" s="13">
        <f>K408+N408</f>
        <v>89834</v>
      </c>
      <c r="R408" s="11">
        <f>L408+O408</f>
        <v>2</v>
      </c>
      <c r="S408" s="11">
        <f>M408+P408</f>
        <v>4</v>
      </c>
      <c r="T408" s="8">
        <f>I408-Q408</f>
        <v>-3254.3899999999994</v>
      </c>
      <c r="U408" s="18">
        <v>0.14169966304462045</v>
      </c>
      <c r="V408" s="11">
        <v>0.25</v>
      </c>
      <c r="W408" s="11">
        <v>2</v>
      </c>
      <c r="X408" s="11">
        <v>6</v>
      </c>
      <c r="Y408" s="11">
        <v>0</v>
      </c>
      <c r="Z408" t="s">
        <v>10</v>
      </c>
    </row>
    <row r="409" spans="1:26" x14ac:dyDescent="0.25">
      <c r="A409" s="20" t="s">
        <v>189</v>
      </c>
      <c r="B409" s="20" t="s">
        <v>189</v>
      </c>
      <c r="C409" s="20" t="s">
        <v>684</v>
      </c>
      <c r="D409" s="20" t="s">
        <v>216</v>
      </c>
      <c r="E409" s="13">
        <v>7224</v>
      </c>
      <c r="F409" s="11">
        <v>0</v>
      </c>
      <c r="G409" s="13">
        <v>0</v>
      </c>
      <c r="H409" s="11">
        <v>0</v>
      </c>
      <c r="I409" s="13">
        <f>E409+G409</f>
        <v>7224</v>
      </c>
      <c r="J409" s="11">
        <f>F409+H409</f>
        <v>0</v>
      </c>
      <c r="K409" s="13">
        <v>17198</v>
      </c>
      <c r="L409" s="11">
        <v>0</v>
      </c>
      <c r="M409" s="11">
        <v>2</v>
      </c>
      <c r="N409" s="13">
        <v>0</v>
      </c>
      <c r="O409" s="11">
        <v>0</v>
      </c>
      <c r="P409" s="11">
        <v>2</v>
      </c>
      <c r="Q409" s="13">
        <f>K409+N409</f>
        <v>17198</v>
      </c>
      <c r="R409" s="11">
        <f>L409+O409</f>
        <v>0</v>
      </c>
      <c r="S409" s="11">
        <f>M409+P409</f>
        <v>4</v>
      </c>
      <c r="T409" s="8">
        <f>I409-Q409</f>
        <v>-9974</v>
      </c>
      <c r="U409" s="18">
        <v>0.5842095129233591</v>
      </c>
      <c r="V409" s="11">
        <v>0.33</v>
      </c>
      <c r="W409" s="11">
        <v>4</v>
      </c>
      <c r="X409" s="11">
        <v>8</v>
      </c>
      <c r="Y409" s="11">
        <v>1</v>
      </c>
      <c r="Z409" t="s">
        <v>10</v>
      </c>
    </row>
    <row r="410" spans="1:26" x14ac:dyDescent="0.25">
      <c r="A410" s="20" t="s">
        <v>685</v>
      </c>
      <c r="B410" s="20" t="s">
        <v>83</v>
      </c>
      <c r="C410" s="20" t="s">
        <v>686</v>
      </c>
      <c r="D410" s="20" t="s">
        <v>216</v>
      </c>
      <c r="E410" s="13">
        <v>12165</v>
      </c>
      <c r="F410" s="11">
        <v>0</v>
      </c>
      <c r="G410" s="13">
        <v>0</v>
      </c>
      <c r="H410" s="11">
        <v>0</v>
      </c>
      <c r="I410" s="13">
        <f>E410+G410</f>
        <v>12165</v>
      </c>
      <c r="J410" s="11">
        <f>F410+H410</f>
        <v>0</v>
      </c>
      <c r="K410" s="13">
        <v>11947</v>
      </c>
      <c r="L410" s="11">
        <v>0</v>
      </c>
      <c r="M410" s="11">
        <v>0</v>
      </c>
      <c r="N410" s="13">
        <v>0</v>
      </c>
      <c r="O410" s="11">
        <v>0</v>
      </c>
      <c r="P410" s="11">
        <v>0</v>
      </c>
      <c r="Q410" s="13">
        <f>K410+N410</f>
        <v>11947</v>
      </c>
      <c r="R410" s="11">
        <f>L410+O410</f>
        <v>0</v>
      </c>
      <c r="S410" s="11">
        <f>M410+P410</f>
        <v>0</v>
      </c>
      <c r="T410" s="8">
        <f>I410-Q410</f>
        <v>218</v>
      </c>
      <c r="U410" s="18">
        <v>1.0005175325428864E-2</v>
      </c>
      <c r="V410" s="11">
        <v>0</v>
      </c>
      <c r="W410" s="11">
        <v>0</v>
      </c>
      <c r="X410" s="11">
        <v>0</v>
      </c>
      <c r="Y410" s="11">
        <v>0</v>
      </c>
      <c r="Z410" t="s">
        <v>10</v>
      </c>
    </row>
    <row r="411" spans="1:26" x14ac:dyDescent="0.25">
      <c r="A411" s="20" t="s">
        <v>687</v>
      </c>
      <c r="B411" s="20" t="s">
        <v>60</v>
      </c>
      <c r="C411" s="20" t="s">
        <v>688</v>
      </c>
      <c r="D411" s="20" t="s">
        <v>216</v>
      </c>
      <c r="E411" s="13">
        <v>9662</v>
      </c>
      <c r="F411" s="11">
        <v>1</v>
      </c>
      <c r="G411" s="13">
        <v>0</v>
      </c>
      <c r="H411" s="11">
        <v>0</v>
      </c>
      <c r="I411" s="13">
        <f>E411+G411</f>
        <v>9662</v>
      </c>
      <c r="J411" s="11">
        <f>F411+H411</f>
        <v>1</v>
      </c>
      <c r="K411" s="13">
        <v>22119</v>
      </c>
      <c r="L411" s="11">
        <v>1</v>
      </c>
      <c r="M411" s="11">
        <v>1</v>
      </c>
      <c r="N411" s="13">
        <v>0</v>
      </c>
      <c r="O411" s="11">
        <v>0</v>
      </c>
      <c r="P411" s="11">
        <v>0</v>
      </c>
      <c r="Q411" s="13">
        <f>K411+N411</f>
        <v>22119</v>
      </c>
      <c r="R411" s="11">
        <f>L411+O411</f>
        <v>1</v>
      </c>
      <c r="S411" s="11">
        <f>M411+P411</f>
        <v>1</v>
      </c>
      <c r="T411" s="8">
        <f>I411-Q411</f>
        <v>-12457</v>
      </c>
      <c r="U411" s="18">
        <v>0.14888777642738868</v>
      </c>
      <c r="V411" s="11">
        <v>0.18</v>
      </c>
      <c r="W411" s="11">
        <v>2</v>
      </c>
      <c r="X411" s="11">
        <v>9</v>
      </c>
      <c r="Y411" s="11">
        <v>0</v>
      </c>
      <c r="Z411" t="s">
        <v>10</v>
      </c>
    </row>
    <row r="412" spans="1:26" x14ac:dyDescent="0.25">
      <c r="A412" s="20" t="s">
        <v>83</v>
      </c>
      <c r="B412" s="20" t="s">
        <v>83</v>
      </c>
      <c r="C412" s="20" t="s">
        <v>689</v>
      </c>
      <c r="D412" s="20" t="s">
        <v>216</v>
      </c>
      <c r="E412" s="13">
        <v>3012.14</v>
      </c>
      <c r="F412" s="11">
        <v>0</v>
      </c>
      <c r="G412" s="13">
        <v>29593.1</v>
      </c>
      <c r="H412" s="11">
        <v>0</v>
      </c>
      <c r="I412" s="13">
        <f>E412+G412</f>
        <v>32605.239999999998</v>
      </c>
      <c r="J412" s="11">
        <f>F412+H412</f>
        <v>0</v>
      </c>
      <c r="K412" s="13">
        <v>41666.71</v>
      </c>
      <c r="L412" s="11">
        <v>1</v>
      </c>
      <c r="M412" s="11">
        <v>6</v>
      </c>
      <c r="N412" s="13">
        <v>49318.47</v>
      </c>
      <c r="O412" s="11">
        <v>1</v>
      </c>
      <c r="P412" s="11">
        <v>3</v>
      </c>
      <c r="Q412" s="13">
        <f>K412+N412</f>
        <v>90985.18</v>
      </c>
      <c r="R412" s="11">
        <f>L412+O412</f>
        <v>2</v>
      </c>
      <c r="S412" s="11">
        <f>M412+P412</f>
        <v>9</v>
      </c>
      <c r="T412" s="8">
        <f>I412-Q412</f>
        <v>-58379.939999999995</v>
      </c>
      <c r="U412" s="18">
        <v>6.9812055100929415E-2</v>
      </c>
      <c r="V412" s="11">
        <v>0.28999999999999998</v>
      </c>
      <c r="W412" s="11">
        <v>7</v>
      </c>
      <c r="X412" s="11">
        <v>17</v>
      </c>
      <c r="Y412" s="11">
        <v>8</v>
      </c>
      <c r="Z412" t="s">
        <v>10</v>
      </c>
    </row>
    <row r="413" spans="1:26" x14ac:dyDescent="0.25">
      <c r="A413" s="20" t="s">
        <v>691</v>
      </c>
      <c r="B413" s="20" t="s">
        <v>691</v>
      </c>
      <c r="C413" s="20" t="s">
        <v>692</v>
      </c>
      <c r="D413" s="20" t="s">
        <v>216</v>
      </c>
      <c r="E413" s="13">
        <v>50793</v>
      </c>
      <c r="F413" s="11">
        <v>0</v>
      </c>
      <c r="G413" s="13">
        <v>12233.99</v>
      </c>
      <c r="H413" s="11">
        <v>1</v>
      </c>
      <c r="I413" s="13">
        <f>E413+G413</f>
        <v>63026.99</v>
      </c>
      <c r="J413" s="11">
        <f>F413+H413</f>
        <v>1</v>
      </c>
      <c r="K413" s="13">
        <v>63193</v>
      </c>
      <c r="L413" s="11">
        <v>0</v>
      </c>
      <c r="M413" s="11">
        <v>0</v>
      </c>
      <c r="N413" s="13">
        <v>8333.5</v>
      </c>
      <c r="O413" s="11">
        <v>0</v>
      </c>
      <c r="P413" s="11">
        <v>5</v>
      </c>
      <c r="Q413" s="13">
        <f>K413+N413</f>
        <v>71526.5</v>
      </c>
      <c r="R413" s="11">
        <f>L413+O413</f>
        <v>0</v>
      </c>
      <c r="S413" s="11">
        <f>M413+P413</f>
        <v>5</v>
      </c>
      <c r="T413" s="8">
        <f>I413-Q413</f>
        <v>-8499.510000000002</v>
      </c>
      <c r="U413" s="18">
        <v>0.29598540855686434</v>
      </c>
      <c r="V413" s="11">
        <v>0.28999999999999998</v>
      </c>
      <c r="W413" s="11">
        <v>6</v>
      </c>
      <c r="X413" s="11">
        <v>15</v>
      </c>
      <c r="Y413" s="11">
        <v>0</v>
      </c>
      <c r="Z413" t="s">
        <v>10</v>
      </c>
    </row>
    <row r="414" spans="1:26" x14ac:dyDescent="0.25">
      <c r="A414" s="20" t="s">
        <v>693</v>
      </c>
      <c r="B414" s="20" t="s">
        <v>3096</v>
      </c>
      <c r="C414" s="20" t="s">
        <v>694</v>
      </c>
      <c r="D414" s="20" t="s">
        <v>216</v>
      </c>
      <c r="E414" s="13">
        <v>11131</v>
      </c>
      <c r="F414" s="11">
        <v>0</v>
      </c>
      <c r="G414" s="13">
        <v>0</v>
      </c>
      <c r="H414" s="11">
        <v>0</v>
      </c>
      <c r="I414" s="13">
        <f>E414+G414</f>
        <v>11131</v>
      </c>
      <c r="J414" s="11">
        <f>F414+H414</f>
        <v>0</v>
      </c>
      <c r="K414" s="13">
        <v>11687</v>
      </c>
      <c r="L414" s="11">
        <v>0</v>
      </c>
      <c r="M414" s="11">
        <v>0</v>
      </c>
      <c r="N414" s="13">
        <v>0</v>
      </c>
      <c r="O414" s="11">
        <v>0</v>
      </c>
      <c r="P414" s="11">
        <v>0</v>
      </c>
      <c r="Q414" s="13">
        <f>K414+N414</f>
        <v>11687</v>
      </c>
      <c r="R414" s="11">
        <f>L414+O414</f>
        <v>0</v>
      </c>
      <c r="S414" s="11">
        <f>M414+P414</f>
        <v>0</v>
      </c>
      <c r="T414" s="8">
        <f>I414-Q414</f>
        <v>-556</v>
      </c>
      <c r="U414" s="18">
        <v>0.12370557348192754</v>
      </c>
      <c r="V414" s="11">
        <v>0</v>
      </c>
      <c r="W414" s="11">
        <v>0</v>
      </c>
      <c r="X414" s="11">
        <v>0</v>
      </c>
      <c r="Y414" s="11">
        <v>0</v>
      </c>
      <c r="Z414" t="s">
        <v>10</v>
      </c>
    </row>
    <row r="415" spans="1:26" x14ac:dyDescent="0.25">
      <c r="A415" s="20" t="s">
        <v>696</v>
      </c>
      <c r="B415" s="20" t="s">
        <v>81</v>
      </c>
      <c r="C415" s="20" t="s">
        <v>697</v>
      </c>
      <c r="D415" s="20" t="s">
        <v>216</v>
      </c>
      <c r="E415" s="13">
        <v>20056</v>
      </c>
      <c r="F415" s="11">
        <v>0</v>
      </c>
      <c r="G415" s="13">
        <v>5171</v>
      </c>
      <c r="H415" s="11">
        <v>0</v>
      </c>
      <c r="I415" s="13">
        <f>E415+G415</f>
        <v>25227</v>
      </c>
      <c r="J415" s="11">
        <f>F415+H415</f>
        <v>0</v>
      </c>
      <c r="K415" s="13">
        <v>21000.95</v>
      </c>
      <c r="L415" s="11">
        <v>0</v>
      </c>
      <c r="M415" s="11">
        <v>2</v>
      </c>
      <c r="N415" s="13">
        <v>34265</v>
      </c>
      <c r="O415" s="11">
        <v>0</v>
      </c>
      <c r="P415" s="11">
        <v>0</v>
      </c>
      <c r="Q415" s="13">
        <f>K415+N415</f>
        <v>55265.95</v>
      </c>
      <c r="R415" s="11">
        <f>L415+O415</f>
        <v>0</v>
      </c>
      <c r="S415" s="11">
        <f>M415+P415</f>
        <v>2</v>
      </c>
      <c r="T415" s="8">
        <f>I415-Q415</f>
        <v>-30038.949999999997</v>
      </c>
      <c r="U415" s="18">
        <v>3.0185682001628081E-2</v>
      </c>
      <c r="V415" s="11">
        <v>0.5</v>
      </c>
      <c r="W415" s="11">
        <v>2</v>
      </c>
      <c r="X415" s="11">
        <v>2</v>
      </c>
      <c r="Y415" s="11">
        <v>1</v>
      </c>
      <c r="Z415" t="s">
        <v>10</v>
      </c>
    </row>
    <row r="416" spans="1:26" x14ac:dyDescent="0.25">
      <c r="A416" s="20" t="s">
        <v>698</v>
      </c>
      <c r="B416" s="20" t="s">
        <v>698</v>
      </c>
      <c r="C416" s="20" t="s">
        <v>699</v>
      </c>
      <c r="D416" s="20" t="s">
        <v>216</v>
      </c>
      <c r="E416" s="13">
        <v>3543</v>
      </c>
      <c r="F416" s="11">
        <v>1</v>
      </c>
      <c r="G416" s="13">
        <v>0</v>
      </c>
      <c r="H416" s="11">
        <v>0</v>
      </c>
      <c r="I416" s="13">
        <f>E416+G416</f>
        <v>3543</v>
      </c>
      <c r="J416" s="11">
        <f>F416+H416</f>
        <v>1</v>
      </c>
      <c r="K416" s="13">
        <v>-14949.51</v>
      </c>
      <c r="L416" s="11">
        <v>1</v>
      </c>
      <c r="M416" s="11">
        <v>1</v>
      </c>
      <c r="N416" s="13">
        <v>0</v>
      </c>
      <c r="O416" s="11">
        <v>0</v>
      </c>
      <c r="P416" s="11">
        <v>2</v>
      </c>
      <c r="Q416" s="13">
        <f>K416+N416</f>
        <v>-14949.51</v>
      </c>
      <c r="R416" s="11">
        <f>L416+O416</f>
        <v>1</v>
      </c>
      <c r="S416" s="11">
        <f>M416+P416</f>
        <v>3</v>
      </c>
      <c r="T416" s="8">
        <f>I416-Q416</f>
        <v>18492.510000000002</v>
      </c>
      <c r="U416" s="18">
        <v>6.7193098206187546E-2</v>
      </c>
      <c r="V416" s="11">
        <v>0.33</v>
      </c>
      <c r="W416" s="11">
        <v>3</v>
      </c>
      <c r="X416" s="11">
        <v>6</v>
      </c>
      <c r="Y416" s="11">
        <v>3</v>
      </c>
      <c r="Z416" t="s">
        <v>10</v>
      </c>
    </row>
    <row r="417" spans="1:26" x14ac:dyDescent="0.25">
      <c r="A417" s="20" t="s">
        <v>703</v>
      </c>
      <c r="B417" s="20" t="s">
        <v>60</v>
      </c>
      <c r="C417" s="20" t="s">
        <v>704</v>
      </c>
      <c r="D417" s="20" t="s">
        <v>216</v>
      </c>
      <c r="E417" s="13">
        <v>0</v>
      </c>
      <c r="F417" s="11">
        <v>0</v>
      </c>
      <c r="G417" s="13">
        <v>0</v>
      </c>
      <c r="H417" s="11">
        <v>0</v>
      </c>
      <c r="I417" s="13">
        <f>E417+G417</f>
        <v>0</v>
      </c>
      <c r="J417" s="11">
        <f>F417+H417</f>
        <v>0</v>
      </c>
      <c r="K417" s="13">
        <v>0</v>
      </c>
      <c r="L417" s="11">
        <v>0</v>
      </c>
      <c r="M417" s="11">
        <v>0</v>
      </c>
      <c r="N417" s="13">
        <v>0</v>
      </c>
      <c r="O417" s="11">
        <v>0</v>
      </c>
      <c r="P417" s="11">
        <v>0</v>
      </c>
      <c r="Q417" s="13">
        <f>K417+N417</f>
        <v>0</v>
      </c>
      <c r="R417" s="11">
        <f>L417+O417</f>
        <v>0</v>
      </c>
      <c r="S417" s="11">
        <f>M417+P417</f>
        <v>0</v>
      </c>
      <c r="T417" s="8">
        <f>I417-Q417</f>
        <v>0</v>
      </c>
      <c r="U417" s="18">
        <v>4.776850482483333E-2</v>
      </c>
      <c r="V417" s="11">
        <v>0</v>
      </c>
      <c r="W417" s="11">
        <v>0</v>
      </c>
      <c r="X417" s="11">
        <v>0</v>
      </c>
      <c r="Y417" s="11">
        <v>0</v>
      </c>
      <c r="Z417" t="s">
        <v>10</v>
      </c>
    </row>
    <row r="418" spans="1:26" x14ac:dyDescent="0.25">
      <c r="A418" s="20" t="s">
        <v>1093</v>
      </c>
      <c r="B418" s="20" t="s">
        <v>723</v>
      </c>
      <c r="C418" s="20" t="s">
        <v>709</v>
      </c>
      <c r="D418" s="20" t="s">
        <v>215</v>
      </c>
      <c r="E418" s="13">
        <v>0</v>
      </c>
      <c r="F418" s="11">
        <v>0</v>
      </c>
      <c r="G418" s="13">
        <v>0</v>
      </c>
      <c r="H418" s="11">
        <v>0</v>
      </c>
      <c r="I418" s="13">
        <f>E418+G418</f>
        <v>0</v>
      </c>
      <c r="J418" s="11">
        <f>F418+H418</f>
        <v>0</v>
      </c>
      <c r="K418" s="13">
        <v>-3129</v>
      </c>
      <c r="L418" s="11">
        <v>0</v>
      </c>
      <c r="M418" s="11">
        <v>0</v>
      </c>
      <c r="N418" s="13">
        <v>0</v>
      </c>
      <c r="O418" s="11">
        <v>0</v>
      </c>
      <c r="P418" s="11">
        <v>0</v>
      </c>
      <c r="Q418" s="13">
        <f>K418+N418</f>
        <v>-3129</v>
      </c>
      <c r="R418" s="11">
        <f>L418+O418</f>
        <v>0</v>
      </c>
      <c r="S418" s="11">
        <f>M418+P418</f>
        <v>0</v>
      </c>
      <c r="T418" s="8">
        <f>I418-Q418</f>
        <v>3129</v>
      </c>
      <c r="U418" s="18" t="s">
        <v>1803</v>
      </c>
      <c r="V418" s="11">
        <v>0</v>
      </c>
      <c r="W418" s="11">
        <v>0</v>
      </c>
      <c r="X418" s="11">
        <v>0</v>
      </c>
      <c r="Y418" s="11">
        <v>0</v>
      </c>
      <c r="Z418" t="s">
        <v>10</v>
      </c>
    </row>
    <row r="419" spans="1:26" x14ac:dyDescent="0.25">
      <c r="A419" s="20" t="s">
        <v>706</v>
      </c>
      <c r="B419" s="20" t="s">
        <v>60</v>
      </c>
      <c r="C419" s="20" t="s">
        <v>707</v>
      </c>
      <c r="D419" s="20" t="s">
        <v>216</v>
      </c>
      <c r="E419" s="13">
        <v>11707</v>
      </c>
      <c r="F419" s="11">
        <v>0</v>
      </c>
      <c r="G419" s="13">
        <v>12986</v>
      </c>
      <c r="H419" s="11">
        <v>0</v>
      </c>
      <c r="I419" s="13">
        <f>E419+G419</f>
        <v>24693</v>
      </c>
      <c r="J419" s="11">
        <f>F419+H419</f>
        <v>0</v>
      </c>
      <c r="K419" s="13">
        <v>13103</v>
      </c>
      <c r="L419" s="11">
        <v>0</v>
      </c>
      <c r="M419" s="11">
        <v>4</v>
      </c>
      <c r="N419" s="13">
        <v>7371.64</v>
      </c>
      <c r="O419" s="11">
        <v>1</v>
      </c>
      <c r="P419" s="11">
        <v>8</v>
      </c>
      <c r="Q419" s="13">
        <f>K419+N419</f>
        <v>20474.64</v>
      </c>
      <c r="R419" s="11">
        <f>L419+O419</f>
        <v>1</v>
      </c>
      <c r="S419" s="11">
        <f>M419+P419</f>
        <v>12</v>
      </c>
      <c r="T419" s="8">
        <f>I419-Q419</f>
        <v>4218.3600000000006</v>
      </c>
      <c r="U419" s="18">
        <v>0.18981957959428153</v>
      </c>
      <c r="V419" s="11">
        <v>0.37</v>
      </c>
      <c r="W419" s="11">
        <v>13</v>
      </c>
      <c r="X419" s="11">
        <v>22</v>
      </c>
      <c r="Y419" s="11">
        <v>1</v>
      </c>
      <c r="Z419" t="s">
        <v>10</v>
      </c>
    </row>
    <row r="420" spans="1:26" x14ac:dyDescent="0.25">
      <c r="A420" s="20" t="s">
        <v>712</v>
      </c>
      <c r="B420" s="20" t="s">
        <v>91</v>
      </c>
      <c r="C420" s="20" t="s">
        <v>713</v>
      </c>
      <c r="D420" s="20" t="s">
        <v>216</v>
      </c>
      <c r="E420" s="13">
        <v>0</v>
      </c>
      <c r="F420" s="11">
        <v>0</v>
      </c>
      <c r="G420" s="13">
        <v>32305</v>
      </c>
      <c r="H420" s="11">
        <v>0</v>
      </c>
      <c r="I420" s="13">
        <f>E420+G420</f>
        <v>32305</v>
      </c>
      <c r="J420" s="11">
        <f>F420+H420</f>
        <v>0</v>
      </c>
      <c r="K420" s="13">
        <v>0</v>
      </c>
      <c r="L420" s="11">
        <v>0</v>
      </c>
      <c r="M420" s="11">
        <v>0</v>
      </c>
      <c r="N420" s="13">
        <v>0</v>
      </c>
      <c r="O420" s="11">
        <v>0</v>
      </c>
      <c r="P420" s="11">
        <v>0</v>
      </c>
      <c r="Q420" s="13">
        <f>K420+N420</f>
        <v>0</v>
      </c>
      <c r="R420" s="11">
        <f>L420+O420</f>
        <v>0</v>
      </c>
      <c r="S420" s="11">
        <f>M420+P420</f>
        <v>0</v>
      </c>
      <c r="T420" s="8">
        <f>I420-Q420</f>
        <v>32305</v>
      </c>
      <c r="U420" s="18">
        <v>0.25062237939518406</v>
      </c>
      <c r="V420" s="11">
        <v>0</v>
      </c>
      <c r="W420" s="11">
        <v>0</v>
      </c>
      <c r="X420" s="11">
        <v>0</v>
      </c>
      <c r="Y420" s="11">
        <v>0</v>
      </c>
      <c r="Z420" t="s">
        <v>10</v>
      </c>
    </row>
    <row r="421" spans="1:26" x14ac:dyDescent="0.25">
      <c r="A421" s="20" t="s">
        <v>714</v>
      </c>
      <c r="B421" s="20" t="s">
        <v>3096</v>
      </c>
      <c r="C421" s="20" t="s">
        <v>715</v>
      </c>
      <c r="D421" s="20" t="s">
        <v>216</v>
      </c>
      <c r="E421" s="13">
        <v>0</v>
      </c>
      <c r="F421" s="11">
        <v>0</v>
      </c>
      <c r="G421" s="13">
        <v>0</v>
      </c>
      <c r="H421" s="11">
        <v>0</v>
      </c>
      <c r="I421" s="13">
        <f>E421+G421</f>
        <v>0</v>
      </c>
      <c r="J421" s="11">
        <f>F421+H421</f>
        <v>0</v>
      </c>
      <c r="K421" s="13">
        <v>0</v>
      </c>
      <c r="L421" s="11">
        <v>0</v>
      </c>
      <c r="M421" s="11">
        <v>0</v>
      </c>
      <c r="N421" s="13">
        <v>0</v>
      </c>
      <c r="O421" s="11">
        <v>0</v>
      </c>
      <c r="P421" s="11">
        <v>0</v>
      </c>
      <c r="Q421" s="13">
        <f>K421+N421</f>
        <v>0</v>
      </c>
      <c r="R421" s="11">
        <f>L421+O421</f>
        <v>0</v>
      </c>
      <c r="S421" s="11">
        <f>M421+P421</f>
        <v>0</v>
      </c>
      <c r="T421" s="8">
        <f>I421-Q421</f>
        <v>0</v>
      </c>
      <c r="U421" s="18">
        <v>-0.15661425727071243</v>
      </c>
      <c r="V421" s="11">
        <v>0</v>
      </c>
      <c r="W421" s="11">
        <v>0</v>
      </c>
      <c r="X421" s="11">
        <v>0</v>
      </c>
      <c r="Y421" s="11">
        <v>0</v>
      </c>
      <c r="Z421" t="s">
        <v>10</v>
      </c>
    </row>
    <row r="422" spans="1:26" x14ac:dyDescent="0.25">
      <c r="A422" s="20" t="s">
        <v>716</v>
      </c>
      <c r="B422" s="20" t="s">
        <v>91</v>
      </c>
      <c r="C422" s="20" t="s">
        <v>717</v>
      </c>
      <c r="D422" s="20" t="s">
        <v>216</v>
      </c>
      <c r="E422" s="13">
        <v>53288</v>
      </c>
      <c r="F422" s="11">
        <v>0</v>
      </c>
      <c r="G422" s="13">
        <v>0</v>
      </c>
      <c r="H422" s="11">
        <v>0</v>
      </c>
      <c r="I422" s="13">
        <f>E422+G422</f>
        <v>53288</v>
      </c>
      <c r="J422" s="11">
        <f>F422+H422</f>
        <v>0</v>
      </c>
      <c r="K422" s="13">
        <v>52982</v>
      </c>
      <c r="L422" s="11">
        <v>0</v>
      </c>
      <c r="M422" s="11">
        <v>0</v>
      </c>
      <c r="N422" s="13">
        <v>0</v>
      </c>
      <c r="O422" s="11">
        <v>0</v>
      </c>
      <c r="P422" s="11">
        <v>0</v>
      </c>
      <c r="Q422" s="13">
        <f>K422+N422</f>
        <v>52982</v>
      </c>
      <c r="R422" s="11">
        <f>L422+O422</f>
        <v>0</v>
      </c>
      <c r="S422" s="11">
        <f>M422+P422</f>
        <v>0</v>
      </c>
      <c r="T422" s="8">
        <f>I422-Q422</f>
        <v>306</v>
      </c>
      <c r="U422" s="18">
        <v>3.2133215311045696E-2</v>
      </c>
      <c r="V422" s="11">
        <v>0</v>
      </c>
      <c r="W422" s="11">
        <v>0</v>
      </c>
      <c r="X422" s="11">
        <v>0</v>
      </c>
      <c r="Y422" s="11">
        <v>0</v>
      </c>
      <c r="Z422" t="s">
        <v>10</v>
      </c>
    </row>
    <row r="423" spans="1:26" x14ac:dyDescent="0.25">
      <c r="A423" s="20" t="s">
        <v>718</v>
      </c>
      <c r="B423" s="20" t="s">
        <v>3096</v>
      </c>
      <c r="C423" s="20" t="s">
        <v>719</v>
      </c>
      <c r="D423" s="20" t="s">
        <v>216</v>
      </c>
      <c r="E423" s="13">
        <v>0</v>
      </c>
      <c r="F423" s="11">
        <v>0</v>
      </c>
      <c r="G423" s="13">
        <v>0</v>
      </c>
      <c r="H423" s="11">
        <v>0</v>
      </c>
      <c r="I423" s="13">
        <f>E423+G423</f>
        <v>0</v>
      </c>
      <c r="J423" s="11">
        <f>F423+H423</f>
        <v>0</v>
      </c>
      <c r="K423" s="13">
        <v>0</v>
      </c>
      <c r="L423" s="11">
        <v>0</v>
      </c>
      <c r="M423" s="11">
        <v>4</v>
      </c>
      <c r="N423" s="13">
        <v>0</v>
      </c>
      <c r="O423" s="11">
        <v>0</v>
      </c>
      <c r="P423" s="11">
        <v>0</v>
      </c>
      <c r="Q423" s="13">
        <f>K423+N423</f>
        <v>0</v>
      </c>
      <c r="R423" s="11">
        <f>L423+O423</f>
        <v>0</v>
      </c>
      <c r="S423" s="11">
        <f>M423+P423</f>
        <v>4</v>
      </c>
      <c r="T423" s="8">
        <f>I423-Q423</f>
        <v>0</v>
      </c>
      <c r="U423" s="18">
        <v>6.8198193879367597E-2</v>
      </c>
      <c r="V423" s="11">
        <v>0.33</v>
      </c>
      <c r="W423" s="11">
        <v>4</v>
      </c>
      <c r="X423" s="11">
        <v>8</v>
      </c>
      <c r="Y423" s="11">
        <v>6</v>
      </c>
      <c r="Z423" t="s">
        <v>10</v>
      </c>
    </row>
    <row r="424" spans="1:26" x14ac:dyDescent="0.25">
      <c r="A424" s="20" t="s">
        <v>723</v>
      </c>
      <c r="B424" s="20" t="s">
        <v>723</v>
      </c>
      <c r="C424" s="20" t="s">
        <v>709</v>
      </c>
      <c r="D424" s="20" t="s">
        <v>216</v>
      </c>
      <c r="E424" s="13">
        <v>23761.01</v>
      </c>
      <c r="F424" s="11">
        <v>0</v>
      </c>
      <c r="G424" s="13">
        <v>83675.490000000005</v>
      </c>
      <c r="H424" s="11">
        <v>0</v>
      </c>
      <c r="I424" s="13">
        <f>E424+G424</f>
        <v>107436.5</v>
      </c>
      <c r="J424" s="11">
        <f>F424+H424</f>
        <v>0</v>
      </c>
      <c r="K424" s="13">
        <v>24813.65</v>
      </c>
      <c r="L424" s="11">
        <v>2</v>
      </c>
      <c r="M424" s="11">
        <v>7</v>
      </c>
      <c r="N424" s="13">
        <v>132367.03</v>
      </c>
      <c r="O424" s="11">
        <v>1</v>
      </c>
      <c r="P424" s="11">
        <v>4</v>
      </c>
      <c r="Q424" s="13">
        <f>K424+N424</f>
        <v>157180.68</v>
      </c>
      <c r="R424" s="11">
        <f>L424+O424</f>
        <v>3</v>
      </c>
      <c r="S424" s="11">
        <f>M424+P424</f>
        <v>11</v>
      </c>
      <c r="T424" s="8">
        <f>I424-Q424</f>
        <v>-49744.179999999993</v>
      </c>
      <c r="U424" s="18">
        <v>2.1728580393787853</v>
      </c>
      <c r="V424" s="11">
        <v>0.31</v>
      </c>
      <c r="W424" s="11">
        <v>8</v>
      </c>
      <c r="X424" s="11">
        <v>18</v>
      </c>
      <c r="Y424" s="11">
        <v>6</v>
      </c>
      <c r="Z424" t="s">
        <v>10</v>
      </c>
    </row>
    <row r="425" spans="1:26" x14ac:dyDescent="0.25">
      <c r="A425" s="20" t="s">
        <v>725</v>
      </c>
      <c r="B425" s="20" t="s">
        <v>91</v>
      </c>
      <c r="C425" s="20" t="s">
        <v>726</v>
      </c>
      <c r="D425" s="20" t="s">
        <v>216</v>
      </c>
      <c r="E425" s="13">
        <v>0</v>
      </c>
      <c r="F425" s="11">
        <v>0</v>
      </c>
      <c r="G425" s="13">
        <v>0</v>
      </c>
      <c r="H425" s="11">
        <v>0</v>
      </c>
      <c r="I425" s="13">
        <f>E425+G425</f>
        <v>0</v>
      </c>
      <c r="J425" s="11">
        <f>F425+H425</f>
        <v>0</v>
      </c>
      <c r="K425" s="13">
        <v>0</v>
      </c>
      <c r="L425" s="11">
        <v>0</v>
      </c>
      <c r="M425" s="11">
        <v>1</v>
      </c>
      <c r="N425" s="13">
        <v>0</v>
      </c>
      <c r="O425" s="11">
        <v>0</v>
      </c>
      <c r="P425" s="11">
        <v>0</v>
      </c>
      <c r="Q425" s="13">
        <f>K425+N425</f>
        <v>0</v>
      </c>
      <c r="R425" s="11">
        <f>L425+O425</f>
        <v>0</v>
      </c>
      <c r="S425" s="11">
        <f>M425+P425</f>
        <v>1</v>
      </c>
      <c r="T425" s="8">
        <f>I425-Q425</f>
        <v>0</v>
      </c>
      <c r="U425" s="18">
        <v>0.28695029646487197</v>
      </c>
      <c r="V425" s="11">
        <v>0</v>
      </c>
      <c r="W425" s="11">
        <v>1</v>
      </c>
      <c r="X425" s="11"/>
      <c r="Y425" s="11">
        <v>0</v>
      </c>
      <c r="Z425" t="s">
        <v>10</v>
      </c>
    </row>
    <row r="426" spans="1:26" x14ac:dyDescent="0.25">
      <c r="A426" s="20" t="s">
        <v>728</v>
      </c>
      <c r="B426" s="20" t="s">
        <v>124</v>
      </c>
      <c r="C426" s="20" t="s">
        <v>729</v>
      </c>
      <c r="D426" s="20" t="s">
        <v>216</v>
      </c>
      <c r="E426" s="13">
        <v>20601.96</v>
      </c>
      <c r="F426" s="11">
        <v>0</v>
      </c>
      <c r="G426" s="13">
        <v>175457</v>
      </c>
      <c r="H426" s="11">
        <v>0</v>
      </c>
      <c r="I426" s="13">
        <f>E426+G426</f>
        <v>196058.96</v>
      </c>
      <c r="J426" s="11">
        <f>F426+H426</f>
        <v>0</v>
      </c>
      <c r="K426" s="13">
        <v>19849.98</v>
      </c>
      <c r="L426" s="11">
        <v>0</v>
      </c>
      <c r="M426" s="11">
        <v>1</v>
      </c>
      <c r="N426" s="13">
        <v>165596</v>
      </c>
      <c r="O426" s="11">
        <v>0</v>
      </c>
      <c r="P426" s="11">
        <v>1</v>
      </c>
      <c r="Q426" s="13">
        <f>K426+N426</f>
        <v>185445.98</v>
      </c>
      <c r="R426" s="11">
        <f>L426+O426</f>
        <v>0</v>
      </c>
      <c r="S426" s="11">
        <f>M426+P426</f>
        <v>2</v>
      </c>
      <c r="T426" s="8">
        <f>I426-Q426</f>
        <v>10612.979999999981</v>
      </c>
      <c r="U426" s="18">
        <v>0.21694853849094362</v>
      </c>
      <c r="V426" s="11">
        <v>0.33</v>
      </c>
      <c r="W426" s="11">
        <v>2</v>
      </c>
      <c r="X426" s="11">
        <v>4</v>
      </c>
      <c r="Y426" s="11">
        <v>3</v>
      </c>
      <c r="Z426" t="s">
        <v>10</v>
      </c>
    </row>
    <row r="427" spans="1:26" x14ac:dyDescent="0.25">
      <c r="A427" s="20" t="s">
        <v>732</v>
      </c>
      <c r="B427" s="20" t="s">
        <v>91</v>
      </c>
      <c r="C427" s="20" t="s">
        <v>733</v>
      </c>
      <c r="D427" s="20" t="s">
        <v>216</v>
      </c>
      <c r="E427" s="13">
        <v>0</v>
      </c>
      <c r="F427" s="11">
        <v>0</v>
      </c>
      <c r="G427" s="13">
        <v>0</v>
      </c>
      <c r="H427" s="11">
        <v>0</v>
      </c>
      <c r="I427" s="13">
        <f>E427+G427</f>
        <v>0</v>
      </c>
      <c r="J427" s="11">
        <f>F427+H427</f>
        <v>0</v>
      </c>
      <c r="K427" s="13">
        <v>0</v>
      </c>
      <c r="L427" s="11">
        <v>0</v>
      </c>
      <c r="M427" s="11">
        <v>0</v>
      </c>
      <c r="N427" s="13">
        <v>0</v>
      </c>
      <c r="O427" s="11">
        <v>0</v>
      </c>
      <c r="P427" s="11">
        <v>0</v>
      </c>
      <c r="Q427" s="13">
        <f>K427+N427</f>
        <v>0</v>
      </c>
      <c r="R427" s="11">
        <f>L427+O427</f>
        <v>0</v>
      </c>
      <c r="S427" s="11">
        <f>M427+P427</f>
        <v>0</v>
      </c>
      <c r="T427" s="8">
        <f>I427-Q427</f>
        <v>0</v>
      </c>
      <c r="U427" s="18" t="s">
        <v>1803</v>
      </c>
      <c r="V427" s="11">
        <v>0</v>
      </c>
      <c r="W427" s="11">
        <v>0</v>
      </c>
      <c r="X427" s="11">
        <v>0</v>
      </c>
      <c r="Y427" s="11">
        <v>0</v>
      </c>
      <c r="Z427" t="s">
        <v>10</v>
      </c>
    </row>
    <row r="428" spans="1:26" x14ac:dyDescent="0.25">
      <c r="A428" s="20" t="s">
        <v>737</v>
      </c>
      <c r="B428" s="20" t="s">
        <v>83</v>
      </c>
      <c r="C428" s="20" t="s">
        <v>700</v>
      </c>
      <c r="D428" s="20" t="s">
        <v>216</v>
      </c>
      <c r="E428" s="13">
        <v>23863.119999999999</v>
      </c>
      <c r="F428" s="11">
        <v>0</v>
      </c>
      <c r="G428" s="13">
        <v>146669.29</v>
      </c>
      <c r="H428" s="11">
        <v>1</v>
      </c>
      <c r="I428" s="13">
        <f>E428+G428</f>
        <v>170532.41</v>
      </c>
      <c r="J428" s="11">
        <f>F428+H428</f>
        <v>1</v>
      </c>
      <c r="K428" s="13">
        <v>57954.59</v>
      </c>
      <c r="L428" s="11">
        <v>1</v>
      </c>
      <c r="M428" s="11">
        <v>6</v>
      </c>
      <c r="N428" s="13">
        <v>139885.1</v>
      </c>
      <c r="O428" s="11">
        <v>0</v>
      </c>
      <c r="P428" s="11">
        <v>3</v>
      </c>
      <c r="Q428" s="13">
        <f>K428+N428</f>
        <v>197839.69</v>
      </c>
      <c r="R428" s="11">
        <f>L428+O428</f>
        <v>1</v>
      </c>
      <c r="S428" s="11">
        <f>M428+P428</f>
        <v>9</v>
      </c>
      <c r="T428" s="8">
        <f>I428-Q428</f>
        <v>-27307.279999999999</v>
      </c>
      <c r="U428" s="18">
        <v>0.52841944112821115</v>
      </c>
      <c r="V428" s="11">
        <v>0.25</v>
      </c>
      <c r="W428" s="11">
        <v>9</v>
      </c>
      <c r="X428" s="11">
        <v>27</v>
      </c>
      <c r="Y428" s="11">
        <v>11</v>
      </c>
      <c r="Z428" t="s">
        <v>10</v>
      </c>
    </row>
    <row r="429" spans="1:26" x14ac:dyDescent="0.25">
      <c r="A429" s="20" t="s">
        <v>739</v>
      </c>
      <c r="B429" s="20" t="s">
        <v>60</v>
      </c>
      <c r="C429" s="20" t="s">
        <v>740</v>
      </c>
      <c r="D429" s="20" t="s">
        <v>216</v>
      </c>
      <c r="E429" s="13">
        <v>0</v>
      </c>
      <c r="F429" s="11">
        <v>0</v>
      </c>
      <c r="G429" s="13">
        <v>18673.5</v>
      </c>
      <c r="H429" s="11">
        <v>0</v>
      </c>
      <c r="I429" s="13">
        <f>E429+G429</f>
        <v>18673.5</v>
      </c>
      <c r="J429" s="11">
        <f>F429+H429</f>
        <v>0</v>
      </c>
      <c r="K429" s="13">
        <v>0</v>
      </c>
      <c r="L429" s="11">
        <v>0</v>
      </c>
      <c r="M429" s="11">
        <v>0</v>
      </c>
      <c r="N429" s="13">
        <v>17261</v>
      </c>
      <c r="O429" s="11">
        <v>0</v>
      </c>
      <c r="P429" s="11">
        <v>0</v>
      </c>
      <c r="Q429" s="13">
        <f>K429+N429</f>
        <v>17261</v>
      </c>
      <c r="R429" s="11">
        <f>L429+O429</f>
        <v>0</v>
      </c>
      <c r="S429" s="11">
        <f>M429+P429</f>
        <v>0</v>
      </c>
      <c r="T429" s="8">
        <f>I429-Q429</f>
        <v>1412.5</v>
      </c>
      <c r="U429" s="18">
        <v>5.350830665242709E-2</v>
      </c>
      <c r="V429" s="11">
        <v>0</v>
      </c>
      <c r="W429" s="11">
        <v>0</v>
      </c>
      <c r="X429" s="11">
        <v>0</v>
      </c>
      <c r="Y429" s="11">
        <v>0</v>
      </c>
      <c r="Z429" t="s">
        <v>10</v>
      </c>
    </row>
    <row r="430" spans="1:26" x14ac:dyDescent="0.25">
      <c r="A430" s="20" t="s">
        <v>741</v>
      </c>
      <c r="B430" s="20" t="s">
        <v>60</v>
      </c>
      <c r="C430" s="20" t="s">
        <v>742</v>
      </c>
      <c r="D430" s="20" t="s">
        <v>216</v>
      </c>
      <c r="E430" s="13">
        <v>0</v>
      </c>
      <c r="F430" s="11">
        <v>0</v>
      </c>
      <c r="G430" s="13">
        <v>0</v>
      </c>
      <c r="H430" s="11">
        <v>0</v>
      </c>
      <c r="I430" s="13">
        <f>E430+G430</f>
        <v>0</v>
      </c>
      <c r="J430" s="11">
        <f>F430+H430</f>
        <v>0</v>
      </c>
      <c r="K430" s="13">
        <v>0</v>
      </c>
      <c r="L430" s="11">
        <v>0</v>
      </c>
      <c r="M430" s="11">
        <v>0</v>
      </c>
      <c r="N430" s="13">
        <v>0</v>
      </c>
      <c r="O430" s="11">
        <v>0</v>
      </c>
      <c r="P430" s="11">
        <v>0</v>
      </c>
      <c r="Q430" s="13">
        <f>K430+N430</f>
        <v>0</v>
      </c>
      <c r="R430" s="11">
        <f>L430+O430</f>
        <v>0</v>
      </c>
      <c r="S430" s="11">
        <f>M430+P430</f>
        <v>0</v>
      </c>
      <c r="T430" s="8">
        <f>I430-Q430</f>
        <v>0</v>
      </c>
      <c r="U430" s="18">
        <v>4.287658581043869E-2</v>
      </c>
      <c r="V430" s="11">
        <v>0</v>
      </c>
      <c r="W430" s="11">
        <v>0</v>
      </c>
      <c r="X430" s="11">
        <v>2</v>
      </c>
      <c r="Y430" s="11">
        <v>2</v>
      </c>
      <c r="Z430" t="s">
        <v>10</v>
      </c>
    </row>
    <row r="431" spans="1:26" x14ac:dyDescent="0.25">
      <c r="A431" s="20" t="s">
        <v>743</v>
      </c>
      <c r="B431" s="20" t="s">
        <v>91</v>
      </c>
      <c r="C431" s="20" t="s">
        <v>722</v>
      </c>
      <c r="D431" s="20" t="s">
        <v>216</v>
      </c>
      <c r="E431" s="13">
        <v>0</v>
      </c>
      <c r="F431" s="11">
        <v>0</v>
      </c>
      <c r="G431" s="13">
        <v>0</v>
      </c>
      <c r="H431" s="11">
        <v>0</v>
      </c>
      <c r="I431" s="13">
        <f>E431+G431</f>
        <v>0</v>
      </c>
      <c r="J431" s="11">
        <f>F431+H431</f>
        <v>0</v>
      </c>
      <c r="K431" s="13">
        <v>0</v>
      </c>
      <c r="L431" s="11">
        <v>0</v>
      </c>
      <c r="M431" s="11">
        <v>0</v>
      </c>
      <c r="N431" s="13">
        <v>0</v>
      </c>
      <c r="O431" s="11">
        <v>0</v>
      </c>
      <c r="P431" s="11">
        <v>0</v>
      </c>
      <c r="Q431" s="13">
        <f>K431+N431</f>
        <v>0</v>
      </c>
      <c r="R431" s="11">
        <f>L431+O431</f>
        <v>0</v>
      </c>
      <c r="S431" s="11">
        <f>M431+P431</f>
        <v>0</v>
      </c>
      <c r="T431" s="8">
        <f>I431-Q431</f>
        <v>0</v>
      </c>
      <c r="U431" s="18">
        <v>4.0343164700224352E-2</v>
      </c>
      <c r="V431" s="11">
        <v>0</v>
      </c>
      <c r="W431" s="11">
        <v>0</v>
      </c>
      <c r="X431" s="11">
        <v>1</v>
      </c>
      <c r="Y431" s="11">
        <v>0</v>
      </c>
      <c r="Z431" t="s">
        <v>10</v>
      </c>
    </row>
    <row r="432" spans="1:26" x14ac:dyDescent="0.25">
      <c r="A432" s="20" t="s">
        <v>744</v>
      </c>
      <c r="B432" s="20" t="s">
        <v>60</v>
      </c>
      <c r="C432" s="20" t="s">
        <v>3640</v>
      </c>
      <c r="D432" s="20" t="s">
        <v>216</v>
      </c>
      <c r="E432" s="13">
        <v>0</v>
      </c>
      <c r="F432" s="11">
        <v>0</v>
      </c>
      <c r="G432" s="13">
        <v>0</v>
      </c>
      <c r="H432" s="11">
        <v>0</v>
      </c>
      <c r="I432" s="13">
        <f>E432+G432</f>
        <v>0</v>
      </c>
      <c r="J432" s="11">
        <f>F432+H432</f>
        <v>0</v>
      </c>
      <c r="K432" s="13">
        <v>0</v>
      </c>
      <c r="L432" s="11">
        <v>0</v>
      </c>
      <c r="M432" s="11">
        <v>0</v>
      </c>
      <c r="N432" s="13">
        <v>0</v>
      </c>
      <c r="O432" s="11">
        <v>0</v>
      </c>
      <c r="P432" s="11">
        <v>0</v>
      </c>
      <c r="Q432" s="13">
        <f>K432+N432</f>
        <v>0</v>
      </c>
      <c r="R432" s="11">
        <f>L432+O432</f>
        <v>0</v>
      </c>
      <c r="S432" s="11">
        <f>M432+P432</f>
        <v>0</v>
      </c>
      <c r="T432" s="8">
        <f>I432-Q432</f>
        <v>0</v>
      </c>
      <c r="U432" s="18">
        <v>-0.31857879538614881</v>
      </c>
      <c r="V432" s="11">
        <v>0</v>
      </c>
      <c r="W432" s="11">
        <v>0</v>
      </c>
      <c r="X432" s="11">
        <v>1</v>
      </c>
      <c r="Y432" s="11">
        <v>0</v>
      </c>
      <c r="Z432" t="s">
        <v>10</v>
      </c>
    </row>
    <row r="433" spans="1:26" x14ac:dyDescent="0.25">
      <c r="A433" s="20" t="s">
        <v>745</v>
      </c>
      <c r="B433" s="20" t="s">
        <v>77</v>
      </c>
      <c r="C433" s="20" t="s">
        <v>680</v>
      </c>
      <c r="D433" s="20" t="s">
        <v>216</v>
      </c>
      <c r="E433" s="13">
        <v>23065.02</v>
      </c>
      <c r="F433" s="11">
        <v>0</v>
      </c>
      <c r="G433" s="13">
        <v>0</v>
      </c>
      <c r="H433" s="11">
        <v>0</v>
      </c>
      <c r="I433" s="13">
        <f>E433+G433</f>
        <v>23065.02</v>
      </c>
      <c r="J433" s="11">
        <f>F433+H433</f>
        <v>0</v>
      </c>
      <c r="K433" s="13">
        <v>3413</v>
      </c>
      <c r="L433" s="11">
        <v>0</v>
      </c>
      <c r="M433" s="11">
        <v>4</v>
      </c>
      <c r="N433" s="13">
        <v>0</v>
      </c>
      <c r="O433" s="11">
        <v>0</v>
      </c>
      <c r="P433" s="11">
        <v>2</v>
      </c>
      <c r="Q433" s="13">
        <f>K433+N433</f>
        <v>3413</v>
      </c>
      <c r="R433" s="11">
        <f>L433+O433</f>
        <v>0</v>
      </c>
      <c r="S433" s="11">
        <f>M433+P433</f>
        <v>6</v>
      </c>
      <c r="T433" s="8">
        <f>I433-Q433</f>
        <v>19652.02</v>
      </c>
      <c r="U433" s="18">
        <v>0.53437920833335761</v>
      </c>
      <c r="V433" s="11">
        <v>0.4</v>
      </c>
      <c r="W433" s="11">
        <v>6</v>
      </c>
      <c r="X433" s="11">
        <v>9</v>
      </c>
      <c r="Y433" s="11">
        <v>0</v>
      </c>
      <c r="Z433" t="s">
        <v>10</v>
      </c>
    </row>
    <row r="434" spans="1:26" x14ac:dyDescent="0.25">
      <c r="A434" s="20" t="s">
        <v>749</v>
      </c>
      <c r="B434" s="20" t="s">
        <v>83</v>
      </c>
      <c r="C434" s="20" t="s">
        <v>711</v>
      </c>
      <c r="D434" s="20" t="s">
        <v>216</v>
      </c>
      <c r="E434" s="13">
        <v>0</v>
      </c>
      <c r="F434" s="11">
        <v>0</v>
      </c>
      <c r="G434" s="13">
        <v>0</v>
      </c>
      <c r="H434" s="11">
        <v>0</v>
      </c>
      <c r="I434" s="13">
        <f>E434+G434</f>
        <v>0</v>
      </c>
      <c r="J434" s="11">
        <f>F434+H434</f>
        <v>0</v>
      </c>
      <c r="K434" s="13">
        <v>0</v>
      </c>
      <c r="L434" s="11">
        <v>0</v>
      </c>
      <c r="M434" s="11">
        <v>0</v>
      </c>
      <c r="N434" s="13">
        <v>0</v>
      </c>
      <c r="O434" s="11">
        <v>0</v>
      </c>
      <c r="P434" s="11">
        <v>0</v>
      </c>
      <c r="Q434" s="13">
        <f>K434+N434</f>
        <v>0</v>
      </c>
      <c r="R434" s="11">
        <f>L434+O434</f>
        <v>0</v>
      </c>
      <c r="S434" s="11">
        <f>M434+P434</f>
        <v>0</v>
      </c>
      <c r="T434" s="8">
        <f>I434-Q434</f>
        <v>0</v>
      </c>
      <c r="U434" s="18">
        <v>-0.13784109666015007</v>
      </c>
      <c r="V434" s="11">
        <v>0</v>
      </c>
      <c r="W434" s="11">
        <v>0</v>
      </c>
      <c r="X434" s="11">
        <v>0</v>
      </c>
      <c r="Y434" s="11">
        <v>0</v>
      </c>
      <c r="Z434" t="s">
        <v>10</v>
      </c>
    </row>
    <row r="435" spans="1:26" x14ac:dyDescent="0.25">
      <c r="A435" s="20" t="s">
        <v>730</v>
      </c>
      <c r="B435" s="20" t="s">
        <v>730</v>
      </c>
      <c r="C435" s="20" t="s">
        <v>731</v>
      </c>
      <c r="D435" s="20" t="s">
        <v>216</v>
      </c>
      <c r="E435" s="13">
        <v>0</v>
      </c>
      <c r="F435" s="11">
        <v>0</v>
      </c>
      <c r="G435" s="13">
        <v>0</v>
      </c>
      <c r="H435" s="11">
        <v>0</v>
      </c>
      <c r="I435" s="13">
        <f>E435+G435</f>
        <v>0</v>
      </c>
      <c r="J435" s="11">
        <f>F435+H435</f>
        <v>0</v>
      </c>
      <c r="K435" s="13">
        <v>0</v>
      </c>
      <c r="L435" s="11">
        <v>0</v>
      </c>
      <c r="M435" s="11">
        <v>0</v>
      </c>
      <c r="N435" s="13">
        <v>0</v>
      </c>
      <c r="O435" s="11">
        <v>0</v>
      </c>
      <c r="P435" s="11">
        <v>0</v>
      </c>
      <c r="Q435" s="13">
        <f>K435+N435</f>
        <v>0</v>
      </c>
      <c r="R435" s="11">
        <f>L435+O435</f>
        <v>0</v>
      </c>
      <c r="S435" s="11">
        <f>M435+P435</f>
        <v>0</v>
      </c>
      <c r="T435" s="8">
        <f>I435-Q435</f>
        <v>0</v>
      </c>
      <c r="U435" s="18" t="s">
        <v>1803</v>
      </c>
      <c r="V435" s="11">
        <v>0</v>
      </c>
      <c r="W435" s="11">
        <v>0</v>
      </c>
      <c r="X435" s="11">
        <v>0</v>
      </c>
      <c r="Y435" s="11">
        <v>0</v>
      </c>
      <c r="Z435" t="s">
        <v>10</v>
      </c>
    </row>
    <row r="436" spans="1:26" x14ac:dyDescent="0.25">
      <c r="A436" s="20" t="s">
        <v>755</v>
      </c>
      <c r="B436" s="20" t="s">
        <v>756</v>
      </c>
      <c r="C436" s="20" t="s">
        <v>757</v>
      </c>
      <c r="D436" s="20" t="s">
        <v>216</v>
      </c>
      <c r="E436" s="13">
        <v>15235</v>
      </c>
      <c r="F436" s="11">
        <v>0</v>
      </c>
      <c r="G436" s="13">
        <v>0</v>
      </c>
      <c r="H436" s="11">
        <v>0</v>
      </c>
      <c r="I436" s="13">
        <f>E436+G436</f>
        <v>15235</v>
      </c>
      <c r="J436" s="11">
        <f>F436+H436</f>
        <v>0</v>
      </c>
      <c r="K436" s="13">
        <v>5583.38</v>
      </c>
      <c r="L436" s="11">
        <v>0</v>
      </c>
      <c r="M436" s="11">
        <v>0</v>
      </c>
      <c r="N436" s="13">
        <v>0</v>
      </c>
      <c r="O436" s="11">
        <v>0</v>
      </c>
      <c r="P436" s="11">
        <v>0</v>
      </c>
      <c r="Q436" s="13">
        <f>K436+N436</f>
        <v>5583.38</v>
      </c>
      <c r="R436" s="11">
        <f>L436+O436</f>
        <v>0</v>
      </c>
      <c r="S436" s="11">
        <f>M436+P436</f>
        <v>0</v>
      </c>
      <c r="T436" s="8">
        <f>I436-Q436</f>
        <v>9651.619999999999</v>
      </c>
      <c r="U436" s="18">
        <v>8.5782430268673493E-2</v>
      </c>
      <c r="V436" s="11">
        <v>0</v>
      </c>
      <c r="W436" s="11">
        <v>0</v>
      </c>
      <c r="X436" s="11">
        <v>1</v>
      </c>
      <c r="Y436" s="11">
        <v>1</v>
      </c>
      <c r="Z436" t="s">
        <v>10</v>
      </c>
    </row>
    <row r="437" spans="1:26" x14ac:dyDescent="0.25">
      <c r="A437" s="20" t="s">
        <v>759</v>
      </c>
      <c r="B437" s="20" t="s">
        <v>172</v>
      </c>
      <c r="C437" s="20" t="s">
        <v>760</v>
      </c>
      <c r="D437" s="20" t="s">
        <v>216</v>
      </c>
      <c r="E437" s="13">
        <v>0</v>
      </c>
      <c r="F437" s="11">
        <v>0</v>
      </c>
      <c r="G437" s="13">
        <v>0</v>
      </c>
      <c r="H437" s="11">
        <v>0</v>
      </c>
      <c r="I437" s="13">
        <f>E437+G437</f>
        <v>0</v>
      </c>
      <c r="J437" s="11">
        <f>F437+H437</f>
        <v>0</v>
      </c>
      <c r="K437" s="13">
        <v>0</v>
      </c>
      <c r="L437" s="11">
        <v>0</v>
      </c>
      <c r="M437" s="11">
        <v>0</v>
      </c>
      <c r="N437" s="13">
        <v>0</v>
      </c>
      <c r="O437" s="11">
        <v>0</v>
      </c>
      <c r="P437" s="11">
        <v>0</v>
      </c>
      <c r="Q437" s="13">
        <f>K437+N437</f>
        <v>0</v>
      </c>
      <c r="R437" s="11">
        <f>L437+O437</f>
        <v>0</v>
      </c>
      <c r="S437" s="11">
        <f>M437+P437</f>
        <v>0</v>
      </c>
      <c r="T437" s="8">
        <f>I437-Q437</f>
        <v>0</v>
      </c>
      <c r="U437" s="18">
        <v>0.64995672160885853</v>
      </c>
      <c r="V437" s="11">
        <v>0</v>
      </c>
      <c r="W437" s="11">
        <v>0</v>
      </c>
      <c r="X437" s="11">
        <v>2</v>
      </c>
      <c r="Y437" s="11">
        <v>0</v>
      </c>
      <c r="Z437" t="s">
        <v>10</v>
      </c>
    </row>
    <row r="438" spans="1:26" x14ac:dyDescent="0.25">
      <c r="A438" s="20" t="s">
        <v>764</v>
      </c>
      <c r="B438" s="20" t="s">
        <v>3096</v>
      </c>
      <c r="C438" s="20" t="s">
        <v>765</v>
      </c>
      <c r="D438" s="20" t="s">
        <v>216</v>
      </c>
      <c r="E438" s="13">
        <v>0</v>
      </c>
      <c r="F438" s="11">
        <v>0</v>
      </c>
      <c r="G438" s="13">
        <v>0</v>
      </c>
      <c r="H438" s="11">
        <v>0</v>
      </c>
      <c r="I438" s="13">
        <f>E438+G438</f>
        <v>0</v>
      </c>
      <c r="J438" s="11">
        <f>F438+H438</f>
        <v>0</v>
      </c>
      <c r="K438" s="13">
        <v>0</v>
      </c>
      <c r="L438" s="11">
        <v>0</v>
      </c>
      <c r="M438" s="11">
        <v>0</v>
      </c>
      <c r="N438" s="13">
        <v>0</v>
      </c>
      <c r="O438" s="11">
        <v>0</v>
      </c>
      <c r="P438" s="11">
        <v>0</v>
      </c>
      <c r="Q438" s="13">
        <f>K438+N438</f>
        <v>0</v>
      </c>
      <c r="R438" s="11">
        <f>L438+O438</f>
        <v>0</v>
      </c>
      <c r="S438" s="11">
        <f>M438+P438</f>
        <v>0</v>
      </c>
      <c r="T438" s="8">
        <f>I438-Q438</f>
        <v>0</v>
      </c>
      <c r="U438" s="18">
        <v>1.4782558102147088</v>
      </c>
      <c r="V438" s="11">
        <v>0</v>
      </c>
      <c r="W438" s="11">
        <v>0</v>
      </c>
      <c r="X438" s="11">
        <v>0</v>
      </c>
      <c r="Y438" s="11">
        <v>0</v>
      </c>
      <c r="Z438" t="s">
        <v>10</v>
      </c>
    </row>
    <row r="439" spans="1:26" x14ac:dyDescent="0.25">
      <c r="A439" s="20" t="s">
        <v>766</v>
      </c>
      <c r="B439" s="20" t="s">
        <v>60</v>
      </c>
      <c r="C439" s="20" t="s">
        <v>767</v>
      </c>
      <c r="D439" s="20" t="s">
        <v>216</v>
      </c>
      <c r="E439" s="13">
        <v>14220</v>
      </c>
      <c r="F439" s="11">
        <v>0</v>
      </c>
      <c r="G439" s="13">
        <v>0</v>
      </c>
      <c r="H439" s="11">
        <v>0</v>
      </c>
      <c r="I439" s="13">
        <f>E439+G439</f>
        <v>14220</v>
      </c>
      <c r="J439" s="11">
        <f>F439+H439</f>
        <v>0</v>
      </c>
      <c r="K439" s="13">
        <v>14851</v>
      </c>
      <c r="L439" s="11">
        <v>0</v>
      </c>
      <c r="M439" s="11">
        <v>0</v>
      </c>
      <c r="N439" s="13">
        <v>0</v>
      </c>
      <c r="O439" s="11">
        <v>0</v>
      </c>
      <c r="P439" s="11">
        <v>0</v>
      </c>
      <c r="Q439" s="13">
        <f>K439+N439</f>
        <v>14851</v>
      </c>
      <c r="R439" s="11">
        <f>L439+O439</f>
        <v>0</v>
      </c>
      <c r="S439" s="11">
        <f>M439+P439</f>
        <v>0</v>
      </c>
      <c r="T439" s="8">
        <f>I439-Q439</f>
        <v>-631</v>
      </c>
      <c r="U439" s="18">
        <v>9.0986679233293594E-2</v>
      </c>
      <c r="V439" s="11">
        <v>0</v>
      </c>
      <c r="W439" s="11">
        <v>0</v>
      </c>
      <c r="X439" s="11">
        <v>0</v>
      </c>
      <c r="Y439" s="11">
        <v>0</v>
      </c>
      <c r="Z439" t="s">
        <v>10</v>
      </c>
    </row>
    <row r="440" spans="1:26" x14ac:dyDescent="0.25">
      <c r="A440" s="20" t="s">
        <v>3158</v>
      </c>
      <c r="B440" s="20" t="s">
        <v>60</v>
      </c>
      <c r="C440" s="20" t="s">
        <v>3159</v>
      </c>
      <c r="D440" s="20" t="s">
        <v>216</v>
      </c>
      <c r="E440" s="13">
        <v>0</v>
      </c>
      <c r="F440" s="11">
        <v>0</v>
      </c>
      <c r="G440" s="13">
        <v>2944.16</v>
      </c>
      <c r="H440" s="11">
        <v>0</v>
      </c>
      <c r="I440" s="13">
        <f>E440+G440</f>
        <v>2944.16</v>
      </c>
      <c r="J440" s="11">
        <f>F440+H440</f>
        <v>0</v>
      </c>
      <c r="K440" s="13">
        <v>0</v>
      </c>
      <c r="L440" s="11">
        <v>0</v>
      </c>
      <c r="M440" s="11">
        <v>0</v>
      </c>
      <c r="N440" s="13">
        <v>0</v>
      </c>
      <c r="O440" s="11">
        <v>0</v>
      </c>
      <c r="P440" s="11">
        <v>0</v>
      </c>
      <c r="Q440" s="13">
        <f>K440+N440</f>
        <v>0</v>
      </c>
      <c r="R440" s="11">
        <f>L440+O440</f>
        <v>0</v>
      </c>
      <c r="S440" s="11">
        <f>M440+P440</f>
        <v>0</v>
      </c>
      <c r="T440" s="8">
        <f>I440-Q440</f>
        <v>2944.16</v>
      </c>
      <c r="U440" s="18">
        <v>2.0091754441759899E-2</v>
      </c>
      <c r="V440" s="11">
        <v>0</v>
      </c>
      <c r="W440" s="11">
        <v>0</v>
      </c>
      <c r="X440" s="11">
        <v>7</v>
      </c>
      <c r="Y440" s="11">
        <v>0</v>
      </c>
      <c r="Z440" t="s">
        <v>10</v>
      </c>
    </row>
    <row r="441" spans="1:26" x14ac:dyDescent="0.25">
      <c r="A441" s="20" t="s">
        <v>768</v>
      </c>
      <c r="B441" s="20" t="s">
        <v>60</v>
      </c>
      <c r="C441" s="20" t="s">
        <v>769</v>
      </c>
      <c r="D441" s="20" t="s">
        <v>216</v>
      </c>
      <c r="E441" s="13">
        <v>0</v>
      </c>
      <c r="F441" s="11">
        <v>0</v>
      </c>
      <c r="G441" s="13">
        <v>0</v>
      </c>
      <c r="H441" s="11">
        <v>0</v>
      </c>
      <c r="I441" s="13">
        <f>E441+G441</f>
        <v>0</v>
      </c>
      <c r="J441" s="11">
        <f>F441+H441</f>
        <v>0</v>
      </c>
      <c r="K441" s="13">
        <v>0</v>
      </c>
      <c r="L441" s="11">
        <v>0</v>
      </c>
      <c r="M441" s="11">
        <v>0</v>
      </c>
      <c r="N441" s="13">
        <v>5404.15</v>
      </c>
      <c r="O441" s="11">
        <v>0</v>
      </c>
      <c r="P441" s="11">
        <v>0</v>
      </c>
      <c r="Q441" s="13">
        <f>K441+N441</f>
        <v>5404.15</v>
      </c>
      <c r="R441" s="11">
        <f>L441+O441</f>
        <v>0</v>
      </c>
      <c r="S441" s="11">
        <f>M441+P441</f>
        <v>0</v>
      </c>
      <c r="T441" s="8">
        <f>I441-Q441</f>
        <v>-5404.15</v>
      </c>
      <c r="U441" s="18">
        <v>4.0998905226785926E-2</v>
      </c>
      <c r="V441" s="11">
        <v>0</v>
      </c>
      <c r="W441" s="11">
        <v>0</v>
      </c>
      <c r="X441" s="11">
        <v>0</v>
      </c>
      <c r="Y441" s="11">
        <v>0</v>
      </c>
      <c r="Z441" t="s">
        <v>10</v>
      </c>
    </row>
    <row r="442" spans="1:26" x14ac:dyDescent="0.25">
      <c r="A442" s="20" t="s">
        <v>734</v>
      </c>
      <c r="B442" s="20" t="s">
        <v>734</v>
      </c>
      <c r="C442" s="20" t="s">
        <v>735</v>
      </c>
      <c r="D442" s="20" t="s">
        <v>216</v>
      </c>
      <c r="E442" s="13">
        <v>8852</v>
      </c>
      <c r="F442" s="11">
        <v>0</v>
      </c>
      <c r="G442" s="13">
        <v>0</v>
      </c>
      <c r="H442" s="11">
        <v>0</v>
      </c>
      <c r="I442" s="13">
        <f>E442+G442</f>
        <v>8852</v>
      </c>
      <c r="J442" s="11">
        <f>F442+H442</f>
        <v>0</v>
      </c>
      <c r="K442" s="13">
        <v>7841</v>
      </c>
      <c r="L442" s="11">
        <v>0</v>
      </c>
      <c r="M442" s="11">
        <v>0</v>
      </c>
      <c r="N442" s="13">
        <v>0</v>
      </c>
      <c r="O442" s="11">
        <v>0</v>
      </c>
      <c r="P442" s="11">
        <v>0</v>
      </c>
      <c r="Q442" s="13">
        <f>K442+N442</f>
        <v>7841</v>
      </c>
      <c r="R442" s="11">
        <f>L442+O442</f>
        <v>0</v>
      </c>
      <c r="S442" s="11">
        <f>M442+P442</f>
        <v>0</v>
      </c>
      <c r="T442" s="8">
        <f>I442-Q442</f>
        <v>1011</v>
      </c>
      <c r="U442" s="18">
        <v>0.13967974158891541</v>
      </c>
      <c r="V442" s="11">
        <v>0</v>
      </c>
      <c r="W442" s="11">
        <v>0</v>
      </c>
      <c r="X442" s="11">
        <v>1</v>
      </c>
      <c r="Y442" s="11">
        <v>0</v>
      </c>
      <c r="Z442" t="s">
        <v>10</v>
      </c>
    </row>
    <row r="443" spans="1:26" x14ac:dyDescent="0.25">
      <c r="A443" s="20" t="s">
        <v>774</v>
      </c>
      <c r="B443" s="20" t="s">
        <v>91</v>
      </c>
      <c r="C443" s="20" t="s">
        <v>775</v>
      </c>
      <c r="D443" s="20" t="s">
        <v>216</v>
      </c>
      <c r="E443" s="13">
        <v>0</v>
      </c>
      <c r="F443" s="11">
        <v>0</v>
      </c>
      <c r="G443" s="13">
        <v>0</v>
      </c>
      <c r="H443" s="11">
        <v>0</v>
      </c>
      <c r="I443" s="13">
        <f>E443+G443</f>
        <v>0</v>
      </c>
      <c r="J443" s="11">
        <f>F443+H443</f>
        <v>0</v>
      </c>
      <c r="K443" s="13">
        <v>0</v>
      </c>
      <c r="L443" s="11">
        <v>0</v>
      </c>
      <c r="M443" s="11">
        <v>1</v>
      </c>
      <c r="N443" s="13">
        <v>0</v>
      </c>
      <c r="O443" s="11">
        <v>0</v>
      </c>
      <c r="P443" s="11">
        <v>1</v>
      </c>
      <c r="Q443" s="13">
        <f>K443+N443</f>
        <v>0</v>
      </c>
      <c r="R443" s="11">
        <f>L443+O443</f>
        <v>0</v>
      </c>
      <c r="S443" s="11">
        <f>M443+P443</f>
        <v>2</v>
      </c>
      <c r="T443" s="8">
        <f>I443-Q443</f>
        <v>0</v>
      </c>
      <c r="U443" s="18">
        <v>2.9089222573741507E-2</v>
      </c>
      <c r="V443" s="11">
        <v>0.4</v>
      </c>
      <c r="W443" s="11">
        <v>2</v>
      </c>
      <c r="X443" s="11">
        <v>3</v>
      </c>
      <c r="Y443" s="11">
        <v>1</v>
      </c>
      <c r="Z443" t="s">
        <v>10</v>
      </c>
    </row>
    <row r="444" spans="1:26" x14ac:dyDescent="0.25">
      <c r="A444" s="20" t="s">
        <v>777</v>
      </c>
      <c r="B444" s="20" t="s">
        <v>60</v>
      </c>
      <c r="C444" s="20" t="s">
        <v>779</v>
      </c>
      <c r="D444" s="20" t="s">
        <v>216</v>
      </c>
      <c r="E444" s="13">
        <v>6641</v>
      </c>
      <c r="F444" s="11">
        <v>0</v>
      </c>
      <c r="G444" s="13">
        <v>17106</v>
      </c>
      <c r="H444" s="11">
        <v>0</v>
      </c>
      <c r="I444" s="13">
        <f>E444+G444</f>
        <v>23747</v>
      </c>
      <c r="J444" s="11">
        <f>F444+H444</f>
        <v>0</v>
      </c>
      <c r="K444" s="13">
        <v>6740</v>
      </c>
      <c r="L444" s="11">
        <v>0</v>
      </c>
      <c r="M444" s="11">
        <v>1</v>
      </c>
      <c r="N444" s="13">
        <v>0</v>
      </c>
      <c r="O444" s="11">
        <v>0</v>
      </c>
      <c r="P444" s="11">
        <v>0</v>
      </c>
      <c r="Q444" s="13">
        <f>K444+N444</f>
        <v>6740</v>
      </c>
      <c r="R444" s="11">
        <f>L444+O444</f>
        <v>0</v>
      </c>
      <c r="S444" s="11">
        <f>M444+P444</f>
        <v>1</v>
      </c>
      <c r="T444" s="8">
        <f>I444-Q444</f>
        <v>17007</v>
      </c>
      <c r="U444" s="18">
        <v>-6.7699601952735129E-3</v>
      </c>
      <c r="V444" s="11">
        <v>0</v>
      </c>
      <c r="W444" s="11">
        <v>1</v>
      </c>
      <c r="X444" s="11"/>
      <c r="Y444" s="11">
        <v>0</v>
      </c>
      <c r="Z444" t="s">
        <v>10</v>
      </c>
    </row>
    <row r="445" spans="1:26" x14ac:dyDescent="0.25">
      <c r="A445" s="20" t="s">
        <v>780</v>
      </c>
      <c r="B445" s="20" t="s">
        <v>3096</v>
      </c>
      <c r="C445" s="20" t="s">
        <v>781</v>
      </c>
      <c r="D445" s="20" t="s">
        <v>216</v>
      </c>
      <c r="E445" s="13">
        <v>0</v>
      </c>
      <c r="F445" s="11">
        <v>0</v>
      </c>
      <c r="G445" s="13">
        <v>0</v>
      </c>
      <c r="H445" s="11">
        <v>0</v>
      </c>
      <c r="I445" s="13">
        <f>E445+G445</f>
        <v>0</v>
      </c>
      <c r="J445" s="11">
        <f>F445+H445</f>
        <v>0</v>
      </c>
      <c r="K445" s="13">
        <v>0</v>
      </c>
      <c r="L445" s="11">
        <v>0</v>
      </c>
      <c r="M445" s="11">
        <v>0</v>
      </c>
      <c r="N445" s="13">
        <v>0</v>
      </c>
      <c r="O445" s="11">
        <v>0</v>
      </c>
      <c r="P445" s="11">
        <v>0</v>
      </c>
      <c r="Q445" s="13">
        <f>K445+N445</f>
        <v>0</v>
      </c>
      <c r="R445" s="11">
        <f>L445+O445</f>
        <v>0</v>
      </c>
      <c r="S445" s="11">
        <f>M445+P445</f>
        <v>0</v>
      </c>
      <c r="T445" s="8">
        <f>I445-Q445</f>
        <v>0</v>
      </c>
      <c r="U445" s="18">
        <v>0.16042446639515687</v>
      </c>
      <c r="V445" s="11">
        <v>0</v>
      </c>
      <c r="W445" s="11">
        <v>0</v>
      </c>
      <c r="X445" s="11">
        <v>1</v>
      </c>
      <c r="Y445" s="11">
        <v>1</v>
      </c>
      <c r="Z445" t="s">
        <v>10</v>
      </c>
    </row>
    <row r="446" spans="1:26" x14ac:dyDescent="0.25">
      <c r="A446" s="20" t="s">
        <v>782</v>
      </c>
      <c r="B446" s="20" t="s">
        <v>124</v>
      </c>
      <c r="C446" s="20" t="s">
        <v>783</v>
      </c>
      <c r="D446" s="20" t="s">
        <v>216</v>
      </c>
      <c r="E446" s="13">
        <v>0</v>
      </c>
      <c r="F446" s="11">
        <v>0</v>
      </c>
      <c r="G446" s="13">
        <v>0</v>
      </c>
      <c r="H446" s="11">
        <v>0</v>
      </c>
      <c r="I446" s="13">
        <f>E446+G446</f>
        <v>0</v>
      </c>
      <c r="J446" s="11">
        <f>F446+H446</f>
        <v>0</v>
      </c>
      <c r="K446" s="13">
        <v>0</v>
      </c>
      <c r="L446" s="11">
        <v>0</v>
      </c>
      <c r="M446" s="11">
        <v>0</v>
      </c>
      <c r="N446" s="13">
        <v>0</v>
      </c>
      <c r="O446" s="11">
        <v>0</v>
      </c>
      <c r="P446" s="11">
        <v>0</v>
      </c>
      <c r="Q446" s="13">
        <f>K446+N446</f>
        <v>0</v>
      </c>
      <c r="R446" s="11">
        <f>L446+O446</f>
        <v>0</v>
      </c>
      <c r="S446" s="11">
        <f>M446+P446</f>
        <v>0</v>
      </c>
      <c r="T446" s="8">
        <f>I446-Q446</f>
        <v>0</v>
      </c>
      <c r="U446" s="18" t="s">
        <v>1803</v>
      </c>
      <c r="V446" s="11">
        <v>0</v>
      </c>
      <c r="W446" s="11">
        <v>0</v>
      </c>
      <c r="X446" s="11">
        <v>0</v>
      </c>
      <c r="Y446" s="11">
        <v>0</v>
      </c>
      <c r="Z446" t="s">
        <v>10</v>
      </c>
    </row>
    <row r="447" spans="1:26" x14ac:dyDescent="0.25">
      <c r="A447" s="20" t="s">
        <v>785</v>
      </c>
      <c r="B447" s="20" t="s">
        <v>3096</v>
      </c>
      <c r="C447" s="20" t="s">
        <v>786</v>
      </c>
      <c r="D447" s="20" t="s">
        <v>216</v>
      </c>
      <c r="E447" s="13">
        <v>0</v>
      </c>
      <c r="F447" s="11">
        <v>0</v>
      </c>
      <c r="G447" s="13">
        <v>0</v>
      </c>
      <c r="H447" s="11">
        <v>0</v>
      </c>
      <c r="I447" s="13">
        <f>E447+G447</f>
        <v>0</v>
      </c>
      <c r="J447" s="11">
        <f>F447+H447</f>
        <v>0</v>
      </c>
      <c r="K447" s="13">
        <v>0</v>
      </c>
      <c r="L447" s="11">
        <v>0</v>
      </c>
      <c r="M447" s="11">
        <v>0</v>
      </c>
      <c r="N447" s="13">
        <v>0</v>
      </c>
      <c r="O447" s="11">
        <v>0</v>
      </c>
      <c r="P447" s="11">
        <v>0</v>
      </c>
      <c r="Q447" s="13">
        <f>K447+N447</f>
        <v>0</v>
      </c>
      <c r="R447" s="11">
        <f>L447+O447</f>
        <v>0</v>
      </c>
      <c r="S447" s="11">
        <f>M447+P447</f>
        <v>0</v>
      </c>
      <c r="T447" s="8">
        <f>I447-Q447</f>
        <v>0</v>
      </c>
      <c r="U447" s="18">
        <v>0.10983101477706354</v>
      </c>
      <c r="V447" s="11">
        <v>0</v>
      </c>
      <c r="W447" s="11">
        <v>0</v>
      </c>
      <c r="X447" s="11">
        <v>2</v>
      </c>
      <c r="Y447" s="11">
        <v>0</v>
      </c>
      <c r="Z447" t="s">
        <v>10</v>
      </c>
    </row>
    <row r="448" spans="1:26" x14ac:dyDescent="0.25">
      <c r="A448" s="20" t="s">
        <v>787</v>
      </c>
      <c r="B448" s="20" t="s">
        <v>3096</v>
      </c>
      <c r="C448" s="20" t="s">
        <v>788</v>
      </c>
      <c r="D448" s="20" t="s">
        <v>216</v>
      </c>
      <c r="E448" s="13">
        <v>0</v>
      </c>
      <c r="F448" s="11">
        <v>0</v>
      </c>
      <c r="G448" s="13">
        <v>0</v>
      </c>
      <c r="H448" s="11">
        <v>0</v>
      </c>
      <c r="I448" s="13">
        <f>E448+G448</f>
        <v>0</v>
      </c>
      <c r="J448" s="11">
        <f>F448+H448</f>
        <v>0</v>
      </c>
      <c r="K448" s="13">
        <v>0</v>
      </c>
      <c r="L448" s="11">
        <v>0</v>
      </c>
      <c r="M448" s="11">
        <v>0</v>
      </c>
      <c r="N448" s="13">
        <v>0</v>
      </c>
      <c r="O448" s="11">
        <v>0</v>
      </c>
      <c r="P448" s="11">
        <v>0</v>
      </c>
      <c r="Q448" s="13">
        <f>K448+N448</f>
        <v>0</v>
      </c>
      <c r="R448" s="11">
        <f>L448+O448</f>
        <v>0</v>
      </c>
      <c r="S448" s="11">
        <f>M448+P448</f>
        <v>0</v>
      </c>
      <c r="T448" s="8">
        <f>I448-Q448</f>
        <v>0</v>
      </c>
      <c r="U448" s="18">
        <v>5.7444283923327309E-2</v>
      </c>
      <c r="V448" s="11">
        <v>0</v>
      </c>
      <c r="W448" s="11">
        <v>0</v>
      </c>
      <c r="X448" s="11">
        <v>1</v>
      </c>
      <c r="Y448" s="11">
        <v>0</v>
      </c>
      <c r="Z448" t="s">
        <v>10</v>
      </c>
    </row>
    <row r="449" spans="1:26" x14ac:dyDescent="0.25">
      <c r="A449" s="20" t="s">
        <v>789</v>
      </c>
      <c r="B449" s="20" t="s">
        <v>3096</v>
      </c>
      <c r="C449" s="20" t="s">
        <v>790</v>
      </c>
      <c r="D449" s="20" t="s">
        <v>216</v>
      </c>
      <c r="E449" s="13">
        <v>0</v>
      </c>
      <c r="F449" s="11">
        <v>0</v>
      </c>
      <c r="G449" s="13">
        <v>0</v>
      </c>
      <c r="H449" s="11">
        <v>0</v>
      </c>
      <c r="I449" s="13">
        <f>E449+G449</f>
        <v>0</v>
      </c>
      <c r="J449" s="11">
        <f>F449+H449</f>
        <v>0</v>
      </c>
      <c r="K449" s="13">
        <v>0</v>
      </c>
      <c r="L449" s="11">
        <v>0</v>
      </c>
      <c r="M449" s="11">
        <v>0</v>
      </c>
      <c r="N449" s="13">
        <v>8218</v>
      </c>
      <c r="O449" s="11">
        <v>0</v>
      </c>
      <c r="P449" s="11">
        <v>0</v>
      </c>
      <c r="Q449" s="13">
        <f>K449+N449</f>
        <v>8218</v>
      </c>
      <c r="R449" s="11">
        <f>L449+O449</f>
        <v>0</v>
      </c>
      <c r="S449" s="11">
        <f>M449+P449</f>
        <v>0</v>
      </c>
      <c r="T449" s="8">
        <f>I449-Q449</f>
        <v>-8218</v>
      </c>
      <c r="U449" s="18">
        <v>4.9815285173200163E-2</v>
      </c>
      <c r="V449" s="11">
        <v>0</v>
      </c>
      <c r="W449" s="11">
        <v>0</v>
      </c>
      <c r="X449" s="11">
        <v>4</v>
      </c>
      <c r="Y449" s="11">
        <v>0</v>
      </c>
      <c r="Z449" t="s">
        <v>10</v>
      </c>
    </row>
    <row r="450" spans="1:26" x14ac:dyDescent="0.25">
      <c r="A450" s="20" t="s">
        <v>791</v>
      </c>
      <c r="B450" s="20" t="s">
        <v>3096</v>
      </c>
      <c r="C450" s="20" t="s">
        <v>792</v>
      </c>
      <c r="D450" s="20" t="s">
        <v>216</v>
      </c>
      <c r="E450" s="13">
        <v>0</v>
      </c>
      <c r="F450" s="11">
        <v>0</v>
      </c>
      <c r="G450" s="13">
        <v>0</v>
      </c>
      <c r="H450" s="11">
        <v>0</v>
      </c>
      <c r="I450" s="13">
        <f>E450+G450</f>
        <v>0</v>
      </c>
      <c r="J450" s="11">
        <f>F450+H450</f>
        <v>0</v>
      </c>
      <c r="K450" s="13">
        <v>0</v>
      </c>
      <c r="L450" s="11">
        <v>0</v>
      </c>
      <c r="M450" s="11">
        <v>0</v>
      </c>
      <c r="N450" s="13">
        <v>0</v>
      </c>
      <c r="O450" s="11">
        <v>0</v>
      </c>
      <c r="P450" s="11">
        <v>0</v>
      </c>
      <c r="Q450" s="13">
        <f>K450+N450</f>
        <v>0</v>
      </c>
      <c r="R450" s="11">
        <f>L450+O450</f>
        <v>0</v>
      </c>
      <c r="S450" s="11">
        <f>M450+P450</f>
        <v>0</v>
      </c>
      <c r="T450" s="8">
        <f>I450-Q450</f>
        <v>0</v>
      </c>
      <c r="U450" s="18" t="s">
        <v>1803</v>
      </c>
      <c r="V450" s="11">
        <v>0</v>
      </c>
      <c r="W450" s="11">
        <v>0</v>
      </c>
      <c r="X450" s="11">
        <v>0</v>
      </c>
      <c r="Y450" s="11">
        <v>0</v>
      </c>
      <c r="Z450" t="s">
        <v>10</v>
      </c>
    </row>
    <row r="451" spans="1:26" x14ac:dyDescent="0.25">
      <c r="A451" s="20" t="s">
        <v>794</v>
      </c>
      <c r="B451" s="20" t="s">
        <v>1377</v>
      </c>
      <c r="C451" s="20" t="s">
        <v>795</v>
      </c>
      <c r="D451" s="20" t="s">
        <v>216</v>
      </c>
      <c r="E451" s="13">
        <v>0</v>
      </c>
      <c r="F451" s="11">
        <v>0</v>
      </c>
      <c r="G451" s="13">
        <v>0</v>
      </c>
      <c r="H451" s="11">
        <v>0</v>
      </c>
      <c r="I451" s="13">
        <f>E451+G451</f>
        <v>0</v>
      </c>
      <c r="J451" s="11">
        <f>F451+H451</f>
        <v>0</v>
      </c>
      <c r="K451" s="13">
        <v>0</v>
      </c>
      <c r="L451" s="11">
        <v>0</v>
      </c>
      <c r="M451" s="11">
        <v>0</v>
      </c>
      <c r="N451" s="13">
        <v>0</v>
      </c>
      <c r="O451" s="11">
        <v>0</v>
      </c>
      <c r="P451" s="11">
        <v>0</v>
      </c>
      <c r="Q451" s="13">
        <f>K451+N451</f>
        <v>0</v>
      </c>
      <c r="R451" s="11">
        <f>L451+O451</f>
        <v>0</v>
      </c>
      <c r="S451" s="11">
        <f>M451+P451</f>
        <v>0</v>
      </c>
      <c r="T451" s="8">
        <f>I451-Q451</f>
        <v>0</v>
      </c>
      <c r="U451" s="18">
        <v>-0.99325859838600483</v>
      </c>
      <c r="V451" s="11">
        <v>0</v>
      </c>
      <c r="W451" s="11">
        <v>0</v>
      </c>
      <c r="X451" s="11">
        <v>0</v>
      </c>
      <c r="Y451" s="11">
        <v>0</v>
      </c>
      <c r="Z451" t="s">
        <v>10</v>
      </c>
    </row>
    <row r="452" spans="1:26" x14ac:dyDescent="0.25">
      <c r="A452" s="20" t="s">
        <v>751</v>
      </c>
      <c r="B452" s="20" t="s">
        <v>751</v>
      </c>
      <c r="C452" s="20" t="s">
        <v>752</v>
      </c>
      <c r="D452" s="20" t="s">
        <v>216</v>
      </c>
      <c r="E452" s="13">
        <v>0</v>
      </c>
      <c r="F452" s="11">
        <v>0</v>
      </c>
      <c r="G452" s="13">
        <v>0</v>
      </c>
      <c r="H452" s="11">
        <v>0</v>
      </c>
      <c r="I452" s="13">
        <f>E452+G452</f>
        <v>0</v>
      </c>
      <c r="J452" s="11">
        <f>F452+H452</f>
        <v>0</v>
      </c>
      <c r="K452" s="13">
        <v>0</v>
      </c>
      <c r="L452" s="11">
        <v>0</v>
      </c>
      <c r="M452" s="11">
        <v>0</v>
      </c>
      <c r="N452" s="13">
        <v>0</v>
      </c>
      <c r="O452" s="11">
        <v>0</v>
      </c>
      <c r="P452" s="11">
        <v>2</v>
      </c>
      <c r="Q452" s="13">
        <f>K452+N452</f>
        <v>0</v>
      </c>
      <c r="R452" s="11">
        <f>L452+O452</f>
        <v>0</v>
      </c>
      <c r="S452" s="11">
        <f>M452+P452</f>
        <v>2</v>
      </c>
      <c r="T452" s="8">
        <f>I452-Q452</f>
        <v>0</v>
      </c>
      <c r="U452" s="18">
        <v>0.12294736909100745</v>
      </c>
      <c r="V452" s="11">
        <v>0.28999999999999998</v>
      </c>
      <c r="W452" s="11">
        <v>2</v>
      </c>
      <c r="X452" s="11">
        <v>5</v>
      </c>
      <c r="Y452" s="11">
        <v>0</v>
      </c>
      <c r="Z452" t="s">
        <v>10</v>
      </c>
    </row>
    <row r="453" spans="1:26" x14ac:dyDescent="0.25">
      <c r="A453" s="20" t="s">
        <v>796</v>
      </c>
      <c r="B453" s="20" t="s">
        <v>97</v>
      </c>
      <c r="C453" s="20" t="s">
        <v>3581</v>
      </c>
      <c r="D453" s="20" t="s">
        <v>215</v>
      </c>
      <c r="E453" s="13">
        <v>0</v>
      </c>
      <c r="F453" s="11">
        <v>0</v>
      </c>
      <c r="G453" s="13">
        <v>0</v>
      </c>
      <c r="H453" s="11">
        <v>0</v>
      </c>
      <c r="I453" s="13">
        <f>E453+G453</f>
        <v>0</v>
      </c>
      <c r="J453" s="11">
        <f>F453+H453</f>
        <v>0</v>
      </c>
      <c r="K453" s="13">
        <v>30102</v>
      </c>
      <c r="L453" s="11">
        <v>0</v>
      </c>
      <c r="M453" s="11">
        <v>0</v>
      </c>
      <c r="N453" s="13">
        <v>8287.02</v>
      </c>
      <c r="O453" s="11">
        <v>1</v>
      </c>
      <c r="P453" s="11">
        <v>1</v>
      </c>
      <c r="Q453" s="13">
        <f>K453+N453</f>
        <v>38389.020000000004</v>
      </c>
      <c r="R453" s="11">
        <f>L453+O453</f>
        <v>1</v>
      </c>
      <c r="S453" s="11">
        <f>M453+P453</f>
        <v>1</v>
      </c>
      <c r="T453" s="8">
        <f>I453-Q453</f>
        <v>-38389.020000000004</v>
      </c>
      <c r="U453" s="18" t="s">
        <v>1803</v>
      </c>
      <c r="V453" s="11">
        <v>0.18</v>
      </c>
      <c r="W453" s="11">
        <v>2</v>
      </c>
      <c r="X453" s="11">
        <v>9</v>
      </c>
      <c r="Y453" s="11">
        <v>2</v>
      </c>
      <c r="Z453" t="s">
        <v>10</v>
      </c>
    </row>
    <row r="454" spans="1:26" x14ac:dyDescent="0.25">
      <c r="A454" s="20" t="s">
        <v>799</v>
      </c>
      <c r="B454" s="20" t="s">
        <v>459</v>
      </c>
      <c r="C454" s="20" t="s">
        <v>800</v>
      </c>
      <c r="D454" s="20" t="s">
        <v>216</v>
      </c>
      <c r="E454" s="13">
        <v>0</v>
      </c>
      <c r="F454" s="11">
        <v>0</v>
      </c>
      <c r="G454" s="13">
        <v>6980</v>
      </c>
      <c r="H454" s="11">
        <v>0</v>
      </c>
      <c r="I454" s="13">
        <f>E454+G454</f>
        <v>6980</v>
      </c>
      <c r="J454" s="11">
        <f>F454+H454</f>
        <v>0</v>
      </c>
      <c r="K454" s="13">
        <v>0</v>
      </c>
      <c r="L454" s="11">
        <v>0</v>
      </c>
      <c r="M454" s="11">
        <v>0</v>
      </c>
      <c r="N454" s="13">
        <v>6980</v>
      </c>
      <c r="O454" s="11">
        <v>0</v>
      </c>
      <c r="P454" s="11">
        <v>0</v>
      </c>
      <c r="Q454" s="13">
        <f>K454+N454</f>
        <v>6980</v>
      </c>
      <c r="R454" s="11">
        <f>L454+O454</f>
        <v>0</v>
      </c>
      <c r="S454" s="11">
        <f>M454+P454</f>
        <v>0</v>
      </c>
      <c r="T454" s="8">
        <f>I454-Q454</f>
        <v>0</v>
      </c>
      <c r="U454" s="18">
        <v>0.27848126547127744</v>
      </c>
      <c r="V454" s="11">
        <v>0</v>
      </c>
      <c r="W454" s="11">
        <v>0</v>
      </c>
      <c r="X454" s="11">
        <v>4</v>
      </c>
      <c r="Y454" s="11">
        <v>0</v>
      </c>
      <c r="Z454" t="s">
        <v>10</v>
      </c>
    </row>
    <row r="455" spans="1:26" x14ac:dyDescent="0.25">
      <c r="A455" s="20" t="s">
        <v>801</v>
      </c>
      <c r="B455" s="20" t="s">
        <v>60</v>
      </c>
      <c r="C455" s="20" t="s">
        <v>802</v>
      </c>
      <c r="D455" s="20" t="s">
        <v>216</v>
      </c>
      <c r="E455" s="13">
        <v>0</v>
      </c>
      <c r="F455" s="11">
        <v>0</v>
      </c>
      <c r="G455" s="13">
        <v>0</v>
      </c>
      <c r="H455" s="11">
        <v>0</v>
      </c>
      <c r="I455" s="13">
        <f>E455+G455</f>
        <v>0</v>
      </c>
      <c r="J455" s="11">
        <f>F455+H455</f>
        <v>0</v>
      </c>
      <c r="K455" s="13">
        <v>0</v>
      </c>
      <c r="L455" s="11">
        <v>0</v>
      </c>
      <c r="M455" s="11">
        <v>0</v>
      </c>
      <c r="N455" s="13">
        <v>0</v>
      </c>
      <c r="O455" s="11">
        <v>0</v>
      </c>
      <c r="P455" s="11">
        <v>0</v>
      </c>
      <c r="Q455" s="13">
        <f>K455+N455</f>
        <v>0</v>
      </c>
      <c r="R455" s="11">
        <f>L455+O455</f>
        <v>0</v>
      </c>
      <c r="S455" s="11">
        <f>M455+P455</f>
        <v>0</v>
      </c>
      <c r="T455" s="8">
        <f>I455-Q455</f>
        <v>0</v>
      </c>
      <c r="U455" s="18">
        <v>0.13490993857824912</v>
      </c>
      <c r="V455" s="11">
        <v>0</v>
      </c>
      <c r="W455" s="11">
        <v>0</v>
      </c>
      <c r="X455" s="11">
        <v>0</v>
      </c>
      <c r="Y455" s="11">
        <v>0</v>
      </c>
      <c r="Z455" t="s">
        <v>10</v>
      </c>
    </row>
    <row r="456" spans="1:26" x14ac:dyDescent="0.25">
      <c r="A456" s="20" t="s">
        <v>803</v>
      </c>
      <c r="B456" s="20" t="s">
        <v>60</v>
      </c>
      <c r="C456" s="20" t="s">
        <v>804</v>
      </c>
      <c r="D456" s="20" t="s">
        <v>216</v>
      </c>
      <c r="E456" s="13">
        <v>0</v>
      </c>
      <c r="F456" s="11">
        <v>0</v>
      </c>
      <c r="G456" s="13">
        <v>0</v>
      </c>
      <c r="H456" s="11">
        <v>0</v>
      </c>
      <c r="I456" s="13">
        <f>E456+G456</f>
        <v>0</v>
      </c>
      <c r="J456" s="11">
        <f>F456+H456</f>
        <v>0</v>
      </c>
      <c r="K456" s="13">
        <v>0</v>
      </c>
      <c r="L456" s="11">
        <v>0</v>
      </c>
      <c r="M456" s="11">
        <v>0</v>
      </c>
      <c r="N456" s="13">
        <v>0</v>
      </c>
      <c r="O456" s="11">
        <v>0</v>
      </c>
      <c r="P456" s="11">
        <v>0</v>
      </c>
      <c r="Q456" s="13">
        <f>K456+N456</f>
        <v>0</v>
      </c>
      <c r="R456" s="11">
        <f>L456+O456</f>
        <v>0</v>
      </c>
      <c r="S456" s="11">
        <f>M456+P456</f>
        <v>0</v>
      </c>
      <c r="T456" s="8">
        <f>I456-Q456</f>
        <v>0</v>
      </c>
      <c r="U456" s="18" t="s">
        <v>1803</v>
      </c>
      <c r="V456" s="11">
        <v>0</v>
      </c>
      <c r="W456" s="11">
        <v>0</v>
      </c>
      <c r="X456" s="11">
        <v>0</v>
      </c>
      <c r="Y456" s="11">
        <v>0</v>
      </c>
      <c r="Z456" t="s">
        <v>10</v>
      </c>
    </row>
    <row r="457" spans="1:26" x14ac:dyDescent="0.25">
      <c r="A457" s="20" t="s">
        <v>3020</v>
      </c>
      <c r="B457" s="20" t="s">
        <v>60</v>
      </c>
      <c r="C457" s="20" t="s">
        <v>3021</v>
      </c>
      <c r="D457" s="20" t="s">
        <v>216</v>
      </c>
      <c r="E457" s="13">
        <v>0</v>
      </c>
      <c r="F457" s="11">
        <v>0</v>
      </c>
      <c r="G457" s="13">
        <v>0</v>
      </c>
      <c r="H457" s="11">
        <v>0</v>
      </c>
      <c r="I457" s="13">
        <f>E457+G457</f>
        <v>0</v>
      </c>
      <c r="J457" s="11">
        <f>F457+H457</f>
        <v>0</v>
      </c>
      <c r="K457" s="13">
        <v>0</v>
      </c>
      <c r="L457" s="11">
        <v>0</v>
      </c>
      <c r="M457" s="11">
        <v>0</v>
      </c>
      <c r="N457" s="13">
        <v>0</v>
      </c>
      <c r="O457" s="11">
        <v>0</v>
      </c>
      <c r="P457" s="11">
        <v>0</v>
      </c>
      <c r="Q457" s="13">
        <f>K457+N457</f>
        <v>0</v>
      </c>
      <c r="R457" s="11">
        <f>L457+O457</f>
        <v>0</v>
      </c>
      <c r="S457" s="11">
        <f>M457+P457</f>
        <v>0</v>
      </c>
      <c r="T457" s="8">
        <f>I457-Q457</f>
        <v>0</v>
      </c>
      <c r="U457" s="18">
        <v>0.17798995443730856</v>
      </c>
      <c r="V457" s="11">
        <v>0</v>
      </c>
      <c r="W457" s="11">
        <v>0</v>
      </c>
      <c r="X457" s="11">
        <v>0</v>
      </c>
      <c r="Y457" s="11">
        <v>0</v>
      </c>
      <c r="Z457" t="s">
        <v>10</v>
      </c>
    </row>
    <row r="458" spans="1:26" x14ac:dyDescent="0.25">
      <c r="A458" s="20" t="s">
        <v>3033</v>
      </c>
      <c r="B458" s="20" t="s">
        <v>77</v>
      </c>
      <c r="C458" s="20" t="s">
        <v>3664</v>
      </c>
      <c r="D458" s="20" t="s">
        <v>215</v>
      </c>
      <c r="E458" s="13">
        <v>102573.58</v>
      </c>
      <c r="F458" s="11">
        <v>1</v>
      </c>
      <c r="G458" s="13">
        <v>99865.94</v>
      </c>
      <c r="H458" s="11">
        <v>0</v>
      </c>
      <c r="I458" s="13">
        <f>E458+G458</f>
        <v>202439.52000000002</v>
      </c>
      <c r="J458" s="11">
        <f>F458+H458</f>
        <v>1</v>
      </c>
      <c r="K458" s="13">
        <v>133514.78</v>
      </c>
      <c r="L458" s="11">
        <v>0</v>
      </c>
      <c r="M458" s="11">
        <v>1</v>
      </c>
      <c r="N458" s="13">
        <v>96582</v>
      </c>
      <c r="O458" s="11">
        <v>0</v>
      </c>
      <c r="P458" s="11">
        <v>1</v>
      </c>
      <c r="Q458" s="13">
        <f>K458+N458</f>
        <v>230096.78</v>
      </c>
      <c r="R458" s="11">
        <f>L458+O458</f>
        <v>0</v>
      </c>
      <c r="S458" s="11">
        <f>M458+P458</f>
        <v>2</v>
      </c>
      <c r="T458" s="8">
        <f>I458-Q458</f>
        <v>-27657.25999999998</v>
      </c>
      <c r="U458" s="18" t="s">
        <v>1803</v>
      </c>
      <c r="V458" s="11">
        <v>0.25</v>
      </c>
      <c r="W458" s="11">
        <v>3</v>
      </c>
      <c r="X458" s="11">
        <v>9</v>
      </c>
      <c r="Y458" s="11">
        <v>3</v>
      </c>
      <c r="Z458" t="s">
        <v>10</v>
      </c>
    </row>
    <row r="459" spans="1:26" x14ac:dyDescent="0.25">
      <c r="A459" s="20" t="s">
        <v>3062</v>
      </c>
      <c r="B459" s="20" t="s">
        <v>519</v>
      </c>
      <c r="C459" s="20" t="s">
        <v>221</v>
      </c>
      <c r="D459" s="20" t="s">
        <v>216</v>
      </c>
      <c r="E459" s="13">
        <v>24830</v>
      </c>
      <c r="F459" s="11">
        <v>0</v>
      </c>
      <c r="G459" s="13">
        <v>10568.5</v>
      </c>
      <c r="H459" s="11">
        <v>0</v>
      </c>
      <c r="I459" s="13">
        <f>E459+G459</f>
        <v>35398.5</v>
      </c>
      <c r="J459" s="11">
        <f>F459+H459</f>
        <v>0</v>
      </c>
      <c r="K459" s="13">
        <v>31623.55</v>
      </c>
      <c r="L459" s="11">
        <v>1</v>
      </c>
      <c r="M459" s="11">
        <v>2</v>
      </c>
      <c r="N459" s="13">
        <v>9707.5</v>
      </c>
      <c r="O459" s="11">
        <v>0</v>
      </c>
      <c r="P459" s="11">
        <v>0</v>
      </c>
      <c r="Q459" s="13">
        <f>K459+N459</f>
        <v>41331.050000000003</v>
      </c>
      <c r="R459" s="11">
        <f>L459+O459</f>
        <v>1</v>
      </c>
      <c r="S459" s="11">
        <f>M459+P459</f>
        <v>2</v>
      </c>
      <c r="T459" s="8">
        <f>I459-Q459</f>
        <v>-5932.5500000000029</v>
      </c>
      <c r="U459" s="18">
        <v>0.15704903217799765</v>
      </c>
      <c r="V459" s="11">
        <v>0.12</v>
      </c>
      <c r="W459" s="11">
        <v>1</v>
      </c>
      <c r="X459" s="11">
        <v>7</v>
      </c>
      <c r="Y459" s="11">
        <v>6</v>
      </c>
      <c r="Z459" t="s">
        <v>10</v>
      </c>
    </row>
    <row r="460" spans="1:26" x14ac:dyDescent="0.25">
      <c r="A460" s="20" t="s">
        <v>3082</v>
      </c>
      <c r="B460" s="20" t="s">
        <v>3096</v>
      </c>
      <c r="C460" s="20" t="s">
        <v>3083</v>
      </c>
      <c r="D460" s="20" t="s">
        <v>216</v>
      </c>
      <c r="E460" s="13">
        <v>0</v>
      </c>
      <c r="F460" s="11">
        <v>0</v>
      </c>
      <c r="G460" s="13">
        <v>0</v>
      </c>
      <c r="H460" s="11">
        <v>0</v>
      </c>
      <c r="I460" s="13">
        <f>E460+G460</f>
        <v>0</v>
      </c>
      <c r="J460" s="11">
        <f>F460+H460</f>
        <v>0</v>
      </c>
      <c r="K460" s="13">
        <v>0</v>
      </c>
      <c r="L460" s="11">
        <v>0</v>
      </c>
      <c r="M460" s="11">
        <v>0</v>
      </c>
      <c r="N460" s="13">
        <v>0</v>
      </c>
      <c r="O460" s="11">
        <v>0</v>
      </c>
      <c r="P460" s="11">
        <v>0</v>
      </c>
      <c r="Q460" s="13">
        <f>K460+N460</f>
        <v>0</v>
      </c>
      <c r="R460" s="11">
        <f>L460+O460</f>
        <v>0</v>
      </c>
      <c r="S460" s="11">
        <f>M460+P460</f>
        <v>0</v>
      </c>
      <c r="T460" s="8">
        <f>I460-Q460</f>
        <v>0</v>
      </c>
      <c r="U460" s="18">
        <v>9.5756983855695768E-2</v>
      </c>
      <c r="V460" s="11">
        <v>0</v>
      </c>
      <c r="W460" s="11">
        <v>0</v>
      </c>
      <c r="X460" s="11">
        <v>0</v>
      </c>
      <c r="Y460" s="11">
        <v>0</v>
      </c>
      <c r="Z460" t="s">
        <v>10</v>
      </c>
    </row>
    <row r="461" spans="1:26" x14ac:dyDescent="0.25">
      <c r="A461" s="20" t="s">
        <v>3084</v>
      </c>
      <c r="B461" s="20" t="s">
        <v>257</v>
      </c>
      <c r="C461" s="20" t="s">
        <v>3081</v>
      </c>
      <c r="D461" s="20" t="s">
        <v>216</v>
      </c>
      <c r="E461" s="13">
        <v>0</v>
      </c>
      <c r="F461" s="11">
        <v>0</v>
      </c>
      <c r="G461" s="13">
        <v>10539</v>
      </c>
      <c r="H461" s="11">
        <v>0</v>
      </c>
      <c r="I461" s="13">
        <f>E461+G461</f>
        <v>10539</v>
      </c>
      <c r="J461" s="11">
        <f>F461+H461</f>
        <v>0</v>
      </c>
      <c r="K461" s="13">
        <v>5205</v>
      </c>
      <c r="L461" s="11">
        <v>0</v>
      </c>
      <c r="M461" s="11">
        <v>0</v>
      </c>
      <c r="N461" s="13">
        <v>751</v>
      </c>
      <c r="O461" s="11">
        <v>1</v>
      </c>
      <c r="P461" s="11">
        <v>1</v>
      </c>
      <c r="Q461" s="13">
        <f>K461+N461</f>
        <v>5956</v>
      </c>
      <c r="R461" s="11">
        <f>L461+O461</f>
        <v>1</v>
      </c>
      <c r="S461" s="11">
        <f>M461+P461</f>
        <v>1</v>
      </c>
      <c r="T461" s="8">
        <f>I461-Q461</f>
        <v>4583</v>
      </c>
      <c r="U461" s="18">
        <v>4.1308887888408807E-2</v>
      </c>
      <c r="V461" s="11">
        <v>0</v>
      </c>
      <c r="W461" s="11">
        <v>0</v>
      </c>
      <c r="X461" s="11">
        <v>0</v>
      </c>
      <c r="Y461" s="11">
        <v>0</v>
      </c>
      <c r="Z461" t="s">
        <v>10</v>
      </c>
    </row>
    <row r="462" spans="1:26" x14ac:dyDescent="0.25">
      <c r="A462" s="20" t="s">
        <v>3085</v>
      </c>
      <c r="B462" s="20" t="s">
        <v>60</v>
      </c>
      <c r="C462" s="20" t="s">
        <v>3086</v>
      </c>
      <c r="D462" s="20" t="s">
        <v>216</v>
      </c>
      <c r="E462" s="13">
        <v>0</v>
      </c>
      <c r="F462" s="11">
        <v>0</v>
      </c>
      <c r="G462" s="13">
        <v>0</v>
      </c>
      <c r="H462" s="11">
        <v>0</v>
      </c>
      <c r="I462" s="13">
        <f>E462+G462</f>
        <v>0</v>
      </c>
      <c r="J462" s="11">
        <f>F462+H462</f>
        <v>0</v>
      </c>
      <c r="K462" s="13">
        <v>0</v>
      </c>
      <c r="L462" s="11">
        <v>0</v>
      </c>
      <c r="M462" s="11">
        <v>1</v>
      </c>
      <c r="N462" s="13">
        <v>0</v>
      </c>
      <c r="O462" s="11">
        <v>0</v>
      </c>
      <c r="P462" s="11">
        <v>0</v>
      </c>
      <c r="Q462" s="13">
        <f>K462+N462</f>
        <v>0</v>
      </c>
      <c r="R462" s="11">
        <f>L462+O462</f>
        <v>0</v>
      </c>
      <c r="S462" s="11">
        <f>M462+P462</f>
        <v>1</v>
      </c>
      <c r="T462" s="8">
        <f>I462-Q462</f>
        <v>0</v>
      </c>
      <c r="U462" s="18">
        <v>0.13317073480128888</v>
      </c>
      <c r="V462" s="11">
        <v>0</v>
      </c>
      <c r="W462" s="11">
        <v>1</v>
      </c>
      <c r="X462" s="11"/>
      <c r="Y462" s="11">
        <v>0</v>
      </c>
      <c r="Z462" t="s">
        <v>10</v>
      </c>
    </row>
    <row r="463" spans="1:26" x14ac:dyDescent="0.25">
      <c r="A463" s="20" t="s">
        <v>3087</v>
      </c>
      <c r="B463" s="20" t="s">
        <v>60</v>
      </c>
      <c r="C463" s="20" t="s">
        <v>3088</v>
      </c>
      <c r="D463" s="20" t="s">
        <v>216</v>
      </c>
      <c r="E463" s="13">
        <v>0</v>
      </c>
      <c r="F463" s="11">
        <v>0</v>
      </c>
      <c r="G463" s="13">
        <v>0</v>
      </c>
      <c r="H463" s="11">
        <v>0</v>
      </c>
      <c r="I463" s="13">
        <f>E463+G463</f>
        <v>0</v>
      </c>
      <c r="J463" s="11">
        <f>F463+H463</f>
        <v>0</v>
      </c>
      <c r="K463" s="13">
        <v>0</v>
      </c>
      <c r="L463" s="11">
        <v>0</v>
      </c>
      <c r="M463" s="11">
        <v>0</v>
      </c>
      <c r="N463" s="13">
        <v>0</v>
      </c>
      <c r="O463" s="11">
        <v>0</v>
      </c>
      <c r="P463" s="11">
        <v>3</v>
      </c>
      <c r="Q463" s="13">
        <f>K463+N463</f>
        <v>0</v>
      </c>
      <c r="R463" s="11">
        <f>L463+O463</f>
        <v>0</v>
      </c>
      <c r="S463" s="11">
        <f>M463+P463</f>
        <v>3</v>
      </c>
      <c r="T463" s="8">
        <f>I463-Q463</f>
        <v>0</v>
      </c>
      <c r="U463" s="18">
        <v>1.2145258845020601</v>
      </c>
      <c r="V463" s="11">
        <v>0.33</v>
      </c>
      <c r="W463" s="11">
        <v>3</v>
      </c>
      <c r="X463" s="11">
        <v>6</v>
      </c>
      <c r="Y463" s="11">
        <v>1</v>
      </c>
      <c r="Z463" t="s">
        <v>10</v>
      </c>
    </row>
    <row r="464" spans="1:26" x14ac:dyDescent="0.25">
      <c r="A464" s="20" t="s">
        <v>3116</v>
      </c>
      <c r="B464" s="20" t="s">
        <v>97</v>
      </c>
      <c r="C464" s="20" t="s">
        <v>3115</v>
      </c>
      <c r="D464" s="20" t="s">
        <v>216</v>
      </c>
      <c r="E464" s="13">
        <v>77579</v>
      </c>
      <c r="F464" s="11">
        <v>1</v>
      </c>
      <c r="G464" s="13">
        <v>55228.22</v>
      </c>
      <c r="H464" s="11">
        <v>1</v>
      </c>
      <c r="I464" s="13">
        <f>E464+G464</f>
        <v>132807.22</v>
      </c>
      <c r="J464" s="11">
        <f>F464+H464</f>
        <v>2</v>
      </c>
      <c r="K464" s="13">
        <v>83181.600000000006</v>
      </c>
      <c r="L464" s="11">
        <v>0</v>
      </c>
      <c r="M464" s="11">
        <v>1</v>
      </c>
      <c r="N464" s="13">
        <v>78302</v>
      </c>
      <c r="O464" s="11">
        <v>2</v>
      </c>
      <c r="P464" s="11">
        <v>3</v>
      </c>
      <c r="Q464" s="13">
        <f>K464+N464</f>
        <v>161483.6</v>
      </c>
      <c r="R464" s="11">
        <f>L464+O464</f>
        <v>2</v>
      </c>
      <c r="S464" s="11">
        <f>M464+P464</f>
        <v>4</v>
      </c>
      <c r="T464" s="8">
        <f>I464-Q464</f>
        <v>-28676.380000000005</v>
      </c>
      <c r="U464" s="18">
        <v>0.27200770189538148</v>
      </c>
      <c r="V464" s="11">
        <v>0.38</v>
      </c>
      <c r="W464" s="11">
        <v>5</v>
      </c>
      <c r="X464" s="11">
        <v>8</v>
      </c>
      <c r="Y464" s="11">
        <v>4</v>
      </c>
      <c r="Z464" t="s">
        <v>10</v>
      </c>
    </row>
    <row r="465" spans="1:26" x14ac:dyDescent="0.25">
      <c r="A465" s="20" t="s">
        <v>3117</v>
      </c>
      <c r="B465" s="20" t="s">
        <v>60</v>
      </c>
      <c r="C465" s="20" t="s">
        <v>3118</v>
      </c>
      <c r="D465" s="20" t="s">
        <v>216</v>
      </c>
      <c r="E465" s="13">
        <v>0</v>
      </c>
      <c r="F465" s="11">
        <v>0</v>
      </c>
      <c r="G465" s="13">
        <v>0</v>
      </c>
      <c r="H465" s="11">
        <v>0</v>
      </c>
      <c r="I465" s="13">
        <f>E465+G465</f>
        <v>0</v>
      </c>
      <c r="J465" s="11">
        <f>F465+H465</f>
        <v>0</v>
      </c>
      <c r="K465" s="13">
        <v>0</v>
      </c>
      <c r="L465" s="11">
        <v>0</v>
      </c>
      <c r="M465" s="11">
        <v>0</v>
      </c>
      <c r="N465" s="13">
        <v>0</v>
      </c>
      <c r="O465" s="11">
        <v>0</v>
      </c>
      <c r="P465" s="11">
        <v>0</v>
      </c>
      <c r="Q465" s="13">
        <f>K465+N465</f>
        <v>0</v>
      </c>
      <c r="R465" s="11">
        <f>L465+O465</f>
        <v>0</v>
      </c>
      <c r="S465" s="11">
        <f>M465+P465</f>
        <v>0</v>
      </c>
      <c r="T465" s="8">
        <f>I465-Q465</f>
        <v>0</v>
      </c>
      <c r="U465" s="18">
        <v>0.17335334173503061</v>
      </c>
      <c r="V465" s="11">
        <v>0</v>
      </c>
      <c r="W465" s="11">
        <v>0</v>
      </c>
      <c r="X465" s="11">
        <v>3</v>
      </c>
      <c r="Y465" s="11">
        <v>1</v>
      </c>
      <c r="Z465" t="s">
        <v>10</v>
      </c>
    </row>
    <row r="466" spans="1:26" x14ac:dyDescent="0.25">
      <c r="A466" s="20" t="s">
        <v>3129</v>
      </c>
      <c r="B466" s="20" t="s">
        <v>459</v>
      </c>
      <c r="C466" s="20" t="s">
        <v>3608</v>
      </c>
      <c r="D466" s="20" t="s">
        <v>215</v>
      </c>
      <c r="E466" s="13">
        <v>0</v>
      </c>
      <c r="F466" s="11">
        <v>0</v>
      </c>
      <c r="G466" s="13">
        <v>0</v>
      </c>
      <c r="H466" s="11">
        <v>0</v>
      </c>
      <c r="I466" s="13">
        <f>E466+G466</f>
        <v>0</v>
      </c>
      <c r="J466" s="11">
        <f>F466+H466</f>
        <v>0</v>
      </c>
      <c r="K466" s="13">
        <v>26371.47</v>
      </c>
      <c r="L466" s="11">
        <v>1</v>
      </c>
      <c r="M466" s="11">
        <v>1</v>
      </c>
      <c r="N466" s="13">
        <v>0</v>
      </c>
      <c r="O466" s="11">
        <v>0</v>
      </c>
      <c r="P466" s="11">
        <v>0</v>
      </c>
      <c r="Q466" s="13">
        <f>K466+N466</f>
        <v>26371.47</v>
      </c>
      <c r="R466" s="11">
        <f>L466+O466</f>
        <v>1</v>
      </c>
      <c r="S466" s="11">
        <f>M466+P466</f>
        <v>1</v>
      </c>
      <c r="T466" s="8">
        <f>I466-Q466</f>
        <v>-26371.47</v>
      </c>
      <c r="U466" s="18" t="s">
        <v>1803</v>
      </c>
      <c r="V466" s="11">
        <v>0</v>
      </c>
      <c r="W466" s="11">
        <v>0</v>
      </c>
      <c r="X466" s="11">
        <v>1</v>
      </c>
      <c r="Y466" s="11">
        <v>3</v>
      </c>
      <c r="Z466" t="s">
        <v>10</v>
      </c>
    </row>
    <row r="467" spans="1:26" x14ac:dyDescent="0.25">
      <c r="A467" s="20" t="s">
        <v>3164</v>
      </c>
      <c r="B467" s="20" t="s">
        <v>3164</v>
      </c>
      <c r="C467" s="20" t="s">
        <v>3165</v>
      </c>
      <c r="D467" s="20" t="s">
        <v>216</v>
      </c>
      <c r="E467" s="13">
        <v>-22979.74</v>
      </c>
      <c r="F467" s="11">
        <v>0</v>
      </c>
      <c r="G467" s="13">
        <v>22628</v>
      </c>
      <c r="H467" s="11">
        <v>0</v>
      </c>
      <c r="I467" s="13">
        <f>E467+G467</f>
        <v>-351.7400000000016</v>
      </c>
      <c r="J467" s="11">
        <f>F467+H467</f>
        <v>0</v>
      </c>
      <c r="K467" s="13">
        <v>11844</v>
      </c>
      <c r="L467" s="11">
        <v>1</v>
      </c>
      <c r="M467" s="11">
        <v>9</v>
      </c>
      <c r="N467" s="13">
        <v>0</v>
      </c>
      <c r="O467" s="11">
        <v>0</v>
      </c>
      <c r="P467" s="11">
        <v>2</v>
      </c>
      <c r="Q467" s="13">
        <f>K467+N467</f>
        <v>11844</v>
      </c>
      <c r="R467" s="11">
        <f>L467+O467</f>
        <v>1</v>
      </c>
      <c r="S467" s="11">
        <f>M467+P467</f>
        <v>11</v>
      </c>
      <c r="T467" s="8">
        <f>I467-Q467</f>
        <v>-12195.740000000002</v>
      </c>
      <c r="U467" s="18">
        <v>0.46827088987469045</v>
      </c>
      <c r="V467" s="11">
        <v>0.3</v>
      </c>
      <c r="W467" s="11">
        <v>12</v>
      </c>
      <c r="X467" s="11">
        <v>28</v>
      </c>
      <c r="Y467" s="11">
        <v>4</v>
      </c>
      <c r="Z467" t="s">
        <v>10</v>
      </c>
    </row>
    <row r="468" spans="1:26" x14ac:dyDescent="0.25">
      <c r="A468" s="20" t="s">
        <v>3193</v>
      </c>
      <c r="B468" s="20" t="s">
        <v>97</v>
      </c>
      <c r="C468" s="20" t="s">
        <v>3194</v>
      </c>
      <c r="D468" s="20" t="s">
        <v>216</v>
      </c>
      <c r="E468" s="13">
        <v>7401</v>
      </c>
      <c r="F468" s="11">
        <v>0</v>
      </c>
      <c r="G468" s="13">
        <v>0</v>
      </c>
      <c r="H468" s="11">
        <v>0</v>
      </c>
      <c r="I468" s="13">
        <f>E468+G468</f>
        <v>7401</v>
      </c>
      <c r="J468" s="11">
        <f>F468+H468</f>
        <v>0</v>
      </c>
      <c r="K468" s="13">
        <v>6586</v>
      </c>
      <c r="L468" s="11">
        <v>0</v>
      </c>
      <c r="M468" s="11">
        <v>1</v>
      </c>
      <c r="N468" s="13">
        <v>0</v>
      </c>
      <c r="O468" s="11">
        <v>0</v>
      </c>
      <c r="P468" s="11">
        <v>0</v>
      </c>
      <c r="Q468" s="13">
        <f>K468+N468</f>
        <v>6586</v>
      </c>
      <c r="R468" s="11">
        <f>L468+O468</f>
        <v>0</v>
      </c>
      <c r="S468" s="11">
        <f>M468+P468</f>
        <v>1</v>
      </c>
      <c r="T468" s="8">
        <f>I468-Q468</f>
        <v>815</v>
      </c>
      <c r="U468" s="18">
        <v>2.9106526980184767E-2</v>
      </c>
      <c r="V468" s="11">
        <v>0</v>
      </c>
      <c r="W468" s="11">
        <v>1</v>
      </c>
      <c r="X468" s="11"/>
      <c r="Y468" s="11">
        <v>0</v>
      </c>
      <c r="Z468" t="s">
        <v>10</v>
      </c>
    </row>
    <row r="469" spans="1:26" x14ac:dyDescent="0.25">
      <c r="A469" s="20" t="s">
        <v>3230</v>
      </c>
      <c r="B469" s="20" t="s">
        <v>77</v>
      </c>
      <c r="C469" s="20" t="s">
        <v>3231</v>
      </c>
      <c r="D469" s="20" t="s">
        <v>216</v>
      </c>
      <c r="E469" s="13">
        <v>6506</v>
      </c>
      <c r="F469" s="11">
        <v>1</v>
      </c>
      <c r="G469" s="13">
        <v>23240.05</v>
      </c>
      <c r="H469" s="11">
        <v>0</v>
      </c>
      <c r="I469" s="13">
        <f>E469+G469</f>
        <v>29746.05</v>
      </c>
      <c r="J469" s="11">
        <f>F469+H469</f>
        <v>1</v>
      </c>
      <c r="K469" s="13">
        <v>9640</v>
      </c>
      <c r="L469" s="11">
        <v>0</v>
      </c>
      <c r="M469" s="11">
        <v>2</v>
      </c>
      <c r="N469" s="13">
        <v>95221</v>
      </c>
      <c r="O469" s="11">
        <v>2</v>
      </c>
      <c r="P469" s="11">
        <v>3</v>
      </c>
      <c r="Q469" s="13">
        <f>K469+N469</f>
        <v>104861</v>
      </c>
      <c r="R469" s="11">
        <f>L469+O469</f>
        <v>2</v>
      </c>
      <c r="S469" s="11">
        <f>M469+P469</f>
        <v>5</v>
      </c>
      <c r="T469" s="8">
        <f>I469-Q469</f>
        <v>-75114.95</v>
      </c>
      <c r="U469" s="18">
        <v>0.31168534519808688</v>
      </c>
      <c r="V469" s="11">
        <v>0.25</v>
      </c>
      <c r="W469" s="11">
        <v>4</v>
      </c>
      <c r="X469" s="11">
        <v>12</v>
      </c>
      <c r="Y469" s="11">
        <v>2</v>
      </c>
      <c r="Z469" t="s">
        <v>10</v>
      </c>
    </row>
    <row r="470" spans="1:26" x14ac:dyDescent="0.25">
      <c r="A470" s="20" t="s">
        <v>3232</v>
      </c>
      <c r="B470" s="20" t="s">
        <v>814</v>
      </c>
      <c r="C470" s="20" t="s">
        <v>748</v>
      </c>
      <c r="D470" s="20" t="s">
        <v>216</v>
      </c>
      <c r="E470" s="13">
        <v>0</v>
      </c>
      <c r="F470" s="11">
        <v>0</v>
      </c>
      <c r="G470" s="13">
        <v>0</v>
      </c>
      <c r="H470" s="11">
        <v>0</v>
      </c>
      <c r="I470" s="13">
        <f>E470+G470</f>
        <v>0</v>
      </c>
      <c r="J470" s="11">
        <f>F470+H470</f>
        <v>0</v>
      </c>
      <c r="K470" s="13">
        <v>0</v>
      </c>
      <c r="L470" s="11">
        <v>0</v>
      </c>
      <c r="M470" s="11">
        <v>0</v>
      </c>
      <c r="N470" s="13">
        <v>0</v>
      </c>
      <c r="O470" s="11">
        <v>0</v>
      </c>
      <c r="P470" s="11">
        <v>0</v>
      </c>
      <c r="Q470" s="13">
        <f>K470+N470</f>
        <v>0</v>
      </c>
      <c r="R470" s="11">
        <f>L470+O470</f>
        <v>0</v>
      </c>
      <c r="S470" s="11">
        <f>M470+P470</f>
        <v>0</v>
      </c>
      <c r="T470" s="8">
        <f>I470-Q470</f>
        <v>0</v>
      </c>
      <c r="U470" s="18">
        <v>8.2055336877800825E-2</v>
      </c>
      <c r="V470" s="11">
        <v>0</v>
      </c>
      <c r="W470" s="11">
        <v>0</v>
      </c>
      <c r="X470" s="11">
        <v>0</v>
      </c>
      <c r="Y470" s="11">
        <v>0</v>
      </c>
      <c r="Z470" t="s">
        <v>10</v>
      </c>
    </row>
    <row r="471" spans="1:26" x14ac:dyDescent="0.25">
      <c r="A471" s="20" t="s">
        <v>3233</v>
      </c>
      <c r="B471" s="20" t="s">
        <v>60</v>
      </c>
      <c r="C471" s="20" t="s">
        <v>3234</v>
      </c>
      <c r="D471" s="20" t="s">
        <v>216</v>
      </c>
      <c r="E471" s="13">
        <v>0</v>
      </c>
      <c r="F471" s="11">
        <v>0</v>
      </c>
      <c r="G471" s="13">
        <v>0</v>
      </c>
      <c r="H471" s="11">
        <v>0</v>
      </c>
      <c r="I471" s="13">
        <f>E471+G471</f>
        <v>0</v>
      </c>
      <c r="J471" s="11">
        <f>F471+H471</f>
        <v>0</v>
      </c>
      <c r="K471" s="13">
        <v>0</v>
      </c>
      <c r="L471" s="11">
        <v>0</v>
      </c>
      <c r="M471" s="11">
        <v>0</v>
      </c>
      <c r="N471" s="13">
        <v>0</v>
      </c>
      <c r="O471" s="11">
        <v>0</v>
      </c>
      <c r="P471" s="11">
        <v>0</v>
      </c>
      <c r="Q471" s="13">
        <f>K471+N471</f>
        <v>0</v>
      </c>
      <c r="R471" s="11">
        <f>L471+O471</f>
        <v>0</v>
      </c>
      <c r="S471" s="11">
        <f>M471+P471</f>
        <v>0</v>
      </c>
      <c r="T471" s="8">
        <f>I471-Q471</f>
        <v>0</v>
      </c>
      <c r="U471" s="18">
        <v>9.7144200012274001E-2</v>
      </c>
      <c r="V471" s="11">
        <v>0</v>
      </c>
      <c r="W471" s="11">
        <v>0</v>
      </c>
      <c r="X471" s="11">
        <v>0</v>
      </c>
      <c r="Y471" s="11">
        <v>0</v>
      </c>
      <c r="Z471" t="s">
        <v>10</v>
      </c>
    </row>
    <row r="472" spans="1:26" x14ac:dyDescent="0.25">
      <c r="A472" s="20" t="s">
        <v>3262</v>
      </c>
      <c r="B472" s="20" t="s">
        <v>3096</v>
      </c>
      <c r="C472" s="20" t="s">
        <v>3263</v>
      </c>
      <c r="D472" s="20" t="s">
        <v>216</v>
      </c>
      <c r="E472" s="13">
        <v>0</v>
      </c>
      <c r="F472" s="11">
        <v>0</v>
      </c>
      <c r="G472" s="13">
        <v>0</v>
      </c>
      <c r="H472" s="11">
        <v>0</v>
      </c>
      <c r="I472" s="13">
        <f>E472+G472</f>
        <v>0</v>
      </c>
      <c r="J472" s="11">
        <f>F472+H472</f>
        <v>0</v>
      </c>
      <c r="K472" s="13">
        <v>0</v>
      </c>
      <c r="L472" s="11">
        <v>0</v>
      </c>
      <c r="M472" s="11">
        <v>0</v>
      </c>
      <c r="N472" s="13">
        <v>0</v>
      </c>
      <c r="O472" s="11">
        <v>0</v>
      </c>
      <c r="P472" s="11">
        <v>0</v>
      </c>
      <c r="Q472" s="13">
        <f>K472+N472</f>
        <v>0</v>
      </c>
      <c r="R472" s="11">
        <f>L472+O472</f>
        <v>0</v>
      </c>
      <c r="S472" s="11">
        <f>M472+P472</f>
        <v>0</v>
      </c>
      <c r="T472" s="8">
        <f>I472-Q472</f>
        <v>0</v>
      </c>
      <c r="U472" s="18">
        <v>0.10915263394867177</v>
      </c>
      <c r="V472" s="11">
        <v>0</v>
      </c>
      <c r="W472" s="11">
        <v>0</v>
      </c>
      <c r="X472" s="11">
        <v>1</v>
      </c>
      <c r="Y472" s="11">
        <v>0</v>
      </c>
      <c r="Z472" t="s">
        <v>10</v>
      </c>
    </row>
    <row r="473" spans="1:26" x14ac:dyDescent="0.25">
      <c r="A473" s="20" t="s">
        <v>3301</v>
      </c>
      <c r="B473" s="20" t="s">
        <v>949</v>
      </c>
      <c r="C473" s="20" t="s">
        <v>3144</v>
      </c>
      <c r="D473" s="20" t="s">
        <v>216</v>
      </c>
      <c r="E473" s="13">
        <v>1724.56</v>
      </c>
      <c r="F473" s="11">
        <v>0</v>
      </c>
      <c r="G473" s="13">
        <v>0</v>
      </c>
      <c r="H473" s="11">
        <v>0</v>
      </c>
      <c r="I473" s="13">
        <f>E473+G473</f>
        <v>1724.56</v>
      </c>
      <c r="J473" s="11">
        <f>F473+H473</f>
        <v>0</v>
      </c>
      <c r="K473" s="13">
        <v>45745</v>
      </c>
      <c r="L473" s="11">
        <v>0</v>
      </c>
      <c r="M473" s="11">
        <v>0</v>
      </c>
      <c r="N473" s="13">
        <v>0</v>
      </c>
      <c r="O473" s="11">
        <v>0</v>
      </c>
      <c r="P473" s="11">
        <v>0</v>
      </c>
      <c r="Q473" s="13">
        <f>K473+N473</f>
        <v>45745</v>
      </c>
      <c r="R473" s="11">
        <f>L473+O473</f>
        <v>0</v>
      </c>
      <c r="S473" s="11">
        <f>M473+P473</f>
        <v>0</v>
      </c>
      <c r="T473" s="8">
        <f>I473-Q473</f>
        <v>-44020.44</v>
      </c>
      <c r="U473" s="18">
        <v>3.9406584615867248E-2</v>
      </c>
      <c r="V473" s="11">
        <v>0</v>
      </c>
      <c r="W473" s="11">
        <v>0</v>
      </c>
      <c r="X473" s="11">
        <v>0</v>
      </c>
      <c r="Y473" s="11">
        <v>1</v>
      </c>
      <c r="Z473" t="s">
        <v>10</v>
      </c>
    </row>
    <row r="474" spans="1:26" x14ac:dyDescent="0.25">
      <c r="A474" s="20" t="s">
        <v>3299</v>
      </c>
      <c r="B474" s="20" t="s">
        <v>3299</v>
      </c>
      <c r="C474" s="20" t="s">
        <v>3300</v>
      </c>
      <c r="D474" s="20" t="s">
        <v>216</v>
      </c>
      <c r="E474" s="13">
        <v>4939</v>
      </c>
      <c r="F474" s="11">
        <v>0</v>
      </c>
      <c r="G474" s="13">
        <v>10060</v>
      </c>
      <c r="H474" s="11">
        <v>0</v>
      </c>
      <c r="I474" s="13">
        <f>E474+G474</f>
        <v>14999</v>
      </c>
      <c r="J474" s="11">
        <f>F474+H474</f>
        <v>0</v>
      </c>
      <c r="K474" s="13">
        <v>21387</v>
      </c>
      <c r="L474" s="11">
        <v>1</v>
      </c>
      <c r="M474" s="11">
        <v>2</v>
      </c>
      <c r="N474" s="13">
        <v>9638</v>
      </c>
      <c r="O474" s="11">
        <v>0</v>
      </c>
      <c r="P474" s="11">
        <v>3</v>
      </c>
      <c r="Q474" s="13">
        <f>K474+N474</f>
        <v>31025</v>
      </c>
      <c r="R474" s="11">
        <f>L474+O474</f>
        <v>1</v>
      </c>
      <c r="S474" s="11">
        <f>M474+P474</f>
        <v>5</v>
      </c>
      <c r="T474" s="8">
        <f>I474-Q474</f>
        <v>-16026</v>
      </c>
      <c r="U474" s="18">
        <v>0.15486491136630198</v>
      </c>
      <c r="V474" s="11">
        <v>0.44</v>
      </c>
      <c r="W474" s="11">
        <v>4</v>
      </c>
      <c r="X474" s="11">
        <v>5</v>
      </c>
      <c r="Y474" s="11">
        <v>0</v>
      </c>
      <c r="Z474" t="s">
        <v>10</v>
      </c>
    </row>
    <row r="475" spans="1:26" x14ac:dyDescent="0.25">
      <c r="A475" s="20" t="s">
        <v>3302</v>
      </c>
      <c r="B475" s="20" t="s">
        <v>3203</v>
      </c>
      <c r="C475" s="20" t="s">
        <v>3011</v>
      </c>
      <c r="D475" s="20" t="s">
        <v>216</v>
      </c>
      <c r="E475" s="13">
        <v>13838</v>
      </c>
      <c r="F475" s="11">
        <v>0</v>
      </c>
      <c r="G475" s="13">
        <v>48203.48</v>
      </c>
      <c r="H475" s="11">
        <v>0</v>
      </c>
      <c r="I475" s="13">
        <f>E475+G475</f>
        <v>62041.48</v>
      </c>
      <c r="J475" s="11">
        <f>F475+H475</f>
        <v>0</v>
      </c>
      <c r="K475" s="13">
        <v>22485</v>
      </c>
      <c r="L475" s="11">
        <v>0</v>
      </c>
      <c r="M475" s="11">
        <v>0</v>
      </c>
      <c r="N475" s="13">
        <v>45148</v>
      </c>
      <c r="O475" s="11">
        <v>0</v>
      </c>
      <c r="P475" s="11">
        <v>4</v>
      </c>
      <c r="Q475" s="13">
        <f>K475+N475</f>
        <v>67633</v>
      </c>
      <c r="R475" s="11">
        <f>L475+O475</f>
        <v>0</v>
      </c>
      <c r="S475" s="11">
        <f>M475+P475</f>
        <v>4</v>
      </c>
      <c r="T475" s="8">
        <f>I475-Q475</f>
        <v>-5591.5199999999968</v>
      </c>
      <c r="U475" s="18">
        <v>0.15749505822633142</v>
      </c>
      <c r="V475" s="11">
        <v>0.36</v>
      </c>
      <c r="W475" s="11">
        <v>4</v>
      </c>
      <c r="X475" s="11">
        <v>7</v>
      </c>
      <c r="Y475" s="11">
        <v>0</v>
      </c>
      <c r="Z475" t="s">
        <v>10</v>
      </c>
    </row>
    <row r="476" spans="1:26" x14ac:dyDescent="0.25">
      <c r="A476" s="20" t="s">
        <v>3303</v>
      </c>
      <c r="B476" s="20" t="s">
        <v>3203</v>
      </c>
      <c r="C476" s="20" t="s">
        <v>3011</v>
      </c>
      <c r="D476" s="20" t="s">
        <v>216</v>
      </c>
      <c r="E476" s="13">
        <v>250</v>
      </c>
      <c r="F476" s="11">
        <v>0</v>
      </c>
      <c r="G476" s="13">
        <v>10279</v>
      </c>
      <c r="H476" s="11">
        <v>0</v>
      </c>
      <c r="I476" s="13">
        <f>E476+G476</f>
        <v>10529</v>
      </c>
      <c r="J476" s="11">
        <f>F476+H476</f>
        <v>0</v>
      </c>
      <c r="K476" s="13">
        <v>250</v>
      </c>
      <c r="L476" s="11">
        <v>0</v>
      </c>
      <c r="M476" s="11">
        <v>0</v>
      </c>
      <c r="N476" s="13">
        <v>9756</v>
      </c>
      <c r="O476" s="11">
        <v>0</v>
      </c>
      <c r="P476" s="11">
        <v>0</v>
      </c>
      <c r="Q476" s="13">
        <f>K476+N476</f>
        <v>10006</v>
      </c>
      <c r="R476" s="11">
        <f>L476+O476</f>
        <v>0</v>
      </c>
      <c r="S476" s="11">
        <f>M476+P476</f>
        <v>0</v>
      </c>
      <c r="T476" s="8">
        <f>I476-Q476</f>
        <v>523</v>
      </c>
      <c r="U476" s="18">
        <v>-2.5786763005992461E-2</v>
      </c>
      <c r="V476" s="11">
        <v>0</v>
      </c>
      <c r="W476" s="11">
        <v>0</v>
      </c>
      <c r="X476" s="11">
        <v>0</v>
      </c>
      <c r="Y476" s="11">
        <v>0</v>
      </c>
      <c r="Z476" t="s">
        <v>10</v>
      </c>
    </row>
    <row r="477" spans="1:26" x14ac:dyDescent="0.25">
      <c r="A477" s="20" t="s">
        <v>3341</v>
      </c>
      <c r="B477" s="20" t="s">
        <v>3340</v>
      </c>
      <c r="C477" s="20" t="s">
        <v>3223</v>
      </c>
      <c r="D477" s="20" t="s">
        <v>216</v>
      </c>
      <c r="E477" s="13">
        <v>-1919.53</v>
      </c>
      <c r="F477" s="11">
        <v>0</v>
      </c>
      <c r="G477" s="13">
        <v>0</v>
      </c>
      <c r="H477" s="11">
        <v>0</v>
      </c>
      <c r="I477" s="13">
        <f>E477+G477</f>
        <v>-1919.53</v>
      </c>
      <c r="J477" s="11">
        <f>F477+H477</f>
        <v>0</v>
      </c>
      <c r="K477" s="13">
        <v>3021</v>
      </c>
      <c r="L477" s="11">
        <v>0</v>
      </c>
      <c r="M477" s="11">
        <v>0</v>
      </c>
      <c r="N477" s="13">
        <v>0</v>
      </c>
      <c r="O477" s="11">
        <v>0</v>
      </c>
      <c r="P477" s="11">
        <v>0</v>
      </c>
      <c r="Q477" s="13">
        <f>K477+N477</f>
        <v>3021</v>
      </c>
      <c r="R477" s="11">
        <f>L477+O477</f>
        <v>0</v>
      </c>
      <c r="S477" s="11">
        <f>M477+P477</f>
        <v>0</v>
      </c>
      <c r="T477" s="8">
        <f>I477-Q477</f>
        <v>-4940.53</v>
      </c>
      <c r="U477" s="18">
        <v>2.6507300842403596E-2</v>
      </c>
      <c r="V477" s="11">
        <v>0</v>
      </c>
      <c r="W477" s="11">
        <v>0</v>
      </c>
      <c r="X477" s="11">
        <v>0</v>
      </c>
      <c r="Y477" s="11">
        <v>0</v>
      </c>
      <c r="Z477" t="s">
        <v>10</v>
      </c>
    </row>
    <row r="478" spans="1:26" x14ac:dyDescent="0.25">
      <c r="A478" s="20" t="s">
        <v>3384</v>
      </c>
      <c r="B478" s="20" t="s">
        <v>60</v>
      </c>
      <c r="C478" s="20" t="s">
        <v>3385</v>
      </c>
      <c r="D478" s="20" t="s">
        <v>216</v>
      </c>
      <c r="E478" s="13">
        <v>0</v>
      </c>
      <c r="F478" s="11">
        <v>0</v>
      </c>
      <c r="G478" s="13">
        <v>0</v>
      </c>
      <c r="H478" s="11">
        <v>0</v>
      </c>
      <c r="I478" s="13">
        <f>E478+G478</f>
        <v>0</v>
      </c>
      <c r="J478" s="11">
        <f>F478+H478</f>
        <v>0</v>
      </c>
      <c r="K478" s="13">
        <v>0</v>
      </c>
      <c r="L478" s="11">
        <v>0</v>
      </c>
      <c r="M478" s="11">
        <v>0</v>
      </c>
      <c r="N478" s="13">
        <v>0</v>
      </c>
      <c r="O478" s="11">
        <v>0</v>
      </c>
      <c r="P478" s="11">
        <v>0</v>
      </c>
      <c r="Q478" s="13">
        <f>K478+N478</f>
        <v>0</v>
      </c>
      <c r="R478" s="11">
        <f>L478+O478</f>
        <v>0</v>
      </c>
      <c r="S478" s="11">
        <f>M478+P478</f>
        <v>0</v>
      </c>
      <c r="T478" s="8">
        <f>I478-Q478</f>
        <v>0</v>
      </c>
      <c r="U478" s="18">
        <v>9.5518710153591438E-2</v>
      </c>
      <c r="V478" s="11">
        <v>0</v>
      </c>
      <c r="W478" s="11">
        <v>0</v>
      </c>
      <c r="X478" s="11">
        <v>0</v>
      </c>
      <c r="Y478" s="11">
        <v>1</v>
      </c>
      <c r="Z478" t="s">
        <v>10</v>
      </c>
    </row>
    <row r="479" spans="1:26" x14ac:dyDescent="0.25">
      <c r="A479" s="20" t="s">
        <v>3399</v>
      </c>
      <c r="B479" s="20" t="s">
        <v>723</v>
      </c>
      <c r="C479" s="20" t="s">
        <v>709</v>
      </c>
      <c r="D479" s="20" t="s">
        <v>216</v>
      </c>
      <c r="E479" s="13">
        <v>2289</v>
      </c>
      <c r="F479" s="11">
        <v>0</v>
      </c>
      <c r="G479" s="13">
        <v>0</v>
      </c>
      <c r="H479" s="11">
        <v>0</v>
      </c>
      <c r="I479" s="13">
        <f>E479+G479</f>
        <v>2289</v>
      </c>
      <c r="J479" s="11">
        <f>F479+H479</f>
        <v>0</v>
      </c>
      <c r="K479" s="13">
        <v>2311.14</v>
      </c>
      <c r="L479" s="11">
        <v>0</v>
      </c>
      <c r="M479" s="11">
        <v>0</v>
      </c>
      <c r="N479" s="13">
        <v>0</v>
      </c>
      <c r="O479" s="11">
        <v>0</v>
      </c>
      <c r="P479" s="11">
        <v>0</v>
      </c>
      <c r="Q479" s="13">
        <f>K479+N479</f>
        <v>2311.14</v>
      </c>
      <c r="R479" s="11">
        <f>L479+O479</f>
        <v>0</v>
      </c>
      <c r="S479" s="11">
        <f>M479+P479</f>
        <v>0</v>
      </c>
      <c r="T479" s="8">
        <f>I479-Q479</f>
        <v>-22.139999999999873</v>
      </c>
      <c r="U479" s="18">
        <v>4.3574548297792851E-2</v>
      </c>
      <c r="V479" s="11">
        <v>0</v>
      </c>
      <c r="W479" s="11">
        <v>0</v>
      </c>
      <c r="X479" s="11">
        <v>1</v>
      </c>
      <c r="Y479" s="11">
        <v>0</v>
      </c>
      <c r="Z479" t="s">
        <v>10</v>
      </c>
    </row>
    <row r="480" spans="1:26" x14ac:dyDescent="0.25">
      <c r="A480" s="20" t="s">
        <v>3400</v>
      </c>
      <c r="B480" s="20" t="s">
        <v>295</v>
      </c>
      <c r="C480" s="20" t="s">
        <v>964</v>
      </c>
      <c r="D480" s="20" t="s">
        <v>216</v>
      </c>
      <c r="E480" s="13">
        <v>1612</v>
      </c>
      <c r="F480" s="11">
        <v>0</v>
      </c>
      <c r="G480" s="13">
        <v>1310</v>
      </c>
      <c r="H480" s="11">
        <v>0</v>
      </c>
      <c r="I480" s="13">
        <f>E480+G480</f>
        <v>2922</v>
      </c>
      <c r="J480" s="11">
        <f>F480+H480</f>
        <v>0</v>
      </c>
      <c r="K480" s="13">
        <v>0</v>
      </c>
      <c r="L480" s="11">
        <v>0</v>
      </c>
      <c r="M480" s="11">
        <v>0</v>
      </c>
      <c r="N480" s="13">
        <v>1310</v>
      </c>
      <c r="O480" s="11">
        <v>0</v>
      </c>
      <c r="P480" s="11">
        <v>1</v>
      </c>
      <c r="Q480" s="13">
        <f>K480+N480</f>
        <v>1310</v>
      </c>
      <c r="R480" s="11">
        <f>L480+O480</f>
        <v>0</v>
      </c>
      <c r="S480" s="11">
        <f>M480+P480</f>
        <v>1</v>
      </c>
      <c r="T480" s="8">
        <f>I480-Q480</f>
        <v>1612</v>
      </c>
      <c r="U480" s="18">
        <v>0.17601822788520272</v>
      </c>
      <c r="V480" s="11">
        <v>0.5</v>
      </c>
      <c r="W480" s="11">
        <v>1</v>
      </c>
      <c r="X480" s="11">
        <v>1</v>
      </c>
      <c r="Y480" s="11">
        <v>0</v>
      </c>
      <c r="Z480" t="s">
        <v>10</v>
      </c>
    </row>
    <row r="481" spans="1:26" x14ac:dyDescent="0.25">
      <c r="A481" s="20" t="s">
        <v>3401</v>
      </c>
      <c r="B481" s="20" t="s">
        <v>60</v>
      </c>
      <c r="C481" s="20" t="s">
        <v>3402</v>
      </c>
      <c r="D481" s="20" t="s">
        <v>216</v>
      </c>
      <c r="E481" s="13">
        <v>37706</v>
      </c>
      <c r="F481" s="11">
        <v>2</v>
      </c>
      <c r="G481" s="13">
        <v>11119</v>
      </c>
      <c r="H481" s="11">
        <v>0</v>
      </c>
      <c r="I481" s="13">
        <f>E481+G481</f>
        <v>48825</v>
      </c>
      <c r="J481" s="11">
        <f>F481+H481</f>
        <v>2</v>
      </c>
      <c r="K481" s="13">
        <v>6608</v>
      </c>
      <c r="L481" s="11">
        <v>0</v>
      </c>
      <c r="M481" s="11">
        <v>1</v>
      </c>
      <c r="N481" s="13">
        <v>10448</v>
      </c>
      <c r="O481" s="11">
        <v>0</v>
      </c>
      <c r="P481" s="11">
        <v>0</v>
      </c>
      <c r="Q481" s="13">
        <f>K481+N481</f>
        <v>17056</v>
      </c>
      <c r="R481" s="11">
        <f>L481+O481</f>
        <v>0</v>
      </c>
      <c r="S481" s="11">
        <f>M481+P481</f>
        <v>1</v>
      </c>
      <c r="T481" s="8">
        <f>I481-Q481</f>
        <v>31769</v>
      </c>
      <c r="U481" s="18">
        <v>0.22099147234350572</v>
      </c>
      <c r="V481" s="11">
        <v>0.25</v>
      </c>
      <c r="W481" s="11">
        <v>3</v>
      </c>
      <c r="X481" s="11">
        <v>9</v>
      </c>
      <c r="Y481" s="11">
        <v>2</v>
      </c>
      <c r="Z481" t="s">
        <v>10</v>
      </c>
    </row>
    <row r="482" spans="1:26" x14ac:dyDescent="0.25">
      <c r="A482" s="20" t="s">
        <v>3582</v>
      </c>
      <c r="B482" s="20" t="s">
        <v>97</v>
      </c>
      <c r="C482" s="20" t="s">
        <v>797</v>
      </c>
      <c r="D482" s="20" t="s">
        <v>216</v>
      </c>
      <c r="E482" s="13">
        <v>35357</v>
      </c>
      <c r="F482" s="11">
        <v>0</v>
      </c>
      <c r="G482" s="13">
        <v>10051</v>
      </c>
      <c r="H482" s="11">
        <v>0</v>
      </c>
      <c r="I482" s="13">
        <f>E482+G482</f>
        <v>45408</v>
      </c>
      <c r="J482" s="11">
        <f>F482+H482</f>
        <v>0</v>
      </c>
      <c r="K482" s="13">
        <v>0</v>
      </c>
      <c r="L482" s="11">
        <v>0</v>
      </c>
      <c r="M482" s="11">
        <v>2</v>
      </c>
      <c r="N482" s="13">
        <v>0</v>
      </c>
      <c r="O482" s="11">
        <v>1</v>
      </c>
      <c r="P482" s="11">
        <v>4</v>
      </c>
      <c r="Q482" s="13">
        <f>K482+N482</f>
        <v>0</v>
      </c>
      <c r="R482" s="11">
        <f>L482+O482</f>
        <v>1</v>
      </c>
      <c r="S482" s="11">
        <f>M482+P482</f>
        <v>6</v>
      </c>
      <c r="T482" s="8">
        <f>I482-Q482</f>
        <v>45408</v>
      </c>
      <c r="U482" s="18">
        <v>0.69448557929283639</v>
      </c>
      <c r="V482" s="11">
        <v>0.26</v>
      </c>
      <c r="W482" s="11">
        <v>5</v>
      </c>
      <c r="X482" s="11">
        <v>14</v>
      </c>
      <c r="Y482" s="11">
        <v>3</v>
      </c>
      <c r="Z482" t="s">
        <v>10</v>
      </c>
    </row>
    <row r="483" spans="1:26" x14ac:dyDescent="0.25">
      <c r="A483" s="20" t="s">
        <v>3609</v>
      </c>
      <c r="B483" s="20" t="s">
        <v>58</v>
      </c>
      <c r="C483" s="20" t="s">
        <v>3607</v>
      </c>
      <c r="D483" s="20" t="s">
        <v>216</v>
      </c>
      <c r="E483" s="13">
        <v>0</v>
      </c>
      <c r="F483" s="11">
        <v>0</v>
      </c>
      <c r="G483" s="13">
        <v>0</v>
      </c>
      <c r="H483" s="11">
        <v>0</v>
      </c>
      <c r="I483" s="13">
        <f>E483+G483</f>
        <v>0</v>
      </c>
      <c r="J483" s="11">
        <f>F483+H483</f>
        <v>0</v>
      </c>
      <c r="K483" s="13">
        <v>0</v>
      </c>
      <c r="L483" s="11">
        <v>0</v>
      </c>
      <c r="M483" s="11">
        <v>0</v>
      </c>
      <c r="N483" s="13">
        <v>0</v>
      </c>
      <c r="O483" s="11">
        <v>0</v>
      </c>
      <c r="P483" s="11">
        <v>0</v>
      </c>
      <c r="Q483" s="13">
        <f>K483+N483</f>
        <v>0</v>
      </c>
      <c r="R483" s="11">
        <f>L483+O483</f>
        <v>0</v>
      </c>
      <c r="S483" s="11">
        <f>M483+P483</f>
        <v>0</v>
      </c>
      <c r="T483" s="8">
        <f>I483-Q483</f>
        <v>0</v>
      </c>
      <c r="U483" s="18">
        <v>7.1348688747142577E-2</v>
      </c>
      <c r="V483" s="11">
        <v>0</v>
      </c>
      <c r="W483" s="11">
        <v>0</v>
      </c>
      <c r="X483" s="11">
        <v>0</v>
      </c>
      <c r="Y483" s="11">
        <v>0</v>
      </c>
      <c r="Z483" t="s">
        <v>10</v>
      </c>
    </row>
    <row r="484" spans="1:26" x14ac:dyDescent="0.25">
      <c r="A484" s="20" t="s">
        <v>3610</v>
      </c>
      <c r="B484" s="20" t="s">
        <v>459</v>
      </c>
      <c r="C484" s="20" t="s">
        <v>3608</v>
      </c>
      <c r="D484" s="20" t="s">
        <v>216</v>
      </c>
      <c r="E484" s="13">
        <v>0</v>
      </c>
      <c r="F484" s="11">
        <v>0</v>
      </c>
      <c r="G484" s="13">
        <v>0</v>
      </c>
      <c r="H484" s="11">
        <v>0</v>
      </c>
      <c r="I484" s="13">
        <f>E484+G484</f>
        <v>0</v>
      </c>
      <c r="J484" s="11">
        <f>F484+H484</f>
        <v>0</v>
      </c>
      <c r="K484" s="13">
        <v>0</v>
      </c>
      <c r="L484" s="11">
        <v>0</v>
      </c>
      <c r="M484" s="11">
        <v>0</v>
      </c>
      <c r="N484" s="13">
        <v>0</v>
      </c>
      <c r="O484" s="11">
        <v>0</v>
      </c>
      <c r="P484" s="11">
        <v>0</v>
      </c>
      <c r="Q484" s="13">
        <f>K484+N484</f>
        <v>0</v>
      </c>
      <c r="R484" s="11">
        <f>L484+O484</f>
        <v>0</v>
      </c>
      <c r="S484" s="11">
        <f>M484+P484</f>
        <v>0</v>
      </c>
      <c r="T484" s="8">
        <f>I484-Q484</f>
        <v>0</v>
      </c>
      <c r="U484" s="18">
        <v>0.22616684967202955</v>
      </c>
      <c r="V484" s="11">
        <v>0</v>
      </c>
      <c r="W484" s="11">
        <v>0</v>
      </c>
      <c r="X484" s="11">
        <v>0</v>
      </c>
      <c r="Y484" s="11">
        <v>0</v>
      </c>
      <c r="Z484" t="s">
        <v>10</v>
      </c>
    </row>
    <row r="485" spans="1:26" x14ac:dyDescent="0.25">
      <c r="A485" s="20" t="s">
        <v>3619</v>
      </c>
      <c r="B485" s="20" t="s">
        <v>3096</v>
      </c>
      <c r="C485" s="20" t="s">
        <v>3620</v>
      </c>
      <c r="D485" s="20" t="s">
        <v>216</v>
      </c>
      <c r="E485" s="13">
        <v>6116</v>
      </c>
      <c r="F485" s="11">
        <v>1</v>
      </c>
      <c r="G485" s="13">
        <v>0</v>
      </c>
      <c r="H485" s="11">
        <v>0</v>
      </c>
      <c r="I485" s="13">
        <f>E485+G485</f>
        <v>6116</v>
      </c>
      <c r="J485" s="11">
        <f>F485+H485</f>
        <v>1</v>
      </c>
      <c r="K485" s="13">
        <v>0</v>
      </c>
      <c r="L485" s="11">
        <v>0</v>
      </c>
      <c r="M485" s="11">
        <v>2</v>
      </c>
      <c r="N485" s="13">
        <v>0</v>
      </c>
      <c r="O485" s="11">
        <v>0</v>
      </c>
      <c r="P485" s="11">
        <v>0</v>
      </c>
      <c r="Q485" s="13">
        <f>K485+N485</f>
        <v>0</v>
      </c>
      <c r="R485" s="11">
        <f>L485+O485</f>
        <v>0</v>
      </c>
      <c r="S485" s="11">
        <f>M485+P485</f>
        <v>2</v>
      </c>
      <c r="T485" s="8">
        <f>I485-Q485</f>
        <v>6116</v>
      </c>
      <c r="U485" s="18">
        <v>0.25682467651565799</v>
      </c>
      <c r="V485" s="11">
        <v>0.25</v>
      </c>
      <c r="W485" s="11">
        <v>2</v>
      </c>
      <c r="X485" s="11">
        <v>6</v>
      </c>
      <c r="Y485" s="11">
        <v>0</v>
      </c>
      <c r="Z485" t="s">
        <v>10</v>
      </c>
    </row>
    <row r="486" spans="1:26" x14ac:dyDescent="0.25">
      <c r="A486" s="20" t="s">
        <v>3641</v>
      </c>
      <c r="B486" s="20" t="s">
        <v>60</v>
      </c>
      <c r="C486" s="20" t="s">
        <v>3642</v>
      </c>
      <c r="D486" s="20" t="s">
        <v>216</v>
      </c>
      <c r="E486" s="13">
        <v>14424</v>
      </c>
      <c r="F486" s="11">
        <v>0</v>
      </c>
      <c r="G486" s="13">
        <v>0</v>
      </c>
      <c r="H486" s="11">
        <v>0</v>
      </c>
      <c r="I486" s="13">
        <f>E486+G486</f>
        <v>14424</v>
      </c>
      <c r="J486" s="11">
        <f>F486+H486</f>
        <v>0</v>
      </c>
      <c r="K486" s="13">
        <v>0</v>
      </c>
      <c r="L486" s="11">
        <v>0</v>
      </c>
      <c r="M486" s="11">
        <v>0</v>
      </c>
      <c r="N486" s="13">
        <v>0</v>
      </c>
      <c r="O486" s="11">
        <v>0</v>
      </c>
      <c r="P486" s="11">
        <v>0</v>
      </c>
      <c r="Q486" s="13">
        <f>K486+N486</f>
        <v>0</v>
      </c>
      <c r="R486" s="11">
        <f>L486+O486</f>
        <v>0</v>
      </c>
      <c r="S486" s="11">
        <f>M486+P486</f>
        <v>0</v>
      </c>
      <c r="T486" s="8">
        <f>I486-Q486</f>
        <v>14424</v>
      </c>
      <c r="U486" s="18">
        <v>0.12276155257257665</v>
      </c>
      <c r="V486" s="11">
        <v>0</v>
      </c>
      <c r="W486" s="11">
        <v>0</v>
      </c>
      <c r="X486" s="11">
        <v>0</v>
      </c>
      <c r="Y486" s="11">
        <v>0</v>
      </c>
      <c r="Z486" t="s">
        <v>10</v>
      </c>
    </row>
    <row r="487" spans="1:26" x14ac:dyDescent="0.25">
      <c r="A487" s="20" t="s">
        <v>3643</v>
      </c>
      <c r="B487" s="20" t="s">
        <v>60</v>
      </c>
      <c r="C487" s="20" t="s">
        <v>3644</v>
      </c>
      <c r="D487" s="20" t="s">
        <v>216</v>
      </c>
      <c r="E487" s="13">
        <v>0</v>
      </c>
      <c r="F487" s="11">
        <v>0</v>
      </c>
      <c r="G487" s="13">
        <v>0</v>
      </c>
      <c r="H487" s="11">
        <v>0</v>
      </c>
      <c r="I487" s="13">
        <f>E487+G487</f>
        <v>0</v>
      </c>
      <c r="J487" s="11">
        <f>F487+H487</f>
        <v>0</v>
      </c>
      <c r="K487" s="13">
        <v>0</v>
      </c>
      <c r="L487" s="11">
        <v>0</v>
      </c>
      <c r="M487" s="11">
        <v>0</v>
      </c>
      <c r="N487" s="13">
        <v>0</v>
      </c>
      <c r="O487" s="11">
        <v>0</v>
      </c>
      <c r="P487" s="11">
        <v>0</v>
      </c>
      <c r="Q487" s="13">
        <f>K487+N487</f>
        <v>0</v>
      </c>
      <c r="R487" s="11">
        <f>L487+O487</f>
        <v>0</v>
      </c>
      <c r="S487" s="11">
        <f>M487+P487</f>
        <v>0</v>
      </c>
      <c r="T487" s="8">
        <f>I487-Q487</f>
        <v>0</v>
      </c>
      <c r="U487" s="18">
        <v>0.16291321250193089</v>
      </c>
      <c r="V487" s="11">
        <v>0</v>
      </c>
      <c r="W487" s="11">
        <v>0</v>
      </c>
      <c r="X487" s="11">
        <v>0</v>
      </c>
      <c r="Y487" s="11">
        <v>0</v>
      </c>
      <c r="Z487" t="s">
        <v>10</v>
      </c>
    </row>
    <row r="488" spans="1:26" x14ac:dyDescent="0.25">
      <c r="A488" s="20" t="s">
        <v>3645</v>
      </c>
      <c r="B488" s="20" t="s">
        <v>60</v>
      </c>
      <c r="C488" s="20" t="s">
        <v>3646</v>
      </c>
      <c r="D488" s="20" t="s">
        <v>216</v>
      </c>
      <c r="E488" s="13">
        <v>28518.74</v>
      </c>
      <c r="F488" s="11">
        <v>0</v>
      </c>
      <c r="G488" s="13">
        <v>0</v>
      </c>
      <c r="H488" s="11">
        <v>0</v>
      </c>
      <c r="I488" s="13">
        <f>E488+G488</f>
        <v>28518.74</v>
      </c>
      <c r="J488" s="11">
        <f>F488+H488</f>
        <v>0</v>
      </c>
      <c r="K488" s="13">
        <v>0</v>
      </c>
      <c r="L488" s="11">
        <v>0</v>
      </c>
      <c r="M488" s="11">
        <v>0</v>
      </c>
      <c r="N488" s="13">
        <v>0</v>
      </c>
      <c r="O488" s="11">
        <v>0</v>
      </c>
      <c r="P488" s="11">
        <v>0</v>
      </c>
      <c r="Q488" s="13">
        <f>K488+N488</f>
        <v>0</v>
      </c>
      <c r="R488" s="11">
        <f>L488+O488</f>
        <v>0</v>
      </c>
      <c r="S488" s="11">
        <f>M488+P488</f>
        <v>0</v>
      </c>
      <c r="T488" s="8">
        <f>I488-Q488</f>
        <v>28518.74</v>
      </c>
      <c r="U488" s="18">
        <v>0.19235281079883018</v>
      </c>
      <c r="V488" s="11">
        <v>0</v>
      </c>
      <c r="W488" s="11">
        <v>0</v>
      </c>
      <c r="X488" s="11">
        <v>0</v>
      </c>
      <c r="Y488" s="11">
        <v>0</v>
      </c>
      <c r="Z488" t="s">
        <v>10</v>
      </c>
    </row>
    <row r="489" spans="1:26" x14ac:dyDescent="0.25">
      <c r="A489" s="20" t="s">
        <v>3665</v>
      </c>
      <c r="B489" s="20" t="s">
        <v>77</v>
      </c>
      <c r="C489" s="20" t="s">
        <v>705</v>
      </c>
      <c r="D489" s="20" t="s">
        <v>216</v>
      </c>
      <c r="E489" s="13">
        <v>0</v>
      </c>
      <c r="F489" s="11">
        <v>0</v>
      </c>
      <c r="G489" s="13">
        <v>0</v>
      </c>
      <c r="H489" s="11">
        <v>0</v>
      </c>
      <c r="I489" s="13">
        <f>E489+G489</f>
        <v>0</v>
      </c>
      <c r="J489" s="11">
        <f>F489+H489</f>
        <v>0</v>
      </c>
      <c r="K489" s="13">
        <v>0</v>
      </c>
      <c r="L489" s="11">
        <v>0</v>
      </c>
      <c r="M489" s="11">
        <v>0</v>
      </c>
      <c r="N489" s="13">
        <v>0</v>
      </c>
      <c r="O489" s="11">
        <v>0</v>
      </c>
      <c r="P489" s="11">
        <v>0</v>
      </c>
      <c r="Q489" s="13">
        <f>K489+N489</f>
        <v>0</v>
      </c>
      <c r="R489" s="11">
        <f>L489+O489</f>
        <v>0</v>
      </c>
      <c r="S489" s="11">
        <f>M489+P489</f>
        <v>0</v>
      </c>
      <c r="T489" s="8">
        <f>I489-Q489</f>
        <v>0</v>
      </c>
      <c r="U489" s="18">
        <v>1.4370575004362354</v>
      </c>
      <c r="V489" s="11">
        <v>0</v>
      </c>
      <c r="W489" s="11">
        <v>0</v>
      </c>
      <c r="X489" s="11">
        <v>0</v>
      </c>
      <c r="Y489" s="11">
        <v>0</v>
      </c>
      <c r="Z489" t="s">
        <v>10</v>
      </c>
    </row>
    <row r="490" spans="1:26" x14ac:dyDescent="0.25">
      <c r="A490" s="20" t="s">
        <v>3666</v>
      </c>
      <c r="B490" s="20" t="s">
        <v>77</v>
      </c>
      <c r="C490" s="20" t="s">
        <v>678</v>
      </c>
      <c r="D490" s="20" t="s">
        <v>216</v>
      </c>
      <c r="E490" s="13">
        <v>7500</v>
      </c>
      <c r="F490" s="11">
        <v>0</v>
      </c>
      <c r="G490" s="13">
        <v>16500</v>
      </c>
      <c r="H490" s="11">
        <v>0</v>
      </c>
      <c r="I490" s="13">
        <f>E490+G490</f>
        <v>24000</v>
      </c>
      <c r="J490" s="11">
        <f>F490+H490</f>
        <v>0</v>
      </c>
      <c r="K490" s="13">
        <v>0</v>
      </c>
      <c r="L490" s="11">
        <v>0</v>
      </c>
      <c r="M490" s="11">
        <v>0</v>
      </c>
      <c r="N490" s="13">
        <v>0</v>
      </c>
      <c r="O490" s="11">
        <v>0</v>
      </c>
      <c r="P490" s="11">
        <v>1</v>
      </c>
      <c r="Q490" s="13">
        <f>K490+N490</f>
        <v>0</v>
      </c>
      <c r="R490" s="11">
        <f>L490+O490</f>
        <v>0</v>
      </c>
      <c r="S490" s="11">
        <f>M490+P490</f>
        <v>1</v>
      </c>
      <c r="T490" s="8">
        <f>I490-Q490</f>
        <v>24000</v>
      </c>
      <c r="U490" s="18">
        <v>0.36207929974844538</v>
      </c>
      <c r="V490" s="11">
        <v>0</v>
      </c>
      <c r="W490" s="11">
        <v>0</v>
      </c>
      <c r="X490" s="11">
        <v>0</v>
      </c>
      <c r="Y490" s="11">
        <v>0</v>
      </c>
      <c r="Z490" t="s">
        <v>10</v>
      </c>
    </row>
    <row r="491" spans="1:26" x14ac:dyDescent="0.25">
      <c r="A491" s="20" t="s">
        <v>805</v>
      </c>
      <c r="B491" s="20" t="s">
        <v>60</v>
      </c>
      <c r="C491" s="20" t="s">
        <v>806</v>
      </c>
      <c r="D491" s="20" t="s">
        <v>216</v>
      </c>
      <c r="E491" s="13">
        <v>10208</v>
      </c>
      <c r="F491" s="11">
        <v>0</v>
      </c>
      <c r="G491" s="13">
        <v>0</v>
      </c>
      <c r="H491" s="11">
        <v>0</v>
      </c>
      <c r="I491" s="13">
        <f>E491+G491</f>
        <v>10208</v>
      </c>
      <c r="J491" s="11">
        <f>F491+H491</f>
        <v>0</v>
      </c>
      <c r="K491" s="13">
        <v>10615</v>
      </c>
      <c r="L491" s="11">
        <v>0</v>
      </c>
      <c r="M491" s="11">
        <v>0</v>
      </c>
      <c r="N491" s="13">
        <v>0</v>
      </c>
      <c r="O491" s="11">
        <v>0</v>
      </c>
      <c r="P491" s="11">
        <v>0</v>
      </c>
      <c r="Q491" s="13">
        <f>K491+N491</f>
        <v>10615</v>
      </c>
      <c r="R491" s="11">
        <f>L491+O491</f>
        <v>0</v>
      </c>
      <c r="S491" s="11">
        <f>M491+P491</f>
        <v>0</v>
      </c>
      <c r="T491" s="8">
        <f>I491-Q491</f>
        <v>-407</v>
      </c>
      <c r="U491" s="18">
        <v>4.5634854972481174E-2</v>
      </c>
      <c r="V491" s="11">
        <v>0</v>
      </c>
      <c r="W491" s="11">
        <v>0</v>
      </c>
      <c r="X491" s="11">
        <v>0</v>
      </c>
      <c r="Y491" s="11">
        <v>0</v>
      </c>
      <c r="Z491" t="s">
        <v>10</v>
      </c>
    </row>
    <row r="492" spans="1:26" x14ac:dyDescent="0.25">
      <c r="A492" s="20" t="s">
        <v>808</v>
      </c>
      <c r="B492" s="20" t="s">
        <v>60</v>
      </c>
      <c r="C492" s="20" t="s">
        <v>809</v>
      </c>
      <c r="D492" s="20" t="s">
        <v>216</v>
      </c>
      <c r="E492" s="13">
        <v>0</v>
      </c>
      <c r="F492" s="11">
        <v>0</v>
      </c>
      <c r="G492" s="13">
        <v>0</v>
      </c>
      <c r="H492" s="11">
        <v>0</v>
      </c>
      <c r="I492" s="13">
        <f>E492+G492</f>
        <v>0</v>
      </c>
      <c r="J492" s="11">
        <f>F492+H492</f>
        <v>0</v>
      </c>
      <c r="K492" s="13">
        <v>0</v>
      </c>
      <c r="L492" s="11">
        <v>0</v>
      </c>
      <c r="M492" s="11">
        <v>0</v>
      </c>
      <c r="N492" s="13">
        <v>0</v>
      </c>
      <c r="O492" s="11">
        <v>0</v>
      </c>
      <c r="P492" s="11">
        <v>0</v>
      </c>
      <c r="Q492" s="13">
        <f>K492+N492</f>
        <v>0</v>
      </c>
      <c r="R492" s="11">
        <f>L492+O492</f>
        <v>0</v>
      </c>
      <c r="S492" s="11">
        <f>M492+P492</f>
        <v>0</v>
      </c>
      <c r="T492" s="8">
        <f>I492-Q492</f>
        <v>0</v>
      </c>
      <c r="U492" s="18" t="s">
        <v>1803</v>
      </c>
      <c r="V492" s="11">
        <v>0</v>
      </c>
      <c r="W492" s="11">
        <v>0</v>
      </c>
      <c r="X492" s="11">
        <v>0</v>
      </c>
      <c r="Y492" s="11">
        <v>0</v>
      </c>
      <c r="Z492" t="s">
        <v>42</v>
      </c>
    </row>
    <row r="493" spans="1:26" x14ac:dyDescent="0.25">
      <c r="A493" s="20" t="s">
        <v>810</v>
      </c>
      <c r="B493" s="20" t="s">
        <v>60</v>
      </c>
      <c r="C493" s="20" t="s">
        <v>811</v>
      </c>
      <c r="D493" s="20" t="s">
        <v>216</v>
      </c>
      <c r="E493" s="13">
        <v>0</v>
      </c>
      <c r="F493" s="11">
        <v>0</v>
      </c>
      <c r="G493" s="13">
        <v>0</v>
      </c>
      <c r="H493" s="11">
        <v>0</v>
      </c>
      <c r="I493" s="13">
        <f>E493+G493</f>
        <v>0</v>
      </c>
      <c r="J493" s="11">
        <f>F493+H493</f>
        <v>0</v>
      </c>
      <c r="K493" s="13">
        <v>0</v>
      </c>
      <c r="L493" s="11">
        <v>0</v>
      </c>
      <c r="M493" s="11">
        <v>0</v>
      </c>
      <c r="N493" s="13">
        <v>0</v>
      </c>
      <c r="O493" s="11">
        <v>0</v>
      </c>
      <c r="P493" s="11">
        <v>0</v>
      </c>
      <c r="Q493" s="13">
        <f>K493+N493</f>
        <v>0</v>
      </c>
      <c r="R493" s="11">
        <f>L493+O493</f>
        <v>0</v>
      </c>
      <c r="S493" s="11">
        <f>M493+P493</f>
        <v>0</v>
      </c>
      <c r="T493" s="8">
        <f>I493-Q493</f>
        <v>0</v>
      </c>
      <c r="U493" s="18" t="s">
        <v>1803</v>
      </c>
      <c r="V493" s="11">
        <v>0</v>
      </c>
      <c r="W493" s="11">
        <v>0</v>
      </c>
      <c r="X493" s="11">
        <v>0</v>
      </c>
      <c r="Y493" s="11">
        <v>0</v>
      </c>
      <c r="Z493" t="s">
        <v>42</v>
      </c>
    </row>
    <row r="494" spans="1:26" x14ac:dyDescent="0.25">
      <c r="A494" s="20" t="s">
        <v>812</v>
      </c>
      <c r="B494" s="20" t="s">
        <v>60</v>
      </c>
      <c r="C494" s="20" t="s">
        <v>813</v>
      </c>
      <c r="D494" s="20" t="s">
        <v>216</v>
      </c>
      <c r="E494" s="13">
        <v>0</v>
      </c>
      <c r="F494" s="11">
        <v>0</v>
      </c>
      <c r="G494" s="13">
        <v>0</v>
      </c>
      <c r="H494" s="11">
        <v>0</v>
      </c>
      <c r="I494" s="13">
        <f>E494+G494</f>
        <v>0</v>
      </c>
      <c r="J494" s="11">
        <f>F494+H494</f>
        <v>0</v>
      </c>
      <c r="K494" s="13">
        <v>0</v>
      </c>
      <c r="L494" s="11">
        <v>0</v>
      </c>
      <c r="M494" s="11">
        <v>0</v>
      </c>
      <c r="N494" s="13">
        <v>0</v>
      </c>
      <c r="O494" s="11">
        <v>0</v>
      </c>
      <c r="P494" s="11">
        <v>0</v>
      </c>
      <c r="Q494" s="13">
        <f>K494+N494</f>
        <v>0</v>
      </c>
      <c r="R494" s="11">
        <f>L494+O494</f>
        <v>0</v>
      </c>
      <c r="S494" s="11">
        <f>M494+P494</f>
        <v>0</v>
      </c>
      <c r="T494" s="8">
        <f>I494-Q494</f>
        <v>0</v>
      </c>
      <c r="U494" s="18" t="s">
        <v>1803</v>
      </c>
      <c r="V494" s="11">
        <v>0</v>
      </c>
      <c r="W494" s="11">
        <v>0</v>
      </c>
      <c r="X494" s="11">
        <v>0</v>
      </c>
      <c r="Y494" s="11">
        <v>0</v>
      </c>
      <c r="Z494" t="s">
        <v>42</v>
      </c>
    </row>
    <row r="495" spans="1:26" x14ac:dyDescent="0.25">
      <c r="A495" s="20" t="s">
        <v>814</v>
      </c>
      <c r="B495" s="20" t="s">
        <v>814</v>
      </c>
      <c r="C495" s="20" t="s">
        <v>815</v>
      </c>
      <c r="D495" s="20" t="s">
        <v>216</v>
      </c>
      <c r="E495" s="13">
        <v>630.29</v>
      </c>
      <c r="F495" s="11">
        <v>0</v>
      </c>
      <c r="G495" s="13">
        <v>0</v>
      </c>
      <c r="H495" s="11">
        <v>0</v>
      </c>
      <c r="I495" s="13">
        <f>E495+G495</f>
        <v>630.29</v>
      </c>
      <c r="J495" s="11">
        <f>F495+H495</f>
        <v>0</v>
      </c>
      <c r="K495" s="13">
        <v>1349</v>
      </c>
      <c r="L495" s="11">
        <v>1</v>
      </c>
      <c r="M495" s="11">
        <v>1</v>
      </c>
      <c r="N495" s="13">
        <v>0</v>
      </c>
      <c r="O495" s="11">
        <v>0</v>
      </c>
      <c r="P495" s="11">
        <v>0</v>
      </c>
      <c r="Q495" s="13">
        <f>K495+N495</f>
        <v>1349</v>
      </c>
      <c r="R495" s="11">
        <f>L495+O495</f>
        <v>1</v>
      </c>
      <c r="S495" s="11">
        <f>M495+P495</f>
        <v>1</v>
      </c>
      <c r="T495" s="8">
        <f>I495-Q495</f>
        <v>-718.71</v>
      </c>
      <c r="U495" s="18">
        <v>-0.26188372808013832</v>
      </c>
      <c r="V495" s="11">
        <v>0</v>
      </c>
      <c r="W495" s="11">
        <v>0</v>
      </c>
      <c r="X495" s="11">
        <v>17</v>
      </c>
      <c r="Y495" s="11">
        <v>1</v>
      </c>
      <c r="Z495" t="s">
        <v>42</v>
      </c>
    </row>
    <row r="496" spans="1:26" x14ac:dyDescent="0.25">
      <c r="A496" s="20" t="s">
        <v>818</v>
      </c>
      <c r="B496" s="20" t="s">
        <v>60</v>
      </c>
      <c r="C496" s="20" t="s">
        <v>819</v>
      </c>
      <c r="D496" s="20" t="s">
        <v>216</v>
      </c>
      <c r="E496" s="13">
        <v>2885.63</v>
      </c>
      <c r="F496" s="11">
        <v>0</v>
      </c>
      <c r="G496" s="13">
        <v>0</v>
      </c>
      <c r="H496" s="11">
        <v>0</v>
      </c>
      <c r="I496" s="13">
        <f>E496+G496</f>
        <v>2885.63</v>
      </c>
      <c r="J496" s="11">
        <f>F496+H496</f>
        <v>0</v>
      </c>
      <c r="K496" s="13">
        <v>4477</v>
      </c>
      <c r="L496" s="11">
        <v>0</v>
      </c>
      <c r="M496" s="11">
        <v>0</v>
      </c>
      <c r="N496" s="13">
        <v>0</v>
      </c>
      <c r="O496" s="11">
        <v>0</v>
      </c>
      <c r="P496" s="11">
        <v>0</v>
      </c>
      <c r="Q496" s="13">
        <f>K496+N496</f>
        <v>4477</v>
      </c>
      <c r="R496" s="11">
        <f>L496+O496</f>
        <v>0</v>
      </c>
      <c r="S496" s="11">
        <f>M496+P496</f>
        <v>0</v>
      </c>
      <c r="T496" s="8">
        <f>I496-Q496</f>
        <v>-1591.37</v>
      </c>
      <c r="U496" s="18">
        <v>-0.39927121037550262</v>
      </c>
      <c r="V496" s="11">
        <v>0</v>
      </c>
      <c r="W496" s="11">
        <v>0</v>
      </c>
      <c r="X496" s="11">
        <v>0</v>
      </c>
      <c r="Y496" s="11">
        <v>0</v>
      </c>
      <c r="Z496" t="s">
        <v>42</v>
      </c>
    </row>
    <row r="497" spans="1:26" x14ac:dyDescent="0.25">
      <c r="A497" s="20" t="s">
        <v>820</v>
      </c>
      <c r="B497" s="20" t="s">
        <v>60</v>
      </c>
      <c r="C497" s="20" t="s">
        <v>821</v>
      </c>
      <c r="D497" s="20" t="s">
        <v>216</v>
      </c>
      <c r="E497" s="13">
        <v>0</v>
      </c>
      <c r="F497" s="11">
        <v>0</v>
      </c>
      <c r="G497" s="13">
        <v>0</v>
      </c>
      <c r="H497" s="11">
        <v>0</v>
      </c>
      <c r="I497" s="13">
        <f>E497+G497</f>
        <v>0</v>
      </c>
      <c r="J497" s="11">
        <f>F497+H497</f>
        <v>0</v>
      </c>
      <c r="K497" s="13">
        <v>0</v>
      </c>
      <c r="L497" s="11">
        <v>0</v>
      </c>
      <c r="M497" s="11">
        <v>0</v>
      </c>
      <c r="N497" s="13">
        <v>0</v>
      </c>
      <c r="O497" s="11">
        <v>0</v>
      </c>
      <c r="P497" s="11">
        <v>0</v>
      </c>
      <c r="Q497" s="13">
        <f>K497+N497</f>
        <v>0</v>
      </c>
      <c r="R497" s="11">
        <f>L497+O497</f>
        <v>0</v>
      </c>
      <c r="S497" s="11">
        <f>M497+P497</f>
        <v>0</v>
      </c>
      <c r="T497" s="8">
        <f>I497-Q497</f>
        <v>0</v>
      </c>
      <c r="U497" s="18">
        <v>-1.4357903450351808</v>
      </c>
      <c r="V497" s="11">
        <v>0</v>
      </c>
      <c r="W497" s="11">
        <v>0</v>
      </c>
      <c r="X497" s="11">
        <v>0</v>
      </c>
      <c r="Y497" s="11">
        <v>0</v>
      </c>
      <c r="Z497" t="s">
        <v>42</v>
      </c>
    </row>
    <row r="498" spans="1:26" x14ac:dyDescent="0.25">
      <c r="A498" s="20" t="s">
        <v>822</v>
      </c>
      <c r="B498" s="20" t="s">
        <v>60</v>
      </c>
      <c r="C498" s="20" t="s">
        <v>823</v>
      </c>
      <c r="D498" s="20" t="s">
        <v>216</v>
      </c>
      <c r="E498" s="13">
        <v>0</v>
      </c>
      <c r="F498" s="11">
        <v>0</v>
      </c>
      <c r="G498" s="13">
        <v>0</v>
      </c>
      <c r="H498" s="11">
        <v>0</v>
      </c>
      <c r="I498" s="13">
        <f>E498+G498</f>
        <v>0</v>
      </c>
      <c r="J498" s="11">
        <f>F498+H498</f>
        <v>0</v>
      </c>
      <c r="K498" s="13">
        <v>0</v>
      </c>
      <c r="L498" s="11">
        <v>0</v>
      </c>
      <c r="M498" s="11">
        <v>0</v>
      </c>
      <c r="N498" s="13">
        <v>0</v>
      </c>
      <c r="O498" s="11">
        <v>0</v>
      </c>
      <c r="P498" s="11">
        <v>0</v>
      </c>
      <c r="Q498" s="13">
        <f>K498+N498</f>
        <v>0</v>
      </c>
      <c r="R498" s="11">
        <f>L498+O498</f>
        <v>0</v>
      </c>
      <c r="S498" s="11">
        <f>M498+P498</f>
        <v>0</v>
      </c>
      <c r="T498" s="8">
        <f>I498-Q498</f>
        <v>0</v>
      </c>
      <c r="U498" s="18">
        <v>4.5604835701991711</v>
      </c>
      <c r="V498" s="11">
        <v>0</v>
      </c>
      <c r="W498" s="11">
        <v>0</v>
      </c>
      <c r="X498" s="11">
        <v>0</v>
      </c>
      <c r="Y498" s="11">
        <v>0</v>
      </c>
      <c r="Z498" t="s">
        <v>42</v>
      </c>
    </row>
    <row r="499" spans="1:26" x14ac:dyDescent="0.25">
      <c r="A499" s="20" t="s">
        <v>824</v>
      </c>
      <c r="B499" s="20" t="s">
        <v>60</v>
      </c>
      <c r="C499" s="20" t="s">
        <v>825</v>
      </c>
      <c r="D499" s="20" t="s">
        <v>216</v>
      </c>
      <c r="E499" s="13">
        <v>0</v>
      </c>
      <c r="F499" s="11">
        <v>0</v>
      </c>
      <c r="G499" s="13">
        <v>0</v>
      </c>
      <c r="H499" s="11">
        <v>0</v>
      </c>
      <c r="I499" s="13">
        <f>E499+G499</f>
        <v>0</v>
      </c>
      <c r="J499" s="11">
        <f>F499+H499</f>
        <v>0</v>
      </c>
      <c r="K499" s="13">
        <v>0</v>
      </c>
      <c r="L499" s="11">
        <v>0</v>
      </c>
      <c r="M499" s="11">
        <v>0</v>
      </c>
      <c r="N499" s="13">
        <v>0</v>
      </c>
      <c r="O499" s="11">
        <v>0</v>
      </c>
      <c r="P499" s="11">
        <v>0</v>
      </c>
      <c r="Q499" s="13">
        <f>K499+N499</f>
        <v>0</v>
      </c>
      <c r="R499" s="11">
        <f>L499+O499</f>
        <v>0</v>
      </c>
      <c r="S499" s="11">
        <f>M499+P499</f>
        <v>0</v>
      </c>
      <c r="T499" s="8">
        <f>I499-Q499</f>
        <v>0</v>
      </c>
      <c r="U499" s="18" t="s">
        <v>1803</v>
      </c>
      <c r="V499" s="11">
        <v>0</v>
      </c>
      <c r="W499" s="11">
        <v>0</v>
      </c>
      <c r="X499" s="11">
        <v>0</v>
      </c>
      <c r="Y499" s="11">
        <v>0</v>
      </c>
      <c r="Z499" t="s">
        <v>42</v>
      </c>
    </row>
    <row r="500" spans="1:26" x14ac:dyDescent="0.25">
      <c r="A500" s="20" t="s">
        <v>826</v>
      </c>
      <c r="B500" s="20" t="s">
        <v>60</v>
      </c>
      <c r="C500" s="20" t="s">
        <v>827</v>
      </c>
      <c r="D500" s="20" t="s">
        <v>216</v>
      </c>
      <c r="E500" s="13">
        <v>0</v>
      </c>
      <c r="F500" s="11">
        <v>0</v>
      </c>
      <c r="G500" s="13">
        <v>0</v>
      </c>
      <c r="H500" s="11">
        <v>0</v>
      </c>
      <c r="I500" s="13">
        <f>E500+G500</f>
        <v>0</v>
      </c>
      <c r="J500" s="11">
        <f>F500+H500</f>
        <v>0</v>
      </c>
      <c r="K500" s="13">
        <v>0</v>
      </c>
      <c r="L500" s="11">
        <v>0</v>
      </c>
      <c r="M500" s="11">
        <v>0</v>
      </c>
      <c r="N500" s="13">
        <v>0</v>
      </c>
      <c r="O500" s="11">
        <v>0</v>
      </c>
      <c r="P500" s="11">
        <v>0</v>
      </c>
      <c r="Q500" s="13">
        <f>K500+N500</f>
        <v>0</v>
      </c>
      <c r="R500" s="11">
        <f>L500+O500</f>
        <v>0</v>
      </c>
      <c r="S500" s="11">
        <f>M500+P500</f>
        <v>0</v>
      </c>
      <c r="T500" s="8">
        <f>I500-Q500</f>
        <v>0</v>
      </c>
      <c r="U500" s="18">
        <v>-1.3260002658513892</v>
      </c>
      <c r="V500" s="11">
        <v>0</v>
      </c>
      <c r="W500" s="11">
        <v>0</v>
      </c>
      <c r="X500" s="11">
        <v>0</v>
      </c>
      <c r="Y500" s="11">
        <v>0</v>
      </c>
      <c r="Z500" t="s">
        <v>42</v>
      </c>
    </row>
    <row r="501" spans="1:26" x14ac:dyDescent="0.25">
      <c r="A501" s="20" t="s">
        <v>828</v>
      </c>
      <c r="B501" s="20" t="s">
        <v>60</v>
      </c>
      <c r="C501" s="20" t="s">
        <v>829</v>
      </c>
      <c r="D501" s="20" t="s">
        <v>216</v>
      </c>
      <c r="E501" s="13">
        <v>0</v>
      </c>
      <c r="F501" s="11">
        <v>0</v>
      </c>
      <c r="G501" s="13">
        <v>0</v>
      </c>
      <c r="H501" s="11">
        <v>0</v>
      </c>
      <c r="I501" s="13">
        <f>E501+G501</f>
        <v>0</v>
      </c>
      <c r="J501" s="11">
        <f>F501+H501</f>
        <v>0</v>
      </c>
      <c r="K501" s="13">
        <v>0</v>
      </c>
      <c r="L501" s="11">
        <v>0</v>
      </c>
      <c r="M501" s="11">
        <v>0</v>
      </c>
      <c r="N501" s="13">
        <v>0</v>
      </c>
      <c r="O501" s="11">
        <v>0</v>
      </c>
      <c r="P501" s="11">
        <v>0</v>
      </c>
      <c r="Q501" s="13">
        <f>K501+N501</f>
        <v>0</v>
      </c>
      <c r="R501" s="11">
        <f>L501+O501</f>
        <v>0</v>
      </c>
      <c r="S501" s="11">
        <f>M501+P501</f>
        <v>0</v>
      </c>
      <c r="T501" s="8">
        <f>I501-Q501</f>
        <v>0</v>
      </c>
      <c r="U501" s="18" t="s">
        <v>1803</v>
      </c>
      <c r="V501" s="11">
        <v>0</v>
      </c>
      <c r="W501" s="11">
        <v>0</v>
      </c>
      <c r="X501" s="11">
        <v>0</v>
      </c>
      <c r="Y501" s="11">
        <v>0</v>
      </c>
      <c r="Z501" t="s">
        <v>42</v>
      </c>
    </row>
    <row r="502" spans="1:26" x14ac:dyDescent="0.25">
      <c r="A502" s="20" t="s">
        <v>830</v>
      </c>
      <c r="B502" s="20" t="s">
        <v>60</v>
      </c>
      <c r="C502" s="20" t="s">
        <v>831</v>
      </c>
      <c r="D502" s="20" t="s">
        <v>216</v>
      </c>
      <c r="E502" s="13">
        <v>0</v>
      </c>
      <c r="F502" s="11">
        <v>0</v>
      </c>
      <c r="G502" s="13">
        <v>0</v>
      </c>
      <c r="H502" s="11">
        <v>0</v>
      </c>
      <c r="I502" s="13">
        <f>E502+G502</f>
        <v>0</v>
      </c>
      <c r="J502" s="11">
        <f>F502+H502</f>
        <v>0</v>
      </c>
      <c r="K502" s="13">
        <v>0</v>
      </c>
      <c r="L502" s="11">
        <v>0</v>
      </c>
      <c r="M502" s="11">
        <v>0</v>
      </c>
      <c r="N502" s="13">
        <v>0</v>
      </c>
      <c r="O502" s="11">
        <v>0</v>
      </c>
      <c r="P502" s="11">
        <v>0</v>
      </c>
      <c r="Q502" s="13">
        <f>K502+N502</f>
        <v>0</v>
      </c>
      <c r="R502" s="11">
        <f>L502+O502</f>
        <v>0</v>
      </c>
      <c r="S502" s="11">
        <f>M502+P502</f>
        <v>0</v>
      </c>
      <c r="T502" s="8">
        <f>I502-Q502</f>
        <v>0</v>
      </c>
      <c r="U502" s="18" t="s">
        <v>1803</v>
      </c>
      <c r="V502" s="11">
        <v>0</v>
      </c>
      <c r="W502" s="11">
        <v>0</v>
      </c>
      <c r="X502" s="11">
        <v>0</v>
      </c>
      <c r="Y502" s="11">
        <v>0</v>
      </c>
      <c r="Z502" t="s">
        <v>42</v>
      </c>
    </row>
    <row r="503" spans="1:26" x14ac:dyDescent="0.25">
      <c r="A503" s="20" t="s">
        <v>832</v>
      </c>
      <c r="B503" s="20" t="s">
        <v>60</v>
      </c>
      <c r="C503" s="20" t="s">
        <v>833</v>
      </c>
      <c r="D503" s="20" t="s">
        <v>216</v>
      </c>
      <c r="E503" s="13">
        <v>0</v>
      </c>
      <c r="F503" s="11">
        <v>0</v>
      </c>
      <c r="G503" s="13">
        <v>0</v>
      </c>
      <c r="H503" s="11">
        <v>0</v>
      </c>
      <c r="I503" s="13">
        <f>E503+G503</f>
        <v>0</v>
      </c>
      <c r="J503" s="11">
        <f>F503+H503</f>
        <v>0</v>
      </c>
      <c r="K503" s="13">
        <v>0</v>
      </c>
      <c r="L503" s="11">
        <v>0</v>
      </c>
      <c r="M503" s="11">
        <v>0</v>
      </c>
      <c r="N503" s="13">
        <v>0</v>
      </c>
      <c r="O503" s="11">
        <v>0</v>
      </c>
      <c r="P503" s="11">
        <v>0</v>
      </c>
      <c r="Q503" s="13">
        <f>K503+N503</f>
        <v>0</v>
      </c>
      <c r="R503" s="11">
        <f>L503+O503</f>
        <v>0</v>
      </c>
      <c r="S503" s="11">
        <f>M503+P503</f>
        <v>0</v>
      </c>
      <c r="T503" s="8">
        <f>I503-Q503</f>
        <v>0</v>
      </c>
      <c r="U503" s="18">
        <v>-4.757990427548104</v>
      </c>
      <c r="V503" s="11">
        <v>0</v>
      </c>
      <c r="W503" s="11">
        <v>0</v>
      </c>
      <c r="X503" s="11">
        <v>0</v>
      </c>
      <c r="Y503" s="11">
        <v>0</v>
      </c>
      <c r="Z503" t="s">
        <v>42</v>
      </c>
    </row>
    <row r="504" spans="1:26" x14ac:dyDescent="0.25">
      <c r="A504" s="20" t="s">
        <v>834</v>
      </c>
      <c r="B504" s="20" t="s">
        <v>60</v>
      </c>
      <c r="C504" s="20" t="s">
        <v>835</v>
      </c>
      <c r="D504" s="20" t="s">
        <v>216</v>
      </c>
      <c r="E504" s="13">
        <v>36160</v>
      </c>
      <c r="F504" s="11">
        <v>0</v>
      </c>
      <c r="G504" s="13">
        <v>0</v>
      </c>
      <c r="H504" s="11">
        <v>0</v>
      </c>
      <c r="I504" s="13">
        <f>E504+G504</f>
        <v>36160</v>
      </c>
      <c r="J504" s="11">
        <f>F504+H504</f>
        <v>0</v>
      </c>
      <c r="K504" s="13">
        <v>34559</v>
      </c>
      <c r="L504" s="11">
        <v>0</v>
      </c>
      <c r="M504" s="11">
        <v>0</v>
      </c>
      <c r="N504" s="13">
        <v>0</v>
      </c>
      <c r="O504" s="11">
        <v>0</v>
      </c>
      <c r="P504" s="11">
        <v>1</v>
      </c>
      <c r="Q504" s="13">
        <f>K504+N504</f>
        <v>34559</v>
      </c>
      <c r="R504" s="11">
        <f>L504+O504</f>
        <v>0</v>
      </c>
      <c r="S504" s="11">
        <f>M504+P504</f>
        <v>1</v>
      </c>
      <c r="T504" s="8">
        <f>I504-Q504</f>
        <v>1601</v>
      </c>
      <c r="U504" s="18">
        <v>-0.43365132144472224</v>
      </c>
      <c r="V504" s="11">
        <v>0.17</v>
      </c>
      <c r="W504" s="11">
        <v>1</v>
      </c>
      <c r="X504" s="11">
        <v>5</v>
      </c>
      <c r="Y504" s="11">
        <v>0</v>
      </c>
      <c r="Z504" t="s">
        <v>42</v>
      </c>
    </row>
    <row r="505" spans="1:26" x14ac:dyDescent="0.25">
      <c r="A505" s="20" t="s">
        <v>836</v>
      </c>
      <c r="B505" s="20" t="s">
        <v>77</v>
      </c>
      <c r="C505" s="20" t="s">
        <v>837</v>
      </c>
      <c r="D505" s="20" t="s">
        <v>216</v>
      </c>
      <c r="E505" s="13">
        <v>7920.57</v>
      </c>
      <c r="F505" s="11">
        <v>2</v>
      </c>
      <c r="G505" s="13">
        <v>0</v>
      </c>
      <c r="H505" s="11">
        <v>0</v>
      </c>
      <c r="I505" s="13">
        <f>E505+G505</f>
        <v>7920.57</v>
      </c>
      <c r="J505" s="11">
        <f>F505+H505</f>
        <v>2</v>
      </c>
      <c r="K505" s="13">
        <v>0</v>
      </c>
      <c r="L505" s="11">
        <v>0</v>
      </c>
      <c r="M505" s="11">
        <v>3</v>
      </c>
      <c r="N505" s="13">
        <v>0</v>
      </c>
      <c r="O505" s="11">
        <v>0</v>
      </c>
      <c r="P505" s="11">
        <v>1</v>
      </c>
      <c r="Q505" s="13">
        <f>K505+N505</f>
        <v>0</v>
      </c>
      <c r="R505" s="11">
        <f>L505+O505</f>
        <v>0</v>
      </c>
      <c r="S505" s="11">
        <f>M505+P505</f>
        <v>4</v>
      </c>
      <c r="T505" s="8">
        <f>I505-Q505</f>
        <v>7920.57</v>
      </c>
      <c r="U505" s="18">
        <v>-2.9829466150784831E-3</v>
      </c>
      <c r="V505" s="11">
        <v>0.4</v>
      </c>
      <c r="W505" s="11">
        <v>6</v>
      </c>
      <c r="X505" s="11">
        <v>9</v>
      </c>
      <c r="Y505" s="11">
        <v>0</v>
      </c>
      <c r="Z505" t="s">
        <v>42</v>
      </c>
    </row>
    <row r="506" spans="1:26" x14ac:dyDescent="0.25">
      <c r="A506" s="20" t="s">
        <v>839</v>
      </c>
      <c r="B506" s="20" t="s">
        <v>60</v>
      </c>
      <c r="C506" s="20" t="s">
        <v>840</v>
      </c>
      <c r="D506" s="20" t="s">
        <v>216</v>
      </c>
      <c r="E506" s="13">
        <v>0</v>
      </c>
      <c r="F506" s="11">
        <v>0</v>
      </c>
      <c r="G506" s="13">
        <v>4187.5200000000004</v>
      </c>
      <c r="H506" s="11">
        <v>0</v>
      </c>
      <c r="I506" s="13">
        <f>E506+G506</f>
        <v>4187.5200000000004</v>
      </c>
      <c r="J506" s="11">
        <f>F506+H506</f>
        <v>0</v>
      </c>
      <c r="K506" s="13">
        <v>0</v>
      </c>
      <c r="L506" s="11">
        <v>0</v>
      </c>
      <c r="M506" s="11">
        <v>0</v>
      </c>
      <c r="N506" s="13">
        <v>11404.5</v>
      </c>
      <c r="O506" s="11">
        <v>1</v>
      </c>
      <c r="P506" s="11">
        <v>1</v>
      </c>
      <c r="Q506" s="13">
        <f>K506+N506</f>
        <v>11404.5</v>
      </c>
      <c r="R506" s="11">
        <f>L506+O506</f>
        <v>1</v>
      </c>
      <c r="S506" s="11">
        <f>M506+P506</f>
        <v>1</v>
      </c>
      <c r="T506" s="8">
        <f>I506-Q506</f>
        <v>-7216.98</v>
      </c>
      <c r="U506" s="18">
        <v>0.15054174923143965</v>
      </c>
      <c r="V506" s="11">
        <v>0</v>
      </c>
      <c r="W506" s="11">
        <v>0</v>
      </c>
      <c r="X506" s="11">
        <v>1</v>
      </c>
      <c r="Y506" s="11">
        <v>0</v>
      </c>
      <c r="Z506" t="s">
        <v>42</v>
      </c>
    </row>
    <row r="507" spans="1:26" x14ac:dyDescent="0.25">
      <c r="A507" s="20" t="s">
        <v>1790</v>
      </c>
      <c r="B507" s="20" t="s">
        <v>60</v>
      </c>
      <c r="C507" s="20" t="s">
        <v>1808</v>
      </c>
      <c r="D507" s="20" t="s">
        <v>216</v>
      </c>
      <c r="E507" s="13">
        <v>0</v>
      </c>
      <c r="F507" s="11">
        <v>0</v>
      </c>
      <c r="G507" s="13">
        <v>0</v>
      </c>
      <c r="H507" s="11">
        <v>0</v>
      </c>
      <c r="I507" s="13">
        <f>E507+G507</f>
        <v>0</v>
      </c>
      <c r="J507" s="11">
        <f>F507+H507</f>
        <v>0</v>
      </c>
      <c r="K507" s="13">
        <v>0</v>
      </c>
      <c r="L507" s="11">
        <v>0</v>
      </c>
      <c r="M507" s="11">
        <v>0</v>
      </c>
      <c r="N507" s="13">
        <v>0</v>
      </c>
      <c r="O507" s="11">
        <v>0</v>
      </c>
      <c r="P507" s="11">
        <v>0</v>
      </c>
      <c r="Q507" s="13">
        <f>K507+N507</f>
        <v>0</v>
      </c>
      <c r="R507" s="11">
        <f>L507+O507</f>
        <v>0</v>
      </c>
      <c r="S507" s="11">
        <f>M507+P507</f>
        <v>0</v>
      </c>
      <c r="T507" s="8">
        <f>I507-Q507</f>
        <v>0</v>
      </c>
      <c r="U507" s="18">
        <v>4.3038096299322766E-2</v>
      </c>
      <c r="V507" s="11">
        <v>0</v>
      </c>
      <c r="W507" s="11">
        <v>0</v>
      </c>
      <c r="X507" s="11">
        <v>0</v>
      </c>
      <c r="Y507" s="11">
        <v>0</v>
      </c>
      <c r="Z507" t="s">
        <v>42</v>
      </c>
    </row>
    <row r="508" spans="1:26" x14ac:dyDescent="0.25">
      <c r="A508" s="20" t="s">
        <v>842</v>
      </c>
      <c r="B508" s="20" t="s">
        <v>60</v>
      </c>
      <c r="C508" s="20" t="s">
        <v>843</v>
      </c>
      <c r="D508" s="20" t="s">
        <v>216</v>
      </c>
      <c r="E508" s="13">
        <v>0</v>
      </c>
      <c r="F508" s="11">
        <v>0</v>
      </c>
      <c r="G508" s="13">
        <v>0</v>
      </c>
      <c r="H508" s="11">
        <v>0</v>
      </c>
      <c r="I508" s="13">
        <f>E508+G508</f>
        <v>0</v>
      </c>
      <c r="J508" s="11">
        <f>F508+H508</f>
        <v>0</v>
      </c>
      <c r="K508" s="13">
        <v>0</v>
      </c>
      <c r="L508" s="11">
        <v>0</v>
      </c>
      <c r="M508" s="11">
        <v>0</v>
      </c>
      <c r="N508" s="13">
        <v>0</v>
      </c>
      <c r="O508" s="11">
        <v>0</v>
      </c>
      <c r="P508" s="11">
        <v>0</v>
      </c>
      <c r="Q508" s="13">
        <f>K508+N508</f>
        <v>0</v>
      </c>
      <c r="R508" s="11">
        <f>L508+O508</f>
        <v>0</v>
      </c>
      <c r="S508" s="11">
        <f>M508+P508</f>
        <v>0</v>
      </c>
      <c r="T508" s="8">
        <f>I508-Q508</f>
        <v>0</v>
      </c>
      <c r="U508" s="18">
        <v>1.5134975521489338</v>
      </c>
      <c r="V508" s="11">
        <v>0</v>
      </c>
      <c r="W508" s="11">
        <v>0</v>
      </c>
      <c r="X508" s="11">
        <v>1</v>
      </c>
      <c r="Y508" s="11">
        <v>0</v>
      </c>
      <c r="Z508" t="s">
        <v>42</v>
      </c>
    </row>
    <row r="509" spans="1:26" x14ac:dyDescent="0.25">
      <c r="A509" s="20" t="s">
        <v>3034</v>
      </c>
      <c r="B509" s="20" t="s">
        <v>3034</v>
      </c>
      <c r="C509" s="20" t="s">
        <v>817</v>
      </c>
      <c r="D509" s="20" t="s">
        <v>216</v>
      </c>
      <c r="E509" s="13">
        <v>0</v>
      </c>
      <c r="F509" s="11">
        <v>0</v>
      </c>
      <c r="G509" s="13">
        <v>0</v>
      </c>
      <c r="H509" s="11">
        <v>0</v>
      </c>
      <c r="I509" s="13">
        <f>E509+G509</f>
        <v>0</v>
      </c>
      <c r="J509" s="11">
        <f>F509+H509</f>
        <v>0</v>
      </c>
      <c r="K509" s="13">
        <v>0</v>
      </c>
      <c r="L509" s="11">
        <v>0</v>
      </c>
      <c r="M509" s="11">
        <v>0</v>
      </c>
      <c r="N509" s="13">
        <v>0</v>
      </c>
      <c r="O509" s="11">
        <v>0</v>
      </c>
      <c r="P509" s="11">
        <v>0</v>
      </c>
      <c r="Q509" s="13">
        <f>K509+N509</f>
        <v>0</v>
      </c>
      <c r="R509" s="11">
        <f>L509+O509</f>
        <v>0</v>
      </c>
      <c r="S509" s="11">
        <f>M509+P509</f>
        <v>0</v>
      </c>
      <c r="T509" s="8">
        <f>I509-Q509</f>
        <v>0</v>
      </c>
      <c r="U509" s="18">
        <v>-1.0953456056428064</v>
      </c>
      <c r="V509" s="11">
        <v>0</v>
      </c>
      <c r="W509" s="11">
        <v>0</v>
      </c>
      <c r="X509" s="11">
        <v>0</v>
      </c>
      <c r="Y509" s="11">
        <v>0</v>
      </c>
      <c r="Z509" t="s">
        <v>42</v>
      </c>
    </row>
    <row r="510" spans="1:26" x14ac:dyDescent="0.25">
      <c r="A510" s="20" t="s">
        <v>3035</v>
      </c>
      <c r="B510" s="20" t="s">
        <v>60</v>
      </c>
      <c r="C510" s="20" t="s">
        <v>3036</v>
      </c>
      <c r="D510" s="20" t="s">
        <v>216</v>
      </c>
      <c r="E510" s="13">
        <v>0</v>
      </c>
      <c r="F510" s="11">
        <v>0</v>
      </c>
      <c r="G510" s="13">
        <v>31552</v>
      </c>
      <c r="H510" s="11">
        <v>0</v>
      </c>
      <c r="I510" s="13">
        <f>E510+G510</f>
        <v>31552</v>
      </c>
      <c r="J510" s="11">
        <f>F510+H510</f>
        <v>0</v>
      </c>
      <c r="K510" s="13">
        <v>0</v>
      </c>
      <c r="L510" s="11">
        <v>0</v>
      </c>
      <c r="M510" s="11">
        <v>0</v>
      </c>
      <c r="N510" s="13">
        <v>28672</v>
      </c>
      <c r="O510" s="11">
        <v>0</v>
      </c>
      <c r="P510" s="11">
        <v>0</v>
      </c>
      <c r="Q510" s="13">
        <f>K510+N510</f>
        <v>28672</v>
      </c>
      <c r="R510" s="11">
        <f>L510+O510</f>
        <v>0</v>
      </c>
      <c r="S510" s="11">
        <f>M510+P510</f>
        <v>0</v>
      </c>
      <c r="T510" s="8">
        <f>I510-Q510</f>
        <v>2880</v>
      </c>
      <c r="U510" s="18">
        <v>9.7795452755801399E-2</v>
      </c>
      <c r="V510" s="11">
        <v>0</v>
      </c>
      <c r="W510" s="11">
        <v>0</v>
      </c>
      <c r="X510" s="11">
        <v>0</v>
      </c>
      <c r="Y510" s="11">
        <v>0</v>
      </c>
      <c r="Z510" t="s">
        <v>42</v>
      </c>
    </row>
    <row r="511" spans="1:26" x14ac:dyDescent="0.25">
      <c r="A511" s="20" t="s">
        <v>3073</v>
      </c>
      <c r="B511" s="20" t="s">
        <v>60</v>
      </c>
      <c r="C511" s="20" t="s">
        <v>3074</v>
      </c>
      <c r="D511" s="20" t="s">
        <v>216</v>
      </c>
      <c r="E511" s="13">
        <v>0</v>
      </c>
      <c r="F511" s="11">
        <v>0</v>
      </c>
      <c r="G511" s="13">
        <v>0</v>
      </c>
      <c r="H511" s="11">
        <v>0</v>
      </c>
      <c r="I511" s="13">
        <f>E511+G511</f>
        <v>0</v>
      </c>
      <c r="J511" s="11">
        <f>F511+H511</f>
        <v>0</v>
      </c>
      <c r="K511" s="13">
        <v>6858</v>
      </c>
      <c r="L511" s="11">
        <v>0</v>
      </c>
      <c r="M511" s="11">
        <v>0</v>
      </c>
      <c r="N511" s="13">
        <v>6527.75</v>
      </c>
      <c r="O511" s="11">
        <v>1</v>
      </c>
      <c r="P511" s="11">
        <v>1</v>
      </c>
      <c r="Q511" s="13">
        <f>K511+N511</f>
        <v>13385.75</v>
      </c>
      <c r="R511" s="11">
        <f>L511+O511</f>
        <v>1</v>
      </c>
      <c r="S511" s="11">
        <f>M511+P511</f>
        <v>1</v>
      </c>
      <c r="T511" s="8">
        <f>I511-Q511</f>
        <v>-13385.75</v>
      </c>
      <c r="U511" s="18">
        <v>0.13181811891756251</v>
      </c>
      <c r="V511" s="11">
        <v>0</v>
      </c>
      <c r="W511" s="11">
        <v>0</v>
      </c>
      <c r="X511" s="11">
        <v>0</v>
      </c>
      <c r="Y511" s="11">
        <v>0</v>
      </c>
      <c r="Z511" t="s">
        <v>42</v>
      </c>
    </row>
    <row r="512" spans="1:26" x14ac:dyDescent="0.25">
      <c r="A512" s="20" t="s">
        <v>3130</v>
      </c>
      <c r="B512" s="20" t="s">
        <v>60</v>
      </c>
      <c r="C512" s="20" t="s">
        <v>3131</v>
      </c>
      <c r="D512" s="20" t="s">
        <v>216</v>
      </c>
      <c r="E512" s="13">
        <v>0</v>
      </c>
      <c r="F512" s="11">
        <v>0</v>
      </c>
      <c r="G512" s="13">
        <v>0</v>
      </c>
      <c r="H512" s="11">
        <v>0</v>
      </c>
      <c r="I512" s="13">
        <f>E512+G512</f>
        <v>0</v>
      </c>
      <c r="J512" s="11">
        <f>F512+H512</f>
        <v>0</v>
      </c>
      <c r="K512" s="13">
        <v>0</v>
      </c>
      <c r="L512" s="11">
        <v>0</v>
      </c>
      <c r="M512" s="11">
        <v>0</v>
      </c>
      <c r="N512" s="13">
        <v>0</v>
      </c>
      <c r="O512" s="11">
        <v>0</v>
      </c>
      <c r="P512" s="11">
        <v>0</v>
      </c>
      <c r="Q512" s="13">
        <f>K512+N512</f>
        <v>0</v>
      </c>
      <c r="R512" s="11">
        <f>L512+O512</f>
        <v>0</v>
      </c>
      <c r="S512" s="11">
        <f>M512+P512</f>
        <v>0</v>
      </c>
      <c r="T512" s="8">
        <f>I512-Q512</f>
        <v>0</v>
      </c>
      <c r="U512" s="18">
        <v>0.11219113692664921</v>
      </c>
      <c r="V512" s="11">
        <v>0</v>
      </c>
      <c r="W512" s="11">
        <v>0</v>
      </c>
      <c r="X512" s="11">
        <v>1</v>
      </c>
      <c r="Y512" s="11">
        <v>0</v>
      </c>
      <c r="Z512" t="s">
        <v>42</v>
      </c>
    </row>
    <row r="513" spans="1:26" x14ac:dyDescent="0.25">
      <c r="A513" s="20" t="s">
        <v>3140</v>
      </c>
      <c r="B513" s="20" t="s">
        <v>60</v>
      </c>
      <c r="C513" s="20" t="s">
        <v>3141</v>
      </c>
      <c r="D513" s="20" t="s">
        <v>216</v>
      </c>
      <c r="E513" s="13">
        <v>0</v>
      </c>
      <c r="F513" s="11">
        <v>0</v>
      </c>
      <c r="G513" s="13">
        <v>0</v>
      </c>
      <c r="H513" s="11">
        <v>0</v>
      </c>
      <c r="I513" s="13">
        <f>E513+G513</f>
        <v>0</v>
      </c>
      <c r="J513" s="11">
        <f>F513+H513</f>
        <v>0</v>
      </c>
      <c r="K513" s="13">
        <v>0</v>
      </c>
      <c r="L513" s="11">
        <v>0</v>
      </c>
      <c r="M513" s="11">
        <v>0</v>
      </c>
      <c r="N513" s="13">
        <v>0</v>
      </c>
      <c r="O513" s="11">
        <v>0</v>
      </c>
      <c r="P513" s="11">
        <v>0</v>
      </c>
      <c r="Q513" s="13">
        <f>K513+N513</f>
        <v>0</v>
      </c>
      <c r="R513" s="11">
        <f>L513+O513</f>
        <v>0</v>
      </c>
      <c r="S513" s="11">
        <f>M513+P513</f>
        <v>0</v>
      </c>
      <c r="T513" s="8">
        <f>I513-Q513</f>
        <v>0</v>
      </c>
      <c r="U513" s="18" t="s">
        <v>1803</v>
      </c>
      <c r="V513" s="11">
        <v>0</v>
      </c>
      <c r="W513" s="11">
        <v>0</v>
      </c>
      <c r="X513" s="11">
        <v>0</v>
      </c>
      <c r="Y513" s="11">
        <v>0</v>
      </c>
      <c r="Z513" t="s">
        <v>42</v>
      </c>
    </row>
    <row r="514" spans="1:26" x14ac:dyDescent="0.25">
      <c r="A514" s="20" t="s">
        <v>3196</v>
      </c>
      <c r="B514" s="20" t="s">
        <v>83</v>
      </c>
      <c r="C514" s="20" t="s">
        <v>266</v>
      </c>
      <c r="D514" s="20" t="s">
        <v>216</v>
      </c>
      <c r="E514" s="13">
        <v>0</v>
      </c>
      <c r="F514" s="11">
        <v>0</v>
      </c>
      <c r="G514" s="13">
        <v>-472.39</v>
      </c>
      <c r="H514" s="11">
        <v>0</v>
      </c>
      <c r="I514" s="13">
        <f>E514+G514</f>
        <v>-472.39</v>
      </c>
      <c r="J514" s="11">
        <f>F514+H514</f>
        <v>0</v>
      </c>
      <c r="K514" s="13">
        <v>0</v>
      </c>
      <c r="L514" s="11">
        <v>0</v>
      </c>
      <c r="M514" s="11">
        <v>0</v>
      </c>
      <c r="N514" s="13">
        <v>0</v>
      </c>
      <c r="O514" s="11">
        <v>0</v>
      </c>
      <c r="P514" s="11">
        <v>0</v>
      </c>
      <c r="Q514" s="13">
        <f>K514+N514</f>
        <v>0</v>
      </c>
      <c r="R514" s="11">
        <f>L514+O514</f>
        <v>0</v>
      </c>
      <c r="S514" s="11">
        <f>M514+P514</f>
        <v>0</v>
      </c>
      <c r="T514" s="8">
        <f>I514-Q514</f>
        <v>-472.39</v>
      </c>
      <c r="U514" s="18">
        <v>1.7199291758351477E-2</v>
      </c>
      <c r="V514" s="11">
        <v>0</v>
      </c>
      <c r="W514" s="11">
        <v>0</v>
      </c>
      <c r="X514" s="11">
        <v>0</v>
      </c>
      <c r="Y514" s="11">
        <v>0</v>
      </c>
      <c r="Z514" t="s">
        <v>42</v>
      </c>
    </row>
    <row r="515" spans="1:26" x14ac:dyDescent="0.25">
      <c r="A515" s="20" t="s">
        <v>3215</v>
      </c>
      <c r="B515" s="20" t="s">
        <v>60</v>
      </c>
      <c r="C515" s="20" t="s">
        <v>3216</v>
      </c>
      <c r="D515" s="20" t="s">
        <v>216</v>
      </c>
      <c r="E515" s="13">
        <v>0</v>
      </c>
      <c r="F515" s="11">
        <v>0</v>
      </c>
      <c r="G515" s="13">
        <v>0</v>
      </c>
      <c r="H515" s="11">
        <v>0</v>
      </c>
      <c r="I515" s="13">
        <f>E515+G515</f>
        <v>0</v>
      </c>
      <c r="J515" s="11">
        <f>F515+H515</f>
        <v>0</v>
      </c>
      <c r="K515" s="13">
        <v>0</v>
      </c>
      <c r="L515" s="11">
        <v>0</v>
      </c>
      <c r="M515" s="11">
        <v>0</v>
      </c>
      <c r="N515" s="13">
        <v>0</v>
      </c>
      <c r="O515" s="11">
        <v>0</v>
      </c>
      <c r="P515" s="11">
        <v>0</v>
      </c>
      <c r="Q515" s="13">
        <f>K515+N515</f>
        <v>0</v>
      </c>
      <c r="R515" s="11">
        <f>L515+O515</f>
        <v>0</v>
      </c>
      <c r="S515" s="11">
        <f>M515+P515</f>
        <v>0</v>
      </c>
      <c r="T515" s="8">
        <f>I515-Q515</f>
        <v>0</v>
      </c>
      <c r="U515" s="18" t="s">
        <v>1803</v>
      </c>
      <c r="V515" s="11">
        <v>0</v>
      </c>
      <c r="W515" s="11">
        <v>0</v>
      </c>
      <c r="X515" s="11">
        <v>0</v>
      </c>
      <c r="Y515" s="11">
        <v>0</v>
      </c>
      <c r="Z515" t="s">
        <v>42</v>
      </c>
    </row>
    <row r="516" spans="1:26" x14ac:dyDescent="0.25">
      <c r="A516" s="20" t="s">
        <v>3218</v>
      </c>
      <c r="B516" s="20" t="s">
        <v>295</v>
      </c>
      <c r="C516" s="20" t="s">
        <v>3219</v>
      </c>
      <c r="D516" s="20" t="s">
        <v>216</v>
      </c>
      <c r="E516" s="13">
        <v>0</v>
      </c>
      <c r="F516" s="11">
        <v>0</v>
      </c>
      <c r="G516" s="13">
        <v>0</v>
      </c>
      <c r="H516" s="11">
        <v>0</v>
      </c>
      <c r="I516" s="13">
        <f>E516+G516</f>
        <v>0</v>
      </c>
      <c r="J516" s="11">
        <f>F516+H516</f>
        <v>0</v>
      </c>
      <c r="K516" s="13">
        <v>0</v>
      </c>
      <c r="L516" s="11">
        <v>0</v>
      </c>
      <c r="M516" s="11">
        <v>0</v>
      </c>
      <c r="N516" s="13">
        <v>0</v>
      </c>
      <c r="O516" s="11">
        <v>0</v>
      </c>
      <c r="P516" s="11">
        <v>0</v>
      </c>
      <c r="Q516" s="13">
        <f>K516+N516</f>
        <v>0</v>
      </c>
      <c r="R516" s="11">
        <f>L516+O516</f>
        <v>0</v>
      </c>
      <c r="S516" s="11">
        <f>M516+P516</f>
        <v>0</v>
      </c>
      <c r="T516" s="8">
        <f>I516-Q516</f>
        <v>0</v>
      </c>
      <c r="U516" s="18" t="s">
        <v>1803</v>
      </c>
      <c r="V516" s="11">
        <v>0</v>
      </c>
      <c r="W516" s="11">
        <v>0</v>
      </c>
      <c r="X516" s="11">
        <v>0</v>
      </c>
      <c r="Y516" s="11">
        <v>0</v>
      </c>
      <c r="Z516" t="s">
        <v>42</v>
      </c>
    </row>
    <row r="517" spans="1:26" x14ac:dyDescent="0.25">
      <c r="A517" s="20" t="s">
        <v>3235</v>
      </c>
      <c r="B517" s="20" t="s">
        <v>60</v>
      </c>
      <c r="C517" s="20" t="s">
        <v>3236</v>
      </c>
      <c r="D517" s="20" t="s">
        <v>216</v>
      </c>
      <c r="E517" s="13">
        <v>0</v>
      </c>
      <c r="F517" s="11">
        <v>0</v>
      </c>
      <c r="G517" s="13">
        <v>500.25</v>
      </c>
      <c r="H517" s="11">
        <v>1</v>
      </c>
      <c r="I517" s="13">
        <f>E517+G517</f>
        <v>500.25</v>
      </c>
      <c r="J517" s="11">
        <f>F517+H517</f>
        <v>1</v>
      </c>
      <c r="K517" s="13">
        <v>785.16</v>
      </c>
      <c r="L517" s="11">
        <v>0</v>
      </c>
      <c r="M517" s="11">
        <v>1</v>
      </c>
      <c r="N517" s="13">
        <v>0</v>
      </c>
      <c r="O517" s="11">
        <v>0</v>
      </c>
      <c r="P517" s="11">
        <v>1</v>
      </c>
      <c r="Q517" s="13">
        <f>K517+N517</f>
        <v>785.16</v>
      </c>
      <c r="R517" s="11">
        <f>L517+O517</f>
        <v>0</v>
      </c>
      <c r="S517" s="11">
        <f>M517+P517</f>
        <v>2</v>
      </c>
      <c r="T517" s="8">
        <f>I517-Q517</f>
        <v>-284.90999999999997</v>
      </c>
      <c r="U517" s="18">
        <v>5.7661315481507746E-3</v>
      </c>
      <c r="V517" s="11">
        <v>0.43</v>
      </c>
      <c r="W517" s="11">
        <v>3</v>
      </c>
      <c r="X517" s="11">
        <v>4</v>
      </c>
      <c r="Y517" s="11">
        <v>0</v>
      </c>
      <c r="Z517" t="s">
        <v>42</v>
      </c>
    </row>
    <row r="518" spans="1:26" x14ac:dyDescent="0.25">
      <c r="A518" s="20" t="s">
        <v>3304</v>
      </c>
      <c r="B518" s="20" t="s">
        <v>3304</v>
      </c>
      <c r="C518" s="20" t="s">
        <v>3305</v>
      </c>
      <c r="D518" s="20" t="s">
        <v>216</v>
      </c>
      <c r="E518" s="13">
        <v>0</v>
      </c>
      <c r="F518" s="11">
        <v>0</v>
      </c>
      <c r="G518" s="13">
        <v>78310</v>
      </c>
      <c r="H518" s="11">
        <v>1</v>
      </c>
      <c r="I518" s="13">
        <f>E518+G518</f>
        <v>78310</v>
      </c>
      <c r="J518" s="11">
        <f>F518+H518</f>
        <v>1</v>
      </c>
      <c r="K518" s="13">
        <v>9316</v>
      </c>
      <c r="L518" s="11">
        <v>0</v>
      </c>
      <c r="M518" s="11">
        <v>0</v>
      </c>
      <c r="N518" s="13">
        <v>78730.17</v>
      </c>
      <c r="O518" s="11">
        <v>0</v>
      </c>
      <c r="P518" s="11">
        <v>4</v>
      </c>
      <c r="Q518" s="13">
        <f>K518+N518</f>
        <v>88046.17</v>
      </c>
      <c r="R518" s="11">
        <f>L518+O518</f>
        <v>0</v>
      </c>
      <c r="S518" s="11">
        <f>M518+P518</f>
        <v>4</v>
      </c>
      <c r="T518" s="8">
        <f>I518-Q518</f>
        <v>-9736.1699999999983</v>
      </c>
      <c r="U518" s="18">
        <v>0.19088339396149334</v>
      </c>
      <c r="V518" s="11">
        <v>0.31</v>
      </c>
      <c r="W518" s="11">
        <v>5</v>
      </c>
      <c r="X518" s="11">
        <v>11</v>
      </c>
      <c r="Y518" s="11">
        <v>0</v>
      </c>
      <c r="Z518" t="s">
        <v>42</v>
      </c>
    </row>
    <row r="519" spans="1:26" x14ac:dyDescent="0.25">
      <c r="A519" s="20" t="s">
        <v>3353</v>
      </c>
      <c r="B519" s="20" t="s">
        <v>60</v>
      </c>
      <c r="C519" s="20" t="s">
        <v>3354</v>
      </c>
      <c r="D519" s="20" t="s">
        <v>216</v>
      </c>
      <c r="E519" s="13">
        <v>0</v>
      </c>
      <c r="F519" s="11">
        <v>0</v>
      </c>
      <c r="G519" s="13">
        <v>0</v>
      </c>
      <c r="H519" s="11">
        <v>0</v>
      </c>
      <c r="I519" s="13">
        <f>E519+G519</f>
        <v>0</v>
      </c>
      <c r="J519" s="11">
        <f>F519+H519</f>
        <v>0</v>
      </c>
      <c r="K519" s="13">
        <v>0</v>
      </c>
      <c r="L519" s="11">
        <v>0</v>
      </c>
      <c r="M519" s="11">
        <v>1</v>
      </c>
      <c r="N519" s="13">
        <v>0</v>
      </c>
      <c r="O519" s="11">
        <v>0</v>
      </c>
      <c r="P519" s="11">
        <v>0</v>
      </c>
      <c r="Q519" s="13">
        <f>K519+N519</f>
        <v>0</v>
      </c>
      <c r="R519" s="11">
        <f>L519+O519</f>
        <v>0</v>
      </c>
      <c r="S519" s="11">
        <f>M519+P519</f>
        <v>1</v>
      </c>
      <c r="T519" s="8">
        <f>I519-Q519</f>
        <v>0</v>
      </c>
      <c r="U519" s="18">
        <v>4.0507706525951762E-3</v>
      </c>
      <c r="V519" s="11">
        <v>0.5</v>
      </c>
      <c r="W519" s="11">
        <v>1</v>
      </c>
      <c r="X519" s="11">
        <v>1</v>
      </c>
      <c r="Y519" s="11">
        <v>0</v>
      </c>
      <c r="Z519" t="s">
        <v>42</v>
      </c>
    </row>
    <row r="520" spans="1:26" x14ac:dyDescent="0.25">
      <c r="A520" s="20" t="s">
        <v>3415</v>
      </c>
      <c r="B520" s="20" t="s">
        <v>60</v>
      </c>
      <c r="C520" s="20" t="s">
        <v>3416</v>
      </c>
      <c r="D520" s="20" t="s">
        <v>216</v>
      </c>
      <c r="E520" s="13">
        <v>0</v>
      </c>
      <c r="F520" s="11">
        <v>0</v>
      </c>
      <c r="G520" s="13">
        <v>1999.5</v>
      </c>
      <c r="H520" s="11">
        <v>1</v>
      </c>
      <c r="I520" s="13">
        <f>E520+G520</f>
        <v>1999.5</v>
      </c>
      <c r="J520" s="11">
        <f>F520+H520</f>
        <v>1</v>
      </c>
      <c r="K520" s="13">
        <v>0</v>
      </c>
      <c r="L520" s="11">
        <v>0</v>
      </c>
      <c r="M520" s="11">
        <v>0</v>
      </c>
      <c r="N520" s="13">
        <v>0</v>
      </c>
      <c r="O520" s="11">
        <v>0</v>
      </c>
      <c r="P520" s="11">
        <v>0</v>
      </c>
      <c r="Q520" s="13">
        <f>K520+N520</f>
        <v>0</v>
      </c>
      <c r="R520" s="11">
        <f>L520+O520</f>
        <v>0</v>
      </c>
      <c r="S520" s="11">
        <f>M520+P520</f>
        <v>0</v>
      </c>
      <c r="T520" s="8">
        <f>I520-Q520</f>
        <v>1999.5</v>
      </c>
      <c r="U520" s="18">
        <v>0.20301852444094567</v>
      </c>
      <c r="V520" s="11">
        <v>0.2</v>
      </c>
      <c r="W520" s="11">
        <v>1</v>
      </c>
      <c r="X520" s="11">
        <v>4</v>
      </c>
      <c r="Y520" s="11">
        <v>1</v>
      </c>
      <c r="Z520" t="s">
        <v>42</v>
      </c>
    </row>
    <row r="521" spans="1:26" x14ac:dyDescent="0.25">
      <c r="A521" s="20" t="s">
        <v>3583</v>
      </c>
      <c r="B521" s="20" t="s">
        <v>60</v>
      </c>
      <c r="C521" s="20" t="s">
        <v>3584</v>
      </c>
      <c r="D521" s="20" t="s">
        <v>216</v>
      </c>
      <c r="E521" s="13">
        <v>0</v>
      </c>
      <c r="F521" s="11">
        <v>0</v>
      </c>
      <c r="G521" s="13">
        <v>0</v>
      </c>
      <c r="H521" s="11">
        <v>0</v>
      </c>
      <c r="I521" s="13">
        <f>E521+G521</f>
        <v>0</v>
      </c>
      <c r="J521" s="11">
        <f>F521+H521</f>
        <v>0</v>
      </c>
      <c r="K521" s="13">
        <v>0</v>
      </c>
      <c r="L521" s="11">
        <v>0</v>
      </c>
      <c r="M521" s="11">
        <v>0</v>
      </c>
      <c r="N521" s="13">
        <v>0</v>
      </c>
      <c r="O521" s="11">
        <v>0</v>
      </c>
      <c r="P521" s="11">
        <v>0</v>
      </c>
      <c r="Q521" s="13">
        <f>K521+N521</f>
        <v>0</v>
      </c>
      <c r="R521" s="11">
        <f>L521+O521</f>
        <v>0</v>
      </c>
      <c r="S521" s="11">
        <f>M521+P521</f>
        <v>0</v>
      </c>
      <c r="T521" s="8">
        <f>I521-Q521</f>
        <v>0</v>
      </c>
      <c r="U521" s="18">
        <v>0.25225074999502811</v>
      </c>
      <c r="V521" s="11">
        <v>0</v>
      </c>
      <c r="W521" s="11">
        <v>0</v>
      </c>
      <c r="X521" s="11">
        <v>0</v>
      </c>
      <c r="Y521" s="11">
        <v>0</v>
      </c>
      <c r="Z521" t="s">
        <v>42</v>
      </c>
    </row>
    <row r="522" spans="1:26" x14ac:dyDescent="0.25">
      <c r="A522" s="20" t="s">
        <v>3589</v>
      </c>
      <c r="B522" s="20" t="s">
        <v>3552</v>
      </c>
      <c r="C522" s="20" t="s">
        <v>3590</v>
      </c>
      <c r="D522" s="20" t="s">
        <v>216</v>
      </c>
      <c r="E522" s="13">
        <v>0</v>
      </c>
      <c r="F522" s="11">
        <v>0</v>
      </c>
      <c r="G522" s="13">
        <v>0</v>
      </c>
      <c r="H522" s="11">
        <v>0</v>
      </c>
      <c r="I522" s="13">
        <f>E522+G522</f>
        <v>0</v>
      </c>
      <c r="J522" s="11">
        <f>F522+H522</f>
        <v>0</v>
      </c>
      <c r="K522" s="13">
        <v>0</v>
      </c>
      <c r="L522" s="11">
        <v>0</v>
      </c>
      <c r="M522" s="11">
        <v>0</v>
      </c>
      <c r="N522" s="13">
        <v>0</v>
      </c>
      <c r="O522" s="11">
        <v>0</v>
      </c>
      <c r="P522" s="11">
        <v>0</v>
      </c>
      <c r="Q522" s="13">
        <f>K522+N522</f>
        <v>0</v>
      </c>
      <c r="R522" s="11">
        <f>L522+O522</f>
        <v>0</v>
      </c>
      <c r="S522" s="11">
        <f>M522+P522</f>
        <v>0</v>
      </c>
      <c r="T522" s="8">
        <f>I522-Q522</f>
        <v>0</v>
      </c>
      <c r="U522" s="18">
        <v>-0.25924157632113715</v>
      </c>
      <c r="V522" s="11">
        <v>0</v>
      </c>
      <c r="W522" s="11">
        <v>0</v>
      </c>
      <c r="X522" s="11">
        <v>0</v>
      </c>
      <c r="Y522" s="11">
        <v>0</v>
      </c>
      <c r="Z522" t="s">
        <v>42</v>
      </c>
    </row>
    <row r="523" spans="1:26" x14ac:dyDescent="0.25">
      <c r="A523" s="20" t="s">
        <v>2973</v>
      </c>
      <c r="B523" s="20" t="s">
        <v>60</v>
      </c>
      <c r="C523" s="20" t="s">
        <v>3197</v>
      </c>
      <c r="D523" s="20" t="s">
        <v>216</v>
      </c>
      <c r="E523" s="13">
        <v>0</v>
      </c>
      <c r="F523" s="11">
        <v>0</v>
      </c>
      <c r="G523" s="13">
        <v>0</v>
      </c>
      <c r="H523" s="11">
        <v>0</v>
      </c>
      <c r="I523" s="13">
        <f>E523+G523</f>
        <v>0</v>
      </c>
      <c r="J523" s="11">
        <f>F523+H523</f>
        <v>0</v>
      </c>
      <c r="K523" s="13">
        <v>0</v>
      </c>
      <c r="L523" s="11">
        <v>0</v>
      </c>
      <c r="M523" s="11">
        <v>0</v>
      </c>
      <c r="N523" s="13">
        <v>0</v>
      </c>
      <c r="O523" s="11">
        <v>0</v>
      </c>
      <c r="P523" s="11">
        <v>0</v>
      </c>
      <c r="Q523" s="13">
        <f>K523+N523</f>
        <v>0</v>
      </c>
      <c r="R523" s="11">
        <f>L523+O523</f>
        <v>0</v>
      </c>
      <c r="S523" s="11">
        <f>M523+P523</f>
        <v>0</v>
      </c>
      <c r="T523" s="8">
        <f>I523-Q523</f>
        <v>0</v>
      </c>
      <c r="U523" s="18">
        <v>5.4475692541215162E-2</v>
      </c>
      <c r="V523" s="11">
        <v>0</v>
      </c>
      <c r="W523" s="11">
        <v>0</v>
      </c>
      <c r="X523" s="11">
        <v>0</v>
      </c>
      <c r="Y523" s="11">
        <v>0</v>
      </c>
      <c r="Z523" t="s">
        <v>42</v>
      </c>
    </row>
    <row r="524" spans="1:26" x14ac:dyDescent="0.25">
      <c r="A524" s="20" t="s">
        <v>848</v>
      </c>
      <c r="B524" s="20" t="s">
        <v>848</v>
      </c>
      <c r="C524" s="20" t="s">
        <v>849</v>
      </c>
      <c r="D524" s="20" t="s">
        <v>216</v>
      </c>
      <c r="E524" s="13">
        <v>28715</v>
      </c>
      <c r="F524" s="11">
        <v>0</v>
      </c>
      <c r="G524" s="13">
        <v>11638</v>
      </c>
      <c r="H524" s="11">
        <v>0</v>
      </c>
      <c r="I524" s="13">
        <f>E524+G524</f>
        <v>40353</v>
      </c>
      <c r="J524" s="11">
        <f>F524+H524</f>
        <v>0</v>
      </c>
      <c r="K524" s="13">
        <v>31380</v>
      </c>
      <c r="L524" s="11">
        <v>0</v>
      </c>
      <c r="M524" s="11">
        <v>0</v>
      </c>
      <c r="N524" s="13">
        <v>11235</v>
      </c>
      <c r="O524" s="11">
        <v>0</v>
      </c>
      <c r="P524" s="11">
        <v>0</v>
      </c>
      <c r="Q524" s="13">
        <f>K524+N524</f>
        <v>42615</v>
      </c>
      <c r="R524" s="11">
        <f>L524+O524</f>
        <v>0</v>
      </c>
      <c r="S524" s="11">
        <f>M524+P524</f>
        <v>0</v>
      </c>
      <c r="T524" s="8">
        <f>I524-Q524</f>
        <v>-2262</v>
      </c>
      <c r="U524" s="18">
        <v>0.14374994243303896</v>
      </c>
      <c r="V524" s="11">
        <v>0</v>
      </c>
      <c r="W524" s="11">
        <v>0</v>
      </c>
      <c r="X524" s="11">
        <v>6</v>
      </c>
      <c r="Y524" s="11">
        <v>0</v>
      </c>
      <c r="Z524" t="s">
        <v>11</v>
      </c>
    </row>
    <row r="525" spans="1:26" x14ac:dyDescent="0.25">
      <c r="A525" s="20" t="s">
        <v>851</v>
      </c>
      <c r="B525" s="20" t="s">
        <v>851</v>
      </c>
      <c r="C525" s="20" t="s">
        <v>852</v>
      </c>
      <c r="D525" s="20" t="s">
        <v>216</v>
      </c>
      <c r="E525" s="13">
        <v>270195.53999999998</v>
      </c>
      <c r="F525" s="11">
        <v>5</v>
      </c>
      <c r="G525" s="13">
        <v>36512.14</v>
      </c>
      <c r="H525" s="11">
        <v>2</v>
      </c>
      <c r="I525" s="13">
        <f>E525+G525</f>
        <v>306707.68</v>
      </c>
      <c r="J525" s="11">
        <f>F525+H525</f>
        <v>7</v>
      </c>
      <c r="K525" s="13">
        <v>300950.83</v>
      </c>
      <c r="L525" s="11">
        <v>0</v>
      </c>
      <c r="M525" s="11">
        <v>19</v>
      </c>
      <c r="N525" s="13">
        <v>38803.019999999997</v>
      </c>
      <c r="O525" s="11">
        <v>0</v>
      </c>
      <c r="P525" s="11">
        <v>10</v>
      </c>
      <c r="Q525" s="13">
        <f>K525+N525</f>
        <v>339753.85000000003</v>
      </c>
      <c r="R525" s="11">
        <f>L525+O525</f>
        <v>0</v>
      </c>
      <c r="S525" s="11">
        <f>M525+P525</f>
        <v>29</v>
      </c>
      <c r="T525" s="8">
        <f>I525-Q525</f>
        <v>-33046.170000000042</v>
      </c>
      <c r="U525" s="18">
        <v>0.4970475224006059</v>
      </c>
      <c r="V525" s="11">
        <v>0.54</v>
      </c>
      <c r="W525" s="11">
        <v>38</v>
      </c>
      <c r="X525" s="11">
        <v>33</v>
      </c>
      <c r="Y525" s="11">
        <v>2</v>
      </c>
      <c r="Z525" t="s">
        <v>11</v>
      </c>
    </row>
    <row r="526" spans="1:26" x14ac:dyDescent="0.25">
      <c r="A526" s="20" t="s">
        <v>853</v>
      </c>
      <c r="B526" s="20" t="s">
        <v>60</v>
      </c>
      <c r="C526" s="20" t="s">
        <v>854</v>
      </c>
      <c r="D526" s="20" t="s">
        <v>216</v>
      </c>
      <c r="E526" s="13">
        <v>-1352.61</v>
      </c>
      <c r="F526" s="11">
        <v>0</v>
      </c>
      <c r="G526" s="13">
        <v>31883.4</v>
      </c>
      <c r="H526" s="11">
        <v>0</v>
      </c>
      <c r="I526" s="13">
        <f>E526+G526</f>
        <v>30530.79</v>
      </c>
      <c r="J526" s="11">
        <f>F526+H526</f>
        <v>0</v>
      </c>
      <c r="K526" s="13">
        <v>7591.8</v>
      </c>
      <c r="L526" s="11">
        <v>5</v>
      </c>
      <c r="M526" s="11">
        <v>25</v>
      </c>
      <c r="N526" s="13">
        <v>33380.26</v>
      </c>
      <c r="O526" s="11">
        <v>5</v>
      </c>
      <c r="P526" s="11">
        <v>8</v>
      </c>
      <c r="Q526" s="13">
        <f>K526+N526</f>
        <v>40972.060000000005</v>
      </c>
      <c r="R526" s="11">
        <f>L526+O526</f>
        <v>10</v>
      </c>
      <c r="S526" s="11">
        <f>M526+P526</f>
        <v>33</v>
      </c>
      <c r="T526" s="8">
        <f>I526-Q526</f>
        <v>-10441.270000000004</v>
      </c>
      <c r="U526" s="18">
        <v>0.17430266426235982</v>
      </c>
      <c r="V526" s="11">
        <v>0.38</v>
      </c>
      <c r="W526" s="11">
        <v>23</v>
      </c>
      <c r="X526" s="11">
        <v>37</v>
      </c>
      <c r="Y526" s="11">
        <v>3</v>
      </c>
      <c r="Z526" t="s">
        <v>11</v>
      </c>
    </row>
    <row r="527" spans="1:26" x14ac:dyDescent="0.25">
      <c r="A527" s="20" t="s">
        <v>855</v>
      </c>
      <c r="B527" s="20" t="s">
        <v>60</v>
      </c>
      <c r="C527" s="20" t="s">
        <v>856</v>
      </c>
      <c r="D527" s="20" t="s">
        <v>216</v>
      </c>
      <c r="E527" s="13">
        <v>10472</v>
      </c>
      <c r="F527" s="11">
        <v>0</v>
      </c>
      <c r="G527" s="13">
        <v>0</v>
      </c>
      <c r="H527" s="11">
        <v>0</v>
      </c>
      <c r="I527" s="13">
        <f>E527+G527</f>
        <v>10472</v>
      </c>
      <c r="J527" s="11">
        <f>F527+H527</f>
        <v>0</v>
      </c>
      <c r="K527" s="13">
        <v>15889</v>
      </c>
      <c r="L527" s="11">
        <v>0</v>
      </c>
      <c r="M527" s="11">
        <v>1</v>
      </c>
      <c r="N527" s="13">
        <v>0</v>
      </c>
      <c r="O527" s="11">
        <v>0</v>
      </c>
      <c r="P527" s="11">
        <v>0</v>
      </c>
      <c r="Q527" s="13">
        <f>K527+N527</f>
        <v>15889</v>
      </c>
      <c r="R527" s="11">
        <f>L527+O527</f>
        <v>0</v>
      </c>
      <c r="S527" s="11">
        <f>M527+P527</f>
        <v>1</v>
      </c>
      <c r="T527" s="8">
        <f>I527-Q527</f>
        <v>-5417</v>
      </c>
      <c r="U527" s="18">
        <v>0.14248779067993514</v>
      </c>
      <c r="V527" s="11">
        <v>0</v>
      </c>
      <c r="W527" s="11">
        <v>1</v>
      </c>
      <c r="X527" s="11"/>
      <c r="Y527" s="11">
        <v>0</v>
      </c>
      <c r="Z527" t="s">
        <v>11</v>
      </c>
    </row>
    <row r="528" spans="1:26" x14ac:dyDescent="0.25">
      <c r="A528" s="20" t="s">
        <v>858</v>
      </c>
      <c r="B528" s="20" t="s">
        <v>60</v>
      </c>
      <c r="C528" s="20" t="s">
        <v>859</v>
      </c>
      <c r="D528" s="20" t="s">
        <v>216</v>
      </c>
      <c r="E528" s="13">
        <v>9053</v>
      </c>
      <c r="F528" s="11">
        <v>0</v>
      </c>
      <c r="G528" s="13">
        <v>0</v>
      </c>
      <c r="H528" s="11">
        <v>0</v>
      </c>
      <c r="I528" s="13">
        <f>E528+G528</f>
        <v>9053</v>
      </c>
      <c r="J528" s="11">
        <f>F528+H528</f>
        <v>0</v>
      </c>
      <c r="K528" s="13">
        <v>8840</v>
      </c>
      <c r="L528" s="11">
        <v>0</v>
      </c>
      <c r="M528" s="11">
        <v>0</v>
      </c>
      <c r="N528" s="13">
        <v>0</v>
      </c>
      <c r="O528" s="11">
        <v>0</v>
      </c>
      <c r="P528" s="11">
        <v>0</v>
      </c>
      <c r="Q528" s="13">
        <f>K528+N528</f>
        <v>8840</v>
      </c>
      <c r="R528" s="11">
        <f>L528+O528</f>
        <v>0</v>
      </c>
      <c r="S528" s="11">
        <f>M528+P528</f>
        <v>0</v>
      </c>
      <c r="T528" s="8">
        <f>I528-Q528</f>
        <v>213</v>
      </c>
      <c r="U528" s="18">
        <v>-9.6889983821943609E-2</v>
      </c>
      <c r="V528" s="11">
        <v>0</v>
      </c>
      <c r="W528" s="11">
        <v>0</v>
      </c>
      <c r="X528" s="11">
        <v>0</v>
      </c>
      <c r="Y528" s="11">
        <v>0</v>
      </c>
      <c r="Z528" t="s">
        <v>11</v>
      </c>
    </row>
    <row r="529" spans="1:26" x14ac:dyDescent="0.25">
      <c r="A529" s="20" t="s">
        <v>863</v>
      </c>
      <c r="B529" s="20" t="s">
        <v>863</v>
      </c>
      <c r="C529" s="20" t="s">
        <v>3635</v>
      </c>
      <c r="D529" s="20" t="s">
        <v>216</v>
      </c>
      <c r="E529" s="13">
        <v>7442</v>
      </c>
      <c r="F529" s="11">
        <v>1</v>
      </c>
      <c r="G529" s="13">
        <v>0</v>
      </c>
      <c r="H529" s="11">
        <v>0</v>
      </c>
      <c r="I529" s="13">
        <f>E529+G529</f>
        <v>7442</v>
      </c>
      <c r="J529" s="11">
        <f>F529+H529</f>
        <v>1</v>
      </c>
      <c r="K529" s="13">
        <v>0</v>
      </c>
      <c r="L529" s="11">
        <v>0</v>
      </c>
      <c r="M529" s="11">
        <v>0</v>
      </c>
      <c r="N529" s="13">
        <v>0</v>
      </c>
      <c r="O529" s="11">
        <v>0</v>
      </c>
      <c r="P529" s="11">
        <v>0</v>
      </c>
      <c r="Q529" s="13">
        <f>K529+N529</f>
        <v>0</v>
      </c>
      <c r="R529" s="11">
        <f>L529+O529</f>
        <v>0</v>
      </c>
      <c r="S529" s="11">
        <f>M529+P529</f>
        <v>0</v>
      </c>
      <c r="T529" s="8">
        <f>I529-Q529</f>
        <v>7442</v>
      </c>
      <c r="U529" s="18">
        <v>2.5704314309187928E-2</v>
      </c>
      <c r="V529" s="11">
        <v>0.25</v>
      </c>
      <c r="W529" s="11">
        <v>1</v>
      </c>
      <c r="X529" s="11">
        <v>3</v>
      </c>
      <c r="Y529" s="11">
        <v>0</v>
      </c>
      <c r="Z529" t="s">
        <v>11</v>
      </c>
    </row>
    <row r="530" spans="1:26" x14ac:dyDescent="0.25">
      <c r="A530" s="20" t="s">
        <v>867</v>
      </c>
      <c r="B530" s="20" t="s">
        <v>60</v>
      </c>
      <c r="C530" s="20" t="s">
        <v>868</v>
      </c>
      <c r="D530" s="20" t="s">
        <v>216</v>
      </c>
      <c r="E530" s="13">
        <v>42273</v>
      </c>
      <c r="F530" s="11">
        <v>1</v>
      </c>
      <c r="G530" s="13">
        <v>18066</v>
      </c>
      <c r="H530" s="11">
        <v>0</v>
      </c>
      <c r="I530" s="13">
        <f>E530+G530</f>
        <v>60339</v>
      </c>
      <c r="J530" s="11">
        <f>F530+H530</f>
        <v>1</v>
      </c>
      <c r="K530" s="13">
        <v>5305</v>
      </c>
      <c r="L530" s="11">
        <v>0</v>
      </c>
      <c r="M530" s="11">
        <v>1</v>
      </c>
      <c r="N530" s="13">
        <v>34668.5</v>
      </c>
      <c r="O530" s="11">
        <v>2</v>
      </c>
      <c r="P530" s="11">
        <v>16</v>
      </c>
      <c r="Q530" s="13">
        <f>K530+N530</f>
        <v>39973.5</v>
      </c>
      <c r="R530" s="11">
        <f>L530+O530</f>
        <v>2</v>
      </c>
      <c r="S530" s="11">
        <f>M530+P530</f>
        <v>17</v>
      </c>
      <c r="T530" s="8">
        <f>I530-Q530</f>
        <v>20365.5</v>
      </c>
      <c r="U530" s="18">
        <v>0.12226178996424258</v>
      </c>
      <c r="V530" s="11">
        <v>0.38</v>
      </c>
      <c r="W530" s="11">
        <v>16</v>
      </c>
      <c r="X530" s="11">
        <v>26</v>
      </c>
      <c r="Y530" s="11">
        <v>0</v>
      </c>
      <c r="Z530" t="s">
        <v>11</v>
      </c>
    </row>
    <row r="531" spans="1:26" x14ac:dyDescent="0.25">
      <c r="A531" s="20" t="s">
        <v>869</v>
      </c>
      <c r="B531" s="20" t="s">
        <v>869</v>
      </c>
      <c r="C531" s="20" t="s">
        <v>870</v>
      </c>
      <c r="D531" s="20" t="s">
        <v>216</v>
      </c>
      <c r="E531" s="13">
        <v>5891</v>
      </c>
      <c r="F531" s="11">
        <v>0</v>
      </c>
      <c r="G531" s="13">
        <v>0</v>
      </c>
      <c r="H531" s="11">
        <v>0</v>
      </c>
      <c r="I531" s="13">
        <f>E531+G531</f>
        <v>5891</v>
      </c>
      <c r="J531" s="11">
        <f>F531+H531</f>
        <v>0</v>
      </c>
      <c r="K531" s="13">
        <v>5062</v>
      </c>
      <c r="L531" s="11">
        <v>0</v>
      </c>
      <c r="M531" s="11">
        <v>0</v>
      </c>
      <c r="N531" s="13">
        <v>2577</v>
      </c>
      <c r="O531" s="11">
        <v>0</v>
      </c>
      <c r="P531" s="11">
        <v>0</v>
      </c>
      <c r="Q531" s="13">
        <f>K531+N531</f>
        <v>7639</v>
      </c>
      <c r="R531" s="11">
        <f>L531+O531</f>
        <v>0</v>
      </c>
      <c r="S531" s="11">
        <f>M531+P531</f>
        <v>0</v>
      </c>
      <c r="T531" s="8">
        <f>I531-Q531</f>
        <v>-1748</v>
      </c>
      <c r="U531" s="18">
        <v>1.3376181555853527E-2</v>
      </c>
      <c r="V531" s="11">
        <v>0</v>
      </c>
      <c r="W531" s="11">
        <v>0</v>
      </c>
      <c r="X531" s="11">
        <v>0</v>
      </c>
      <c r="Y531" s="11">
        <v>0</v>
      </c>
      <c r="Z531" t="s">
        <v>11</v>
      </c>
    </row>
    <row r="532" spans="1:26" x14ac:dyDescent="0.25">
      <c r="A532" s="20" t="s">
        <v>1549</v>
      </c>
      <c r="B532" s="20" t="s">
        <v>91</v>
      </c>
      <c r="C532" s="20" t="s">
        <v>3022</v>
      </c>
      <c r="D532" s="20" t="s">
        <v>216</v>
      </c>
      <c r="E532" s="13">
        <v>0</v>
      </c>
      <c r="F532" s="11">
        <v>0</v>
      </c>
      <c r="G532" s="13">
        <v>0</v>
      </c>
      <c r="H532" s="11">
        <v>0</v>
      </c>
      <c r="I532" s="13">
        <f>E532+G532</f>
        <v>0</v>
      </c>
      <c r="J532" s="11">
        <f>F532+H532</f>
        <v>0</v>
      </c>
      <c r="K532" s="13">
        <v>0</v>
      </c>
      <c r="L532" s="11">
        <v>0</v>
      </c>
      <c r="M532" s="11">
        <v>0</v>
      </c>
      <c r="N532" s="13">
        <v>0</v>
      </c>
      <c r="O532" s="11">
        <v>0</v>
      </c>
      <c r="P532" s="11">
        <v>0</v>
      </c>
      <c r="Q532" s="13">
        <f>K532+N532</f>
        <v>0</v>
      </c>
      <c r="R532" s="11">
        <f>L532+O532</f>
        <v>0</v>
      </c>
      <c r="S532" s="11">
        <f>M532+P532</f>
        <v>0</v>
      </c>
      <c r="T532" s="8">
        <f>I532-Q532</f>
        <v>0</v>
      </c>
      <c r="U532" s="18">
        <v>-2.9269220235154988E-2</v>
      </c>
      <c r="V532" s="11">
        <v>0</v>
      </c>
      <c r="W532" s="11">
        <v>0</v>
      </c>
      <c r="X532" s="11">
        <v>0</v>
      </c>
      <c r="Y532" s="11">
        <v>0</v>
      </c>
      <c r="Z532" t="s">
        <v>11</v>
      </c>
    </row>
    <row r="533" spans="1:26" x14ac:dyDescent="0.25">
      <c r="A533" s="20" t="s">
        <v>877</v>
      </c>
      <c r="B533" s="20" t="s">
        <v>60</v>
      </c>
      <c r="C533" s="20" t="s">
        <v>878</v>
      </c>
      <c r="D533" s="20" t="s">
        <v>216</v>
      </c>
      <c r="E533" s="13">
        <v>24371.03</v>
      </c>
      <c r="F533" s="11">
        <v>1</v>
      </c>
      <c r="G533" s="13">
        <v>12821</v>
      </c>
      <c r="H533" s="11">
        <v>0</v>
      </c>
      <c r="I533" s="13">
        <f>E533+G533</f>
        <v>37192.03</v>
      </c>
      <c r="J533" s="11">
        <f>F533+H533</f>
        <v>1</v>
      </c>
      <c r="K533" s="13">
        <v>19835.25</v>
      </c>
      <c r="L533" s="11">
        <v>1</v>
      </c>
      <c r="M533" s="11">
        <v>2</v>
      </c>
      <c r="N533" s="13">
        <v>7543.11</v>
      </c>
      <c r="O533" s="11">
        <v>0</v>
      </c>
      <c r="P533" s="11">
        <v>2</v>
      </c>
      <c r="Q533" s="13">
        <f>K533+N533</f>
        <v>27378.36</v>
      </c>
      <c r="R533" s="11">
        <f>L533+O533</f>
        <v>1</v>
      </c>
      <c r="S533" s="11">
        <f>M533+P533</f>
        <v>4</v>
      </c>
      <c r="T533" s="8">
        <f>I533-Q533</f>
        <v>9813.6699999999983</v>
      </c>
      <c r="U533" s="18">
        <v>6.3657762818966915E-2</v>
      </c>
      <c r="V533" s="11">
        <v>0.33</v>
      </c>
      <c r="W533" s="11">
        <v>4</v>
      </c>
      <c r="X533" s="11">
        <v>8</v>
      </c>
      <c r="Y533" s="11">
        <v>2</v>
      </c>
      <c r="Z533" t="s">
        <v>11</v>
      </c>
    </row>
    <row r="534" spans="1:26" x14ac:dyDescent="0.25">
      <c r="A534" s="20" t="s">
        <v>880</v>
      </c>
      <c r="B534" s="20" t="s">
        <v>3203</v>
      </c>
      <c r="C534" s="20" t="s">
        <v>881</v>
      </c>
      <c r="D534" s="20" t="s">
        <v>215</v>
      </c>
      <c r="E534" s="13">
        <v>0</v>
      </c>
      <c r="F534" s="11">
        <v>0</v>
      </c>
      <c r="G534" s="13">
        <v>0</v>
      </c>
      <c r="H534" s="11">
        <v>0</v>
      </c>
      <c r="I534" s="13">
        <f>E534+G534</f>
        <v>0</v>
      </c>
      <c r="J534" s="11">
        <f>F534+H534</f>
        <v>0</v>
      </c>
      <c r="K534" s="13">
        <v>-201.59</v>
      </c>
      <c r="L534" s="11">
        <v>0</v>
      </c>
      <c r="M534" s="11">
        <v>0</v>
      </c>
      <c r="N534" s="13">
        <v>0</v>
      </c>
      <c r="O534" s="11">
        <v>0</v>
      </c>
      <c r="P534" s="11">
        <v>0</v>
      </c>
      <c r="Q534" s="13">
        <f>K534+N534</f>
        <v>-201.59</v>
      </c>
      <c r="R534" s="11">
        <f>L534+O534</f>
        <v>0</v>
      </c>
      <c r="S534" s="11">
        <f>M534+P534</f>
        <v>0</v>
      </c>
      <c r="T534" s="8">
        <f>I534-Q534</f>
        <v>201.59</v>
      </c>
      <c r="U534" s="18" t="s">
        <v>1803</v>
      </c>
      <c r="V534" s="11">
        <v>0</v>
      </c>
      <c r="W534" s="11">
        <v>0</v>
      </c>
      <c r="X534" s="11">
        <v>0</v>
      </c>
      <c r="Y534" s="11">
        <v>0</v>
      </c>
      <c r="Z534" t="s">
        <v>11</v>
      </c>
    </row>
    <row r="535" spans="1:26" x14ac:dyDescent="0.25">
      <c r="A535" s="20" t="s">
        <v>882</v>
      </c>
      <c r="B535" s="20" t="s">
        <v>60</v>
      </c>
      <c r="C535" s="20" t="s">
        <v>883</v>
      </c>
      <c r="D535" s="20" t="s">
        <v>216</v>
      </c>
      <c r="E535" s="13">
        <v>2396</v>
      </c>
      <c r="F535" s="11">
        <v>0</v>
      </c>
      <c r="G535" s="13">
        <v>0</v>
      </c>
      <c r="H535" s="11">
        <v>0</v>
      </c>
      <c r="I535" s="13">
        <f>E535+G535</f>
        <v>2396</v>
      </c>
      <c r="J535" s="11">
        <f>F535+H535</f>
        <v>0</v>
      </c>
      <c r="K535" s="13">
        <v>2180</v>
      </c>
      <c r="L535" s="11">
        <v>0</v>
      </c>
      <c r="M535" s="11">
        <v>0</v>
      </c>
      <c r="N535" s="13">
        <v>9959</v>
      </c>
      <c r="O535" s="11">
        <v>0</v>
      </c>
      <c r="P535" s="11">
        <v>0</v>
      </c>
      <c r="Q535" s="13">
        <f>K535+N535</f>
        <v>12139</v>
      </c>
      <c r="R535" s="11">
        <f>L535+O535</f>
        <v>0</v>
      </c>
      <c r="S535" s="11">
        <f>M535+P535</f>
        <v>0</v>
      </c>
      <c r="T535" s="8">
        <f>I535-Q535</f>
        <v>-9743</v>
      </c>
      <c r="U535" s="18">
        <v>6.8433570132294244E-2</v>
      </c>
      <c r="V535" s="11">
        <v>0</v>
      </c>
      <c r="W535" s="11">
        <v>0</v>
      </c>
      <c r="X535" s="11">
        <v>1</v>
      </c>
      <c r="Y535" s="11">
        <v>1</v>
      </c>
      <c r="Z535" t="s">
        <v>11</v>
      </c>
    </row>
    <row r="536" spans="1:26" x14ac:dyDescent="0.25">
      <c r="A536" s="20" t="s">
        <v>884</v>
      </c>
      <c r="B536" s="20" t="s">
        <v>60</v>
      </c>
      <c r="C536" s="20" t="s">
        <v>885</v>
      </c>
      <c r="D536" s="20" t="s">
        <v>216</v>
      </c>
      <c r="E536" s="13">
        <v>30242</v>
      </c>
      <c r="F536" s="11">
        <v>0</v>
      </c>
      <c r="G536" s="13">
        <v>7617</v>
      </c>
      <c r="H536" s="11">
        <v>1</v>
      </c>
      <c r="I536" s="13">
        <f>E536+G536</f>
        <v>37859</v>
      </c>
      <c r="J536" s="11">
        <f>F536+H536</f>
        <v>1</v>
      </c>
      <c r="K536" s="13">
        <v>25229</v>
      </c>
      <c r="L536" s="11">
        <v>0</v>
      </c>
      <c r="M536" s="11">
        <v>0</v>
      </c>
      <c r="N536" s="13">
        <v>1639.5</v>
      </c>
      <c r="O536" s="11">
        <v>0</v>
      </c>
      <c r="P536" s="11">
        <v>3</v>
      </c>
      <c r="Q536" s="13">
        <f>K536+N536</f>
        <v>26868.5</v>
      </c>
      <c r="R536" s="11">
        <f>L536+O536</f>
        <v>0</v>
      </c>
      <c r="S536" s="11">
        <f>M536+P536</f>
        <v>3</v>
      </c>
      <c r="T536" s="8">
        <f>I536-Q536</f>
        <v>10990.5</v>
      </c>
      <c r="U536" s="18">
        <v>0.4991521666995225</v>
      </c>
      <c r="V536" s="11">
        <v>0.5</v>
      </c>
      <c r="W536" s="11">
        <v>4</v>
      </c>
      <c r="X536" s="11">
        <v>4</v>
      </c>
      <c r="Y536" s="11">
        <v>0</v>
      </c>
      <c r="Z536" t="s">
        <v>11</v>
      </c>
    </row>
    <row r="537" spans="1:26" x14ac:dyDescent="0.25">
      <c r="A537" s="20" t="s">
        <v>886</v>
      </c>
      <c r="B537" s="20" t="s">
        <v>60</v>
      </c>
      <c r="C537" s="20" t="s">
        <v>887</v>
      </c>
      <c r="D537" s="20" t="s">
        <v>216</v>
      </c>
      <c r="E537" s="13">
        <v>24149</v>
      </c>
      <c r="F537" s="11">
        <v>0</v>
      </c>
      <c r="G537" s="13">
        <v>1937</v>
      </c>
      <c r="H537" s="11">
        <v>0</v>
      </c>
      <c r="I537" s="13">
        <f>E537+G537</f>
        <v>26086</v>
      </c>
      <c r="J537" s="11">
        <f>F537+H537</f>
        <v>0</v>
      </c>
      <c r="K537" s="13">
        <v>42701.93</v>
      </c>
      <c r="L537" s="11">
        <v>2</v>
      </c>
      <c r="M537" s="11">
        <v>3</v>
      </c>
      <c r="N537" s="13">
        <v>1862</v>
      </c>
      <c r="O537" s="11">
        <v>0</v>
      </c>
      <c r="P537" s="11">
        <v>0</v>
      </c>
      <c r="Q537" s="13">
        <f>K537+N537</f>
        <v>44563.93</v>
      </c>
      <c r="R537" s="11">
        <f>L537+O537</f>
        <v>2</v>
      </c>
      <c r="S537" s="11">
        <f>M537+P537</f>
        <v>3</v>
      </c>
      <c r="T537" s="8">
        <f>I537-Q537</f>
        <v>-18477.93</v>
      </c>
      <c r="U537" s="18">
        <v>7.7820252025828915E-2</v>
      </c>
      <c r="V537" s="11">
        <v>0</v>
      </c>
      <c r="W537" s="11">
        <v>1</v>
      </c>
      <c r="X537" s="11"/>
      <c r="Y537" s="11">
        <v>0</v>
      </c>
      <c r="Z537" t="s">
        <v>11</v>
      </c>
    </row>
    <row r="538" spans="1:26" x14ac:dyDescent="0.25">
      <c r="A538" s="20" t="s">
        <v>86</v>
      </c>
      <c r="B538" s="20" t="s">
        <v>86</v>
      </c>
      <c r="C538" s="20" t="s">
        <v>888</v>
      </c>
      <c r="D538" s="20" t="s">
        <v>216</v>
      </c>
      <c r="E538" s="13">
        <v>0</v>
      </c>
      <c r="F538" s="11">
        <v>0</v>
      </c>
      <c r="G538" s="13">
        <v>0</v>
      </c>
      <c r="H538" s="11">
        <v>0</v>
      </c>
      <c r="I538" s="13">
        <f>E538+G538</f>
        <v>0</v>
      </c>
      <c r="J538" s="11">
        <f>F538+H538</f>
        <v>0</v>
      </c>
      <c r="K538" s="13">
        <v>0</v>
      </c>
      <c r="L538" s="11">
        <v>0</v>
      </c>
      <c r="M538" s="11">
        <v>1</v>
      </c>
      <c r="N538" s="13">
        <v>0</v>
      </c>
      <c r="O538" s="11">
        <v>0</v>
      </c>
      <c r="P538" s="11">
        <v>0</v>
      </c>
      <c r="Q538" s="13">
        <f>K538+N538</f>
        <v>0</v>
      </c>
      <c r="R538" s="11">
        <f>L538+O538</f>
        <v>0</v>
      </c>
      <c r="S538" s="11">
        <f>M538+P538</f>
        <v>1</v>
      </c>
      <c r="T538" s="8">
        <f>I538-Q538</f>
        <v>0</v>
      </c>
      <c r="U538" s="18">
        <v>0.38852881907189368</v>
      </c>
      <c r="V538" s="11">
        <v>0.33</v>
      </c>
      <c r="W538" s="11">
        <v>1</v>
      </c>
      <c r="X538" s="11">
        <v>2</v>
      </c>
      <c r="Y538" s="11">
        <v>0</v>
      </c>
      <c r="Z538" t="s">
        <v>11</v>
      </c>
    </row>
    <row r="539" spans="1:26" x14ac:dyDescent="0.25">
      <c r="A539" s="20" t="s">
        <v>355</v>
      </c>
      <c r="B539" s="20" t="s">
        <v>355</v>
      </c>
      <c r="C539" s="20" t="s">
        <v>889</v>
      </c>
      <c r="D539" s="20" t="s">
        <v>216</v>
      </c>
      <c r="E539" s="13">
        <v>57015.02</v>
      </c>
      <c r="F539" s="11">
        <v>1</v>
      </c>
      <c r="G539" s="13">
        <v>11126</v>
      </c>
      <c r="H539" s="11">
        <v>1</v>
      </c>
      <c r="I539" s="13">
        <f>E539+G539</f>
        <v>68141.01999999999</v>
      </c>
      <c r="J539" s="11">
        <f>F539+H539</f>
        <v>2</v>
      </c>
      <c r="K539" s="13">
        <v>56191.94</v>
      </c>
      <c r="L539" s="11">
        <v>1</v>
      </c>
      <c r="M539" s="11">
        <v>3</v>
      </c>
      <c r="N539" s="13">
        <v>12801.24</v>
      </c>
      <c r="O539" s="11">
        <v>0</v>
      </c>
      <c r="P539" s="11">
        <v>2</v>
      </c>
      <c r="Q539" s="13">
        <f>K539+N539</f>
        <v>68993.180000000008</v>
      </c>
      <c r="R539" s="11">
        <f>L539+O539</f>
        <v>1</v>
      </c>
      <c r="S539" s="11">
        <f>M539+P539</f>
        <v>5</v>
      </c>
      <c r="T539" s="8">
        <f>I539-Q539</f>
        <v>-852.16000000001804</v>
      </c>
      <c r="U539" s="18">
        <v>3.9171756376386875</v>
      </c>
      <c r="V539" s="11">
        <v>0.27</v>
      </c>
      <c r="W539" s="11">
        <v>6</v>
      </c>
      <c r="X539" s="11">
        <v>16</v>
      </c>
      <c r="Y539" s="11">
        <v>2</v>
      </c>
      <c r="Z539" t="s">
        <v>11</v>
      </c>
    </row>
    <row r="540" spans="1:26" x14ac:dyDescent="0.25">
      <c r="A540" s="20" t="s">
        <v>2985</v>
      </c>
      <c r="B540" s="20" t="s">
        <v>2985</v>
      </c>
      <c r="C540" s="20" t="s">
        <v>3007</v>
      </c>
      <c r="D540" s="20" t="s">
        <v>216</v>
      </c>
      <c r="E540" s="13">
        <v>0</v>
      </c>
      <c r="F540" s="11">
        <v>0</v>
      </c>
      <c r="G540" s="13">
        <v>0</v>
      </c>
      <c r="H540" s="11">
        <v>0</v>
      </c>
      <c r="I540" s="13">
        <f>E540+G540</f>
        <v>0</v>
      </c>
      <c r="J540" s="11">
        <f>F540+H540</f>
        <v>0</v>
      </c>
      <c r="K540" s="13">
        <v>0</v>
      </c>
      <c r="L540" s="11">
        <v>0</v>
      </c>
      <c r="M540" s="11">
        <v>0</v>
      </c>
      <c r="N540" s="13">
        <v>0</v>
      </c>
      <c r="O540" s="11">
        <v>0</v>
      </c>
      <c r="P540" s="11">
        <v>0</v>
      </c>
      <c r="Q540" s="13">
        <f>K540+N540</f>
        <v>0</v>
      </c>
      <c r="R540" s="11">
        <f>L540+O540</f>
        <v>0</v>
      </c>
      <c r="S540" s="11">
        <f>M540+P540</f>
        <v>0</v>
      </c>
      <c r="T540" s="8">
        <f>I540-Q540</f>
        <v>0</v>
      </c>
      <c r="U540" s="18">
        <v>-0.1544318865962454</v>
      </c>
      <c r="V540" s="11">
        <v>0</v>
      </c>
      <c r="W540" s="11">
        <v>0</v>
      </c>
      <c r="X540" s="11">
        <v>0</v>
      </c>
      <c r="Y540" s="11">
        <v>0</v>
      </c>
      <c r="Z540" t="s">
        <v>11</v>
      </c>
    </row>
    <row r="541" spans="1:26" x14ac:dyDescent="0.25">
      <c r="A541" s="20" t="s">
        <v>890</v>
      </c>
      <c r="B541" s="20" t="s">
        <v>890</v>
      </c>
      <c r="C541" s="20" t="s">
        <v>891</v>
      </c>
      <c r="D541" s="20" t="s">
        <v>216</v>
      </c>
      <c r="E541" s="13">
        <v>0</v>
      </c>
      <c r="F541" s="11">
        <v>0</v>
      </c>
      <c r="G541" s="13">
        <v>0</v>
      </c>
      <c r="H541" s="11">
        <v>0</v>
      </c>
      <c r="I541" s="13">
        <f>E541+G541</f>
        <v>0</v>
      </c>
      <c r="J541" s="11">
        <f>F541+H541</f>
        <v>0</v>
      </c>
      <c r="K541" s="13">
        <v>0</v>
      </c>
      <c r="L541" s="11">
        <v>0</v>
      </c>
      <c r="M541" s="11">
        <v>0</v>
      </c>
      <c r="N541" s="13">
        <v>0</v>
      </c>
      <c r="O541" s="11">
        <v>0</v>
      </c>
      <c r="P541" s="11">
        <v>0</v>
      </c>
      <c r="Q541" s="13">
        <f>K541+N541</f>
        <v>0</v>
      </c>
      <c r="R541" s="11">
        <f>L541+O541</f>
        <v>0</v>
      </c>
      <c r="S541" s="11">
        <f>M541+P541</f>
        <v>0</v>
      </c>
      <c r="T541" s="8">
        <f>I541-Q541</f>
        <v>0</v>
      </c>
      <c r="U541" s="18">
        <v>2.6106710322299321E-2</v>
      </c>
      <c r="V541" s="11">
        <v>0</v>
      </c>
      <c r="W541" s="11">
        <v>0</v>
      </c>
      <c r="X541" s="11">
        <v>0</v>
      </c>
      <c r="Y541" s="11">
        <v>0</v>
      </c>
      <c r="Z541" t="s">
        <v>11</v>
      </c>
    </row>
    <row r="542" spans="1:26" x14ac:dyDescent="0.25">
      <c r="A542" s="20" t="s">
        <v>892</v>
      </c>
      <c r="B542" s="20" t="s">
        <v>124</v>
      </c>
      <c r="C542" s="20" t="s">
        <v>893</v>
      </c>
      <c r="D542" s="20" t="s">
        <v>216</v>
      </c>
      <c r="E542" s="13">
        <v>5411.86</v>
      </c>
      <c r="F542" s="11">
        <v>0</v>
      </c>
      <c r="G542" s="13">
        <v>0</v>
      </c>
      <c r="H542" s="11">
        <v>0</v>
      </c>
      <c r="I542" s="13">
        <f>E542+G542</f>
        <v>5411.86</v>
      </c>
      <c r="J542" s="11">
        <f>F542+H542</f>
        <v>0</v>
      </c>
      <c r="K542" s="13">
        <v>6637</v>
      </c>
      <c r="L542" s="11">
        <v>0</v>
      </c>
      <c r="M542" s="11">
        <v>0</v>
      </c>
      <c r="N542" s="13">
        <v>0</v>
      </c>
      <c r="O542" s="11">
        <v>0</v>
      </c>
      <c r="P542" s="11">
        <v>0</v>
      </c>
      <c r="Q542" s="13">
        <f>K542+N542</f>
        <v>6637</v>
      </c>
      <c r="R542" s="11">
        <f>L542+O542</f>
        <v>0</v>
      </c>
      <c r="S542" s="11">
        <f>M542+P542</f>
        <v>0</v>
      </c>
      <c r="T542" s="8">
        <f>I542-Q542</f>
        <v>-1225.1400000000003</v>
      </c>
      <c r="U542" s="18">
        <v>2.0923997167595697E-3</v>
      </c>
      <c r="V542" s="11">
        <v>0</v>
      </c>
      <c r="W542" s="11">
        <v>0</v>
      </c>
      <c r="X542" s="11">
        <v>0</v>
      </c>
      <c r="Y542" s="11">
        <v>0</v>
      </c>
      <c r="Z542" t="s">
        <v>11</v>
      </c>
    </row>
    <row r="543" spans="1:26" x14ac:dyDescent="0.25">
      <c r="A543" s="20" t="s">
        <v>894</v>
      </c>
      <c r="B543" s="20" t="s">
        <v>124</v>
      </c>
      <c r="C543" s="20" t="s">
        <v>895</v>
      </c>
      <c r="D543" s="20" t="s">
        <v>216</v>
      </c>
      <c r="E543" s="13">
        <v>24428</v>
      </c>
      <c r="F543" s="11">
        <v>0</v>
      </c>
      <c r="G543" s="13">
        <v>0</v>
      </c>
      <c r="H543" s="11">
        <v>0</v>
      </c>
      <c r="I543" s="13">
        <f>E543+G543</f>
        <v>24428</v>
      </c>
      <c r="J543" s="11">
        <f>F543+H543</f>
        <v>0</v>
      </c>
      <c r="K543" s="13">
        <v>23606</v>
      </c>
      <c r="L543" s="11">
        <v>0</v>
      </c>
      <c r="M543" s="11">
        <v>1</v>
      </c>
      <c r="N543" s="13">
        <v>0</v>
      </c>
      <c r="O543" s="11">
        <v>0</v>
      </c>
      <c r="P543" s="11">
        <v>0</v>
      </c>
      <c r="Q543" s="13">
        <f>K543+N543</f>
        <v>23606</v>
      </c>
      <c r="R543" s="11">
        <f>L543+O543</f>
        <v>0</v>
      </c>
      <c r="S543" s="11">
        <f>M543+P543</f>
        <v>1</v>
      </c>
      <c r="T543" s="8">
        <f>I543-Q543</f>
        <v>822</v>
      </c>
      <c r="U543" s="18">
        <v>7.6579353521261703E-2</v>
      </c>
      <c r="V543" s="11">
        <v>0.33</v>
      </c>
      <c r="W543" s="11">
        <v>1</v>
      </c>
      <c r="X543" s="11">
        <v>2</v>
      </c>
      <c r="Y543" s="11">
        <v>0</v>
      </c>
      <c r="Z543" t="s">
        <v>11</v>
      </c>
    </row>
    <row r="544" spans="1:26" x14ac:dyDescent="0.25">
      <c r="A544" s="20" t="s">
        <v>896</v>
      </c>
      <c r="B544" s="20" t="s">
        <v>60</v>
      </c>
      <c r="C544" s="20" t="s">
        <v>897</v>
      </c>
      <c r="D544" s="20" t="s">
        <v>216</v>
      </c>
      <c r="E544" s="13">
        <v>15677</v>
      </c>
      <c r="F544" s="11">
        <v>0</v>
      </c>
      <c r="G544" s="13">
        <v>0</v>
      </c>
      <c r="H544" s="11">
        <v>0</v>
      </c>
      <c r="I544" s="13">
        <f>E544+G544</f>
        <v>15677</v>
      </c>
      <c r="J544" s="11">
        <f>F544+H544</f>
        <v>0</v>
      </c>
      <c r="K544" s="13">
        <v>36071.47</v>
      </c>
      <c r="L544" s="11">
        <v>0</v>
      </c>
      <c r="M544" s="11">
        <v>0</v>
      </c>
      <c r="N544" s="13">
        <v>0</v>
      </c>
      <c r="O544" s="11">
        <v>0</v>
      </c>
      <c r="P544" s="11">
        <v>0</v>
      </c>
      <c r="Q544" s="13">
        <f>K544+N544</f>
        <v>36071.47</v>
      </c>
      <c r="R544" s="11">
        <f>L544+O544</f>
        <v>0</v>
      </c>
      <c r="S544" s="11">
        <f>M544+P544</f>
        <v>0</v>
      </c>
      <c r="T544" s="8">
        <f>I544-Q544</f>
        <v>-20394.47</v>
      </c>
      <c r="U544" s="18">
        <v>-2.7037540062548389E-2</v>
      </c>
      <c r="V544" s="11">
        <v>0</v>
      </c>
      <c r="W544" s="11">
        <v>0</v>
      </c>
      <c r="X544" s="11">
        <v>0</v>
      </c>
      <c r="Y544" s="11">
        <v>0</v>
      </c>
      <c r="Z544" t="s">
        <v>11</v>
      </c>
    </row>
    <row r="545" spans="1:26" x14ac:dyDescent="0.25">
      <c r="A545" s="20" t="s">
        <v>903</v>
      </c>
      <c r="B545" s="20" t="s">
        <v>60</v>
      </c>
      <c r="C545" s="20" t="s">
        <v>904</v>
      </c>
      <c r="D545" s="20" t="s">
        <v>216</v>
      </c>
      <c r="E545" s="13">
        <v>0</v>
      </c>
      <c r="F545" s="11">
        <v>0</v>
      </c>
      <c r="G545" s="13">
        <v>0</v>
      </c>
      <c r="H545" s="11">
        <v>0</v>
      </c>
      <c r="I545" s="13">
        <f>E545+G545</f>
        <v>0</v>
      </c>
      <c r="J545" s="11">
        <f>F545+H545</f>
        <v>0</v>
      </c>
      <c r="K545" s="13">
        <v>0</v>
      </c>
      <c r="L545" s="11">
        <v>0</v>
      </c>
      <c r="M545" s="11">
        <v>0</v>
      </c>
      <c r="N545" s="13">
        <v>0</v>
      </c>
      <c r="O545" s="11">
        <v>0</v>
      </c>
      <c r="P545" s="11">
        <v>0</v>
      </c>
      <c r="Q545" s="13">
        <f>K545+N545</f>
        <v>0</v>
      </c>
      <c r="R545" s="11">
        <f>L545+O545</f>
        <v>0</v>
      </c>
      <c r="S545" s="11">
        <f>M545+P545</f>
        <v>0</v>
      </c>
      <c r="T545" s="8">
        <f>I545-Q545</f>
        <v>0</v>
      </c>
      <c r="U545" s="18">
        <v>7.1433016624338277E-2</v>
      </c>
      <c r="V545" s="11">
        <v>0</v>
      </c>
      <c r="W545" s="11">
        <v>0</v>
      </c>
      <c r="X545" s="11">
        <v>0</v>
      </c>
      <c r="Y545" s="11">
        <v>0</v>
      </c>
      <c r="Z545" t="s">
        <v>11</v>
      </c>
    </row>
    <row r="546" spans="1:26" x14ac:dyDescent="0.25">
      <c r="A546" s="20" t="s">
        <v>905</v>
      </c>
      <c r="B546" s="20" t="s">
        <v>60</v>
      </c>
      <c r="C546" s="20" t="s">
        <v>906</v>
      </c>
      <c r="D546" s="20" t="s">
        <v>216</v>
      </c>
      <c r="E546" s="13">
        <v>0</v>
      </c>
      <c r="F546" s="11">
        <v>0</v>
      </c>
      <c r="G546" s="13">
        <v>0</v>
      </c>
      <c r="H546" s="11">
        <v>0</v>
      </c>
      <c r="I546" s="13">
        <f>E546+G546</f>
        <v>0</v>
      </c>
      <c r="J546" s="11">
        <f>F546+H546</f>
        <v>0</v>
      </c>
      <c r="K546" s="13">
        <v>0</v>
      </c>
      <c r="L546" s="11">
        <v>0</v>
      </c>
      <c r="M546" s="11">
        <v>0</v>
      </c>
      <c r="N546" s="13">
        <v>0</v>
      </c>
      <c r="O546" s="11">
        <v>0</v>
      </c>
      <c r="P546" s="11">
        <v>0</v>
      </c>
      <c r="Q546" s="13">
        <f>K546+N546</f>
        <v>0</v>
      </c>
      <c r="R546" s="11">
        <f>L546+O546</f>
        <v>0</v>
      </c>
      <c r="S546" s="11">
        <f>M546+P546</f>
        <v>0</v>
      </c>
      <c r="T546" s="8">
        <f>I546-Q546</f>
        <v>0</v>
      </c>
      <c r="U546" s="18">
        <v>-7.7892638666815402E-3</v>
      </c>
      <c r="V546" s="11">
        <v>0</v>
      </c>
      <c r="W546" s="11">
        <v>0</v>
      </c>
      <c r="X546" s="11">
        <v>1</v>
      </c>
      <c r="Y546" s="11">
        <v>0</v>
      </c>
      <c r="Z546" t="s">
        <v>11</v>
      </c>
    </row>
    <row r="547" spans="1:26" x14ac:dyDescent="0.25">
      <c r="A547" s="20" t="s">
        <v>907</v>
      </c>
      <c r="B547" s="20" t="s">
        <v>60</v>
      </c>
      <c r="C547" s="20" t="s">
        <v>908</v>
      </c>
      <c r="D547" s="20" t="s">
        <v>216</v>
      </c>
      <c r="E547" s="13">
        <v>0</v>
      </c>
      <c r="F547" s="11">
        <v>0</v>
      </c>
      <c r="G547" s="13">
        <v>0</v>
      </c>
      <c r="H547" s="11">
        <v>0</v>
      </c>
      <c r="I547" s="13">
        <f>E547+G547</f>
        <v>0</v>
      </c>
      <c r="J547" s="11">
        <f>F547+H547</f>
        <v>0</v>
      </c>
      <c r="K547" s="13">
        <v>-2474.21</v>
      </c>
      <c r="L547" s="11">
        <v>0</v>
      </c>
      <c r="M547" s="11">
        <v>1</v>
      </c>
      <c r="N547" s="13">
        <v>0</v>
      </c>
      <c r="O547" s="11">
        <v>0</v>
      </c>
      <c r="P547" s="11">
        <v>0</v>
      </c>
      <c r="Q547" s="13">
        <f>K547+N547</f>
        <v>-2474.21</v>
      </c>
      <c r="R547" s="11">
        <f>L547+O547</f>
        <v>0</v>
      </c>
      <c r="S547" s="11">
        <f>M547+P547</f>
        <v>1</v>
      </c>
      <c r="T547" s="8">
        <f>I547-Q547</f>
        <v>2474.21</v>
      </c>
      <c r="U547" s="18">
        <v>-5.1855075406796416E-2</v>
      </c>
      <c r="V547" s="11">
        <v>0.5</v>
      </c>
      <c r="W547" s="11">
        <v>1</v>
      </c>
      <c r="X547" s="11">
        <v>1</v>
      </c>
      <c r="Y547" s="11">
        <v>0</v>
      </c>
      <c r="Z547" t="s">
        <v>11</v>
      </c>
    </row>
    <row r="548" spans="1:26" x14ac:dyDescent="0.25">
      <c r="A548" s="20" t="s">
        <v>909</v>
      </c>
      <c r="B548" s="20" t="s">
        <v>86</v>
      </c>
      <c r="C548" s="20" t="s">
        <v>910</v>
      </c>
      <c r="D548" s="20" t="s">
        <v>216</v>
      </c>
      <c r="E548" s="13">
        <v>0</v>
      </c>
      <c r="F548" s="11">
        <v>0</v>
      </c>
      <c r="G548" s="13">
        <v>0</v>
      </c>
      <c r="H548" s="11">
        <v>0</v>
      </c>
      <c r="I548" s="13">
        <f>E548+G548</f>
        <v>0</v>
      </c>
      <c r="J548" s="11">
        <f>F548+H548</f>
        <v>0</v>
      </c>
      <c r="K548" s="13">
        <v>0</v>
      </c>
      <c r="L548" s="11">
        <v>0</v>
      </c>
      <c r="M548" s="11">
        <v>0</v>
      </c>
      <c r="N548" s="13">
        <v>0</v>
      </c>
      <c r="O548" s="11">
        <v>0</v>
      </c>
      <c r="P548" s="11">
        <v>0</v>
      </c>
      <c r="Q548" s="13">
        <f>K548+N548</f>
        <v>0</v>
      </c>
      <c r="R548" s="11">
        <f>L548+O548</f>
        <v>0</v>
      </c>
      <c r="S548" s="11">
        <f>M548+P548</f>
        <v>0</v>
      </c>
      <c r="T548" s="8">
        <f>I548-Q548</f>
        <v>0</v>
      </c>
      <c r="U548" s="18" t="s">
        <v>1803</v>
      </c>
      <c r="V548" s="11">
        <v>0</v>
      </c>
      <c r="W548" s="11">
        <v>0</v>
      </c>
      <c r="X548" s="11">
        <v>0</v>
      </c>
      <c r="Y548" s="11">
        <v>0</v>
      </c>
      <c r="Z548" t="s">
        <v>11</v>
      </c>
    </row>
    <row r="549" spans="1:26" x14ac:dyDescent="0.25">
      <c r="A549" s="20" t="s">
        <v>914</v>
      </c>
      <c r="B549" s="20" t="s">
        <v>91</v>
      </c>
      <c r="C549" s="20" t="s">
        <v>915</v>
      </c>
      <c r="D549" s="20" t="s">
        <v>216</v>
      </c>
      <c r="E549" s="13">
        <v>0</v>
      </c>
      <c r="F549" s="11">
        <v>0</v>
      </c>
      <c r="G549" s="13">
        <v>0</v>
      </c>
      <c r="H549" s="11">
        <v>0</v>
      </c>
      <c r="I549" s="13">
        <f>E549+G549</f>
        <v>0</v>
      </c>
      <c r="J549" s="11">
        <f>F549+H549</f>
        <v>0</v>
      </c>
      <c r="K549" s="13">
        <v>0</v>
      </c>
      <c r="L549" s="11">
        <v>0</v>
      </c>
      <c r="M549" s="11">
        <v>0</v>
      </c>
      <c r="N549" s="13">
        <v>0</v>
      </c>
      <c r="O549" s="11">
        <v>0</v>
      </c>
      <c r="P549" s="11">
        <v>0</v>
      </c>
      <c r="Q549" s="13">
        <f>K549+N549</f>
        <v>0</v>
      </c>
      <c r="R549" s="11">
        <f>L549+O549</f>
        <v>0</v>
      </c>
      <c r="S549" s="11">
        <f>M549+P549</f>
        <v>0</v>
      </c>
      <c r="T549" s="8">
        <f>I549-Q549</f>
        <v>0</v>
      </c>
      <c r="U549" s="18">
        <v>8.0267174176060774E-2</v>
      </c>
      <c r="V549" s="11">
        <v>0</v>
      </c>
      <c r="W549" s="11">
        <v>0</v>
      </c>
      <c r="X549" s="11">
        <v>1</v>
      </c>
      <c r="Y549" s="11">
        <v>0</v>
      </c>
      <c r="Z549" t="s">
        <v>11</v>
      </c>
    </row>
    <row r="550" spans="1:26" x14ac:dyDescent="0.25">
      <c r="A550" s="20" t="s">
        <v>917</v>
      </c>
      <c r="B550" s="20" t="s">
        <v>124</v>
      </c>
      <c r="C550" s="20" t="s">
        <v>918</v>
      </c>
      <c r="D550" s="20" t="s">
        <v>216</v>
      </c>
      <c r="E550" s="13">
        <v>6516</v>
      </c>
      <c r="F550" s="11">
        <v>1</v>
      </c>
      <c r="G550" s="13">
        <v>7319</v>
      </c>
      <c r="H550" s="11">
        <v>0</v>
      </c>
      <c r="I550" s="13">
        <f>E550+G550</f>
        <v>13835</v>
      </c>
      <c r="J550" s="11">
        <f>F550+H550</f>
        <v>1</v>
      </c>
      <c r="K550" s="13">
        <v>696.25</v>
      </c>
      <c r="L550" s="11">
        <v>0</v>
      </c>
      <c r="M550" s="11">
        <v>0</v>
      </c>
      <c r="N550" s="13">
        <v>8370</v>
      </c>
      <c r="O550" s="11">
        <v>0</v>
      </c>
      <c r="P550" s="11">
        <v>2</v>
      </c>
      <c r="Q550" s="13">
        <f>K550+N550</f>
        <v>9066.25</v>
      </c>
      <c r="R550" s="11">
        <f>L550+O550</f>
        <v>0</v>
      </c>
      <c r="S550" s="11">
        <f>M550+P550</f>
        <v>2</v>
      </c>
      <c r="T550" s="8">
        <f>I550-Q550</f>
        <v>4768.75</v>
      </c>
      <c r="U550" s="18">
        <v>11.703093966473997</v>
      </c>
      <c r="V550" s="11">
        <v>0.19</v>
      </c>
      <c r="W550" s="11">
        <v>3</v>
      </c>
      <c r="X550" s="11">
        <v>13</v>
      </c>
      <c r="Y550" s="11">
        <v>1</v>
      </c>
      <c r="Z550" t="s">
        <v>11</v>
      </c>
    </row>
    <row r="551" spans="1:26" x14ac:dyDescent="0.25">
      <c r="A551" s="20" t="s">
        <v>922</v>
      </c>
      <c r="B551" s="20" t="s">
        <v>91</v>
      </c>
      <c r="C551" s="20" t="s">
        <v>923</v>
      </c>
      <c r="D551" s="20" t="s">
        <v>216</v>
      </c>
      <c r="E551" s="13">
        <v>0</v>
      </c>
      <c r="F551" s="11">
        <v>0</v>
      </c>
      <c r="G551" s="13">
        <v>0</v>
      </c>
      <c r="H551" s="11">
        <v>0</v>
      </c>
      <c r="I551" s="13">
        <f>E551+G551</f>
        <v>0</v>
      </c>
      <c r="J551" s="11">
        <f>F551+H551</f>
        <v>0</v>
      </c>
      <c r="K551" s="13">
        <v>0</v>
      </c>
      <c r="L551" s="11">
        <v>0</v>
      </c>
      <c r="M551" s="11">
        <v>0</v>
      </c>
      <c r="N551" s="13">
        <v>0</v>
      </c>
      <c r="O551" s="11">
        <v>0</v>
      </c>
      <c r="P551" s="11">
        <v>0</v>
      </c>
      <c r="Q551" s="13">
        <f>K551+N551</f>
        <v>0</v>
      </c>
      <c r="R551" s="11">
        <f>L551+O551</f>
        <v>0</v>
      </c>
      <c r="S551" s="11">
        <f>M551+P551</f>
        <v>0</v>
      </c>
      <c r="T551" s="8">
        <f>I551-Q551</f>
        <v>0</v>
      </c>
      <c r="U551" s="18">
        <v>-6.686876686535774E-2</v>
      </c>
      <c r="V551" s="11">
        <v>0</v>
      </c>
      <c r="W551" s="11">
        <v>0</v>
      </c>
      <c r="X551" s="11">
        <v>0</v>
      </c>
      <c r="Y551" s="11">
        <v>0</v>
      </c>
      <c r="Z551" t="s">
        <v>11</v>
      </c>
    </row>
    <row r="552" spans="1:26" x14ac:dyDescent="0.25">
      <c r="A552" s="20" t="s">
        <v>924</v>
      </c>
      <c r="B552" s="20" t="s">
        <v>91</v>
      </c>
      <c r="C552" s="20" t="s">
        <v>925</v>
      </c>
      <c r="D552" s="20" t="s">
        <v>216</v>
      </c>
      <c r="E552" s="13">
        <v>0</v>
      </c>
      <c r="F552" s="11">
        <v>0</v>
      </c>
      <c r="G552" s="13">
        <v>0</v>
      </c>
      <c r="H552" s="11">
        <v>0</v>
      </c>
      <c r="I552" s="13">
        <f>E552+G552</f>
        <v>0</v>
      </c>
      <c r="J552" s="11">
        <f>F552+H552</f>
        <v>0</v>
      </c>
      <c r="K552" s="13">
        <v>-5729.97</v>
      </c>
      <c r="L552" s="11">
        <v>0</v>
      </c>
      <c r="M552" s="11">
        <v>0</v>
      </c>
      <c r="N552" s="13">
        <v>17752</v>
      </c>
      <c r="O552" s="11">
        <v>0</v>
      </c>
      <c r="P552" s="11">
        <v>0</v>
      </c>
      <c r="Q552" s="13">
        <f>K552+N552</f>
        <v>12022.029999999999</v>
      </c>
      <c r="R552" s="11">
        <f>L552+O552</f>
        <v>0</v>
      </c>
      <c r="S552" s="11">
        <f>M552+P552</f>
        <v>0</v>
      </c>
      <c r="T552" s="8">
        <f>I552-Q552</f>
        <v>-12022.029999999999</v>
      </c>
      <c r="U552" s="18">
        <v>0.11174052158802061</v>
      </c>
      <c r="V552" s="11">
        <v>0</v>
      </c>
      <c r="W552" s="11">
        <v>0</v>
      </c>
      <c r="X552" s="11">
        <v>0</v>
      </c>
      <c r="Y552" s="11">
        <v>0</v>
      </c>
      <c r="Z552" t="s">
        <v>11</v>
      </c>
    </row>
    <row r="553" spans="1:26" x14ac:dyDescent="0.25">
      <c r="A553" s="20" t="s">
        <v>926</v>
      </c>
      <c r="B553" s="20" t="s">
        <v>848</v>
      </c>
      <c r="C553" s="20" t="s">
        <v>927</v>
      </c>
      <c r="D553" s="20" t="s">
        <v>216</v>
      </c>
      <c r="E553" s="13">
        <v>0</v>
      </c>
      <c r="F553" s="11">
        <v>0</v>
      </c>
      <c r="G553" s="13">
        <v>1263</v>
      </c>
      <c r="H553" s="11">
        <v>0</v>
      </c>
      <c r="I553" s="13">
        <f>E553+G553</f>
        <v>1263</v>
      </c>
      <c r="J553" s="11">
        <f>F553+H553</f>
        <v>0</v>
      </c>
      <c r="K553" s="13">
        <v>0</v>
      </c>
      <c r="L553" s="11">
        <v>0</v>
      </c>
      <c r="M553" s="11">
        <v>0</v>
      </c>
      <c r="N553" s="13">
        <v>1184</v>
      </c>
      <c r="O553" s="11">
        <v>0</v>
      </c>
      <c r="P553" s="11">
        <v>1</v>
      </c>
      <c r="Q553" s="13">
        <f>K553+N553</f>
        <v>1184</v>
      </c>
      <c r="R553" s="11">
        <f>L553+O553</f>
        <v>0</v>
      </c>
      <c r="S553" s="11">
        <f>M553+P553</f>
        <v>1</v>
      </c>
      <c r="T553" s="8">
        <f>I553-Q553</f>
        <v>79</v>
      </c>
      <c r="U553" s="18">
        <v>-0.19627465815874359</v>
      </c>
      <c r="V553" s="11">
        <v>0.5</v>
      </c>
      <c r="W553" s="11">
        <v>1</v>
      </c>
      <c r="X553" s="11">
        <v>1</v>
      </c>
      <c r="Y553" s="11">
        <v>1</v>
      </c>
      <c r="Z553" t="s">
        <v>11</v>
      </c>
    </row>
    <row r="554" spans="1:26" x14ac:dyDescent="0.25">
      <c r="A554" s="20" t="s">
        <v>928</v>
      </c>
      <c r="B554" s="20" t="s">
        <v>1377</v>
      </c>
      <c r="C554" s="20" t="s">
        <v>929</v>
      </c>
      <c r="D554" s="20" t="s">
        <v>216</v>
      </c>
      <c r="E554" s="13">
        <v>0</v>
      </c>
      <c r="F554" s="11">
        <v>0</v>
      </c>
      <c r="G554" s="13">
        <v>0</v>
      </c>
      <c r="H554" s="11">
        <v>0</v>
      </c>
      <c r="I554" s="13">
        <f>E554+G554</f>
        <v>0</v>
      </c>
      <c r="J554" s="11">
        <f>F554+H554</f>
        <v>0</v>
      </c>
      <c r="K554" s="13">
        <v>0</v>
      </c>
      <c r="L554" s="11">
        <v>0</v>
      </c>
      <c r="M554" s="11">
        <v>0</v>
      </c>
      <c r="N554" s="13">
        <v>0</v>
      </c>
      <c r="O554" s="11">
        <v>0</v>
      </c>
      <c r="P554" s="11">
        <v>1</v>
      </c>
      <c r="Q554" s="13">
        <f>K554+N554</f>
        <v>0</v>
      </c>
      <c r="R554" s="11">
        <f>L554+O554</f>
        <v>0</v>
      </c>
      <c r="S554" s="11">
        <f>M554+P554</f>
        <v>1</v>
      </c>
      <c r="T554" s="8">
        <f>I554-Q554</f>
        <v>0</v>
      </c>
      <c r="U554" s="18">
        <v>-0.1289467565409268</v>
      </c>
      <c r="V554" s="11">
        <v>0.5</v>
      </c>
      <c r="W554" s="11">
        <v>1</v>
      </c>
      <c r="X554" s="11">
        <v>1</v>
      </c>
      <c r="Y554" s="11">
        <v>0</v>
      </c>
      <c r="Z554" t="s">
        <v>11</v>
      </c>
    </row>
    <row r="555" spans="1:26" x14ac:dyDescent="0.25">
      <c r="A555" s="20" t="s">
        <v>930</v>
      </c>
      <c r="B555" s="20" t="s">
        <v>60</v>
      </c>
      <c r="C555" s="20" t="s">
        <v>931</v>
      </c>
      <c r="D555" s="20" t="s">
        <v>216</v>
      </c>
      <c r="E555" s="13">
        <v>0</v>
      </c>
      <c r="F555" s="11">
        <v>0</v>
      </c>
      <c r="G555" s="13">
        <v>6772</v>
      </c>
      <c r="H555" s="11">
        <v>0</v>
      </c>
      <c r="I555" s="13">
        <f>E555+G555</f>
        <v>6772</v>
      </c>
      <c r="J555" s="11">
        <f>F555+H555</f>
        <v>0</v>
      </c>
      <c r="K555" s="13">
        <v>0</v>
      </c>
      <c r="L555" s="11">
        <v>0</v>
      </c>
      <c r="M555" s="11">
        <v>0</v>
      </c>
      <c r="N555" s="13">
        <v>6428</v>
      </c>
      <c r="O555" s="11">
        <v>0</v>
      </c>
      <c r="P555" s="11">
        <v>0</v>
      </c>
      <c r="Q555" s="13">
        <f>K555+N555</f>
        <v>6428</v>
      </c>
      <c r="R555" s="11">
        <f>L555+O555</f>
        <v>0</v>
      </c>
      <c r="S555" s="11">
        <f>M555+P555</f>
        <v>0</v>
      </c>
      <c r="T555" s="8">
        <f>I555-Q555</f>
        <v>344</v>
      </c>
      <c r="U555" s="18">
        <v>1.2661206308867612</v>
      </c>
      <c r="V555" s="11">
        <v>0</v>
      </c>
      <c r="W555" s="11">
        <v>0</v>
      </c>
      <c r="X555" s="11">
        <v>0</v>
      </c>
      <c r="Y555" s="11">
        <v>1</v>
      </c>
      <c r="Z555" t="s">
        <v>11</v>
      </c>
    </row>
    <row r="556" spans="1:26" x14ac:dyDescent="0.25">
      <c r="A556" s="20" t="s">
        <v>75</v>
      </c>
      <c r="B556" s="20" t="s">
        <v>75</v>
      </c>
      <c r="C556" s="20" t="s">
        <v>76</v>
      </c>
      <c r="D556" s="20" t="s">
        <v>216</v>
      </c>
      <c r="E556" s="13">
        <v>23346.79</v>
      </c>
      <c r="F556" s="11">
        <v>0</v>
      </c>
      <c r="G556" s="13">
        <v>7791</v>
      </c>
      <c r="H556" s="11">
        <v>2</v>
      </c>
      <c r="I556" s="13">
        <f>E556+G556</f>
        <v>31137.79</v>
      </c>
      <c r="J556" s="11">
        <f>F556+H556</f>
        <v>2</v>
      </c>
      <c r="K556" s="13">
        <v>25266.11</v>
      </c>
      <c r="L556" s="11">
        <v>0</v>
      </c>
      <c r="M556" s="11">
        <v>3</v>
      </c>
      <c r="N556" s="13">
        <v>5980</v>
      </c>
      <c r="O556" s="11">
        <v>1</v>
      </c>
      <c r="P556" s="11">
        <v>6</v>
      </c>
      <c r="Q556" s="13">
        <f>K556+N556</f>
        <v>31246.11</v>
      </c>
      <c r="R556" s="11">
        <f>L556+O556</f>
        <v>1</v>
      </c>
      <c r="S556" s="11">
        <f>M556+P556</f>
        <v>9</v>
      </c>
      <c r="T556" s="8">
        <f>I556-Q556</f>
        <v>-108.31999999999971</v>
      </c>
      <c r="U556" s="18">
        <v>0.11747938035030239</v>
      </c>
      <c r="V556" s="11">
        <v>0.43</v>
      </c>
      <c r="W556" s="11">
        <v>10</v>
      </c>
      <c r="X556" s="11">
        <v>13</v>
      </c>
      <c r="Y556" s="11">
        <v>1</v>
      </c>
      <c r="Z556" t="s">
        <v>11</v>
      </c>
    </row>
    <row r="557" spans="1:26" x14ac:dyDescent="0.25">
      <c r="A557" s="20" t="s">
        <v>934</v>
      </c>
      <c r="B557" s="20" t="s">
        <v>848</v>
      </c>
      <c r="C557" s="20" t="s">
        <v>879</v>
      </c>
      <c r="D557" s="20" t="s">
        <v>216</v>
      </c>
      <c r="E557" s="13">
        <v>6578</v>
      </c>
      <c r="F557" s="11">
        <v>0</v>
      </c>
      <c r="G557" s="13">
        <v>3445</v>
      </c>
      <c r="H557" s="11">
        <v>0</v>
      </c>
      <c r="I557" s="13">
        <f>E557+G557</f>
        <v>10023</v>
      </c>
      <c r="J557" s="11">
        <f>F557+H557</f>
        <v>0</v>
      </c>
      <c r="K557" s="13">
        <v>5498</v>
      </c>
      <c r="L557" s="11">
        <v>0</v>
      </c>
      <c r="M557" s="11">
        <v>0</v>
      </c>
      <c r="N557" s="13">
        <v>3286</v>
      </c>
      <c r="O557" s="11">
        <v>0</v>
      </c>
      <c r="P557" s="11">
        <v>1</v>
      </c>
      <c r="Q557" s="13">
        <f>K557+N557</f>
        <v>8784</v>
      </c>
      <c r="R557" s="11">
        <f>L557+O557</f>
        <v>0</v>
      </c>
      <c r="S557" s="11">
        <f>M557+P557</f>
        <v>1</v>
      </c>
      <c r="T557" s="8">
        <f>I557-Q557</f>
        <v>1239</v>
      </c>
      <c r="U557" s="18">
        <v>0.11042480949189165</v>
      </c>
      <c r="V557" s="11">
        <v>0.33</v>
      </c>
      <c r="W557" s="11">
        <v>1</v>
      </c>
      <c r="X557" s="11">
        <v>2</v>
      </c>
      <c r="Y557" s="11">
        <v>0</v>
      </c>
      <c r="Z557" t="s">
        <v>11</v>
      </c>
    </row>
    <row r="558" spans="1:26" x14ac:dyDescent="0.25">
      <c r="A558" s="20" t="s">
        <v>939</v>
      </c>
      <c r="B558" s="20" t="s">
        <v>77</v>
      </c>
      <c r="C558" s="20" t="s">
        <v>3655</v>
      </c>
      <c r="D558" s="20" t="s">
        <v>215</v>
      </c>
      <c r="E558" s="13">
        <v>-1541.75</v>
      </c>
      <c r="F558" s="11">
        <v>0</v>
      </c>
      <c r="G558" s="13">
        <v>0</v>
      </c>
      <c r="H558" s="11">
        <v>0</v>
      </c>
      <c r="I558" s="13">
        <f>E558+G558</f>
        <v>-1541.75</v>
      </c>
      <c r="J558" s="11">
        <f>F558+H558</f>
        <v>0</v>
      </c>
      <c r="K558" s="13">
        <v>0</v>
      </c>
      <c r="L558" s="11">
        <v>0</v>
      </c>
      <c r="M558" s="11">
        <v>0</v>
      </c>
      <c r="N558" s="13">
        <v>0</v>
      </c>
      <c r="O558" s="11">
        <v>0</v>
      </c>
      <c r="P558" s="11">
        <v>0</v>
      </c>
      <c r="Q558" s="13">
        <f>K558+N558</f>
        <v>0</v>
      </c>
      <c r="R558" s="11">
        <f>L558+O558</f>
        <v>0</v>
      </c>
      <c r="S558" s="11">
        <f>M558+P558</f>
        <v>0</v>
      </c>
      <c r="T558" s="8">
        <f>I558-Q558</f>
        <v>-1541.75</v>
      </c>
      <c r="U558" s="18" t="s">
        <v>1803</v>
      </c>
      <c r="V558" s="11">
        <v>0</v>
      </c>
      <c r="W558" s="11">
        <v>0</v>
      </c>
      <c r="X558" s="11">
        <v>0</v>
      </c>
      <c r="Y558" s="11">
        <v>0</v>
      </c>
      <c r="Z558" t="s">
        <v>11</v>
      </c>
    </row>
    <row r="559" spans="1:26" x14ac:dyDescent="0.25">
      <c r="A559" s="20" t="s">
        <v>872</v>
      </c>
      <c r="B559" s="20" t="s">
        <v>872</v>
      </c>
      <c r="C559" s="20" t="s">
        <v>873</v>
      </c>
      <c r="D559" s="20" t="s">
        <v>216</v>
      </c>
      <c r="E559" s="13">
        <v>27879</v>
      </c>
      <c r="F559" s="11">
        <v>0</v>
      </c>
      <c r="G559" s="13">
        <v>0</v>
      </c>
      <c r="H559" s="11">
        <v>0</v>
      </c>
      <c r="I559" s="13">
        <f>E559+G559</f>
        <v>27879</v>
      </c>
      <c r="J559" s="11">
        <f>F559+H559</f>
        <v>0</v>
      </c>
      <c r="K559" s="13">
        <v>20049.919999999998</v>
      </c>
      <c r="L559" s="11">
        <v>0</v>
      </c>
      <c r="M559" s="11">
        <v>0</v>
      </c>
      <c r="N559" s="13">
        <v>24221.759999999998</v>
      </c>
      <c r="O559" s="11">
        <v>0</v>
      </c>
      <c r="P559" s="11">
        <v>1</v>
      </c>
      <c r="Q559" s="13">
        <f>K559+N559</f>
        <v>44271.679999999993</v>
      </c>
      <c r="R559" s="11">
        <f>L559+O559</f>
        <v>0</v>
      </c>
      <c r="S559" s="11">
        <f>M559+P559</f>
        <v>1</v>
      </c>
      <c r="T559" s="8">
        <f>I559-Q559</f>
        <v>-16392.679999999993</v>
      </c>
      <c r="U559" s="18">
        <v>6.1734777872130268E-2</v>
      </c>
      <c r="V559" s="11">
        <v>0.33</v>
      </c>
      <c r="W559" s="11">
        <v>1</v>
      </c>
      <c r="X559" s="11">
        <v>2</v>
      </c>
      <c r="Y559" s="11">
        <v>0</v>
      </c>
      <c r="Z559" t="s">
        <v>11</v>
      </c>
    </row>
    <row r="560" spans="1:26" x14ac:dyDescent="0.25">
      <c r="A560" s="20" t="s">
        <v>943</v>
      </c>
      <c r="B560" s="20" t="s">
        <v>202</v>
      </c>
      <c r="C560" s="20" t="s">
        <v>944</v>
      </c>
      <c r="D560" s="20" t="s">
        <v>216</v>
      </c>
      <c r="E560" s="13">
        <v>0</v>
      </c>
      <c r="F560" s="11">
        <v>0</v>
      </c>
      <c r="G560" s="13">
        <v>0</v>
      </c>
      <c r="H560" s="11">
        <v>0</v>
      </c>
      <c r="I560" s="13">
        <f>E560+G560</f>
        <v>0</v>
      </c>
      <c r="J560" s="11">
        <f>F560+H560</f>
        <v>0</v>
      </c>
      <c r="K560" s="13">
        <v>-260</v>
      </c>
      <c r="L560" s="11">
        <v>0</v>
      </c>
      <c r="M560" s="11">
        <v>0</v>
      </c>
      <c r="N560" s="13">
        <v>-4555.7</v>
      </c>
      <c r="O560" s="11">
        <v>0</v>
      </c>
      <c r="P560" s="11">
        <v>0</v>
      </c>
      <c r="Q560" s="13">
        <f>K560+N560</f>
        <v>-4815.7</v>
      </c>
      <c r="R560" s="11">
        <f>L560+O560</f>
        <v>0</v>
      </c>
      <c r="S560" s="11">
        <f>M560+P560</f>
        <v>0</v>
      </c>
      <c r="T560" s="8">
        <f>I560-Q560</f>
        <v>4815.7</v>
      </c>
      <c r="U560" s="18">
        <v>3.146704621308663E-2</v>
      </c>
      <c r="V560" s="11">
        <v>0</v>
      </c>
      <c r="W560" s="11">
        <v>0</v>
      </c>
      <c r="X560" s="11">
        <v>0</v>
      </c>
      <c r="Y560" s="11">
        <v>0</v>
      </c>
      <c r="Z560" t="s">
        <v>11</v>
      </c>
    </row>
    <row r="561" spans="1:26" x14ac:dyDescent="0.25">
      <c r="A561" s="20" t="s">
        <v>945</v>
      </c>
      <c r="B561" s="20" t="s">
        <v>58</v>
      </c>
      <c r="C561" s="20" t="s">
        <v>946</v>
      </c>
      <c r="D561" s="20" t="s">
        <v>216</v>
      </c>
      <c r="E561" s="13">
        <v>0</v>
      </c>
      <c r="F561" s="11">
        <v>0</v>
      </c>
      <c r="G561" s="13">
        <v>0</v>
      </c>
      <c r="H561" s="11">
        <v>0</v>
      </c>
      <c r="I561" s="13">
        <f>E561+G561</f>
        <v>0</v>
      </c>
      <c r="J561" s="11">
        <f>F561+H561</f>
        <v>0</v>
      </c>
      <c r="K561" s="13">
        <v>0</v>
      </c>
      <c r="L561" s="11">
        <v>0</v>
      </c>
      <c r="M561" s="11">
        <v>0</v>
      </c>
      <c r="N561" s="13">
        <v>0</v>
      </c>
      <c r="O561" s="11">
        <v>0</v>
      </c>
      <c r="P561" s="11">
        <v>0</v>
      </c>
      <c r="Q561" s="13">
        <f>K561+N561</f>
        <v>0</v>
      </c>
      <c r="R561" s="11">
        <f>L561+O561</f>
        <v>0</v>
      </c>
      <c r="S561" s="11">
        <f>M561+P561</f>
        <v>0</v>
      </c>
      <c r="T561" s="8">
        <f>I561-Q561</f>
        <v>0</v>
      </c>
      <c r="U561" s="18">
        <v>-0.28951743383455297</v>
      </c>
      <c r="V561" s="11">
        <v>0</v>
      </c>
      <c r="W561" s="11">
        <v>0</v>
      </c>
      <c r="X561" s="11">
        <v>0</v>
      </c>
      <c r="Y561" s="11">
        <v>0</v>
      </c>
      <c r="Z561" t="s">
        <v>11</v>
      </c>
    </row>
    <row r="562" spans="1:26" x14ac:dyDescent="0.25">
      <c r="A562" s="20" t="s">
        <v>949</v>
      </c>
      <c r="B562" s="20" t="s">
        <v>949</v>
      </c>
      <c r="C562" s="20" t="s">
        <v>950</v>
      </c>
      <c r="D562" s="20" t="s">
        <v>216</v>
      </c>
      <c r="E562" s="13">
        <v>0</v>
      </c>
      <c r="F562" s="11">
        <v>0</v>
      </c>
      <c r="G562" s="13">
        <v>0</v>
      </c>
      <c r="H562" s="11">
        <v>0</v>
      </c>
      <c r="I562" s="13">
        <f>E562+G562</f>
        <v>0</v>
      </c>
      <c r="J562" s="11">
        <f>F562+H562</f>
        <v>0</v>
      </c>
      <c r="K562" s="13">
        <v>0</v>
      </c>
      <c r="L562" s="11">
        <v>0</v>
      </c>
      <c r="M562" s="11">
        <v>0</v>
      </c>
      <c r="N562" s="13">
        <v>0</v>
      </c>
      <c r="O562" s="11">
        <v>0</v>
      </c>
      <c r="P562" s="11">
        <v>1</v>
      </c>
      <c r="Q562" s="13">
        <f>K562+N562</f>
        <v>0</v>
      </c>
      <c r="R562" s="11">
        <f>L562+O562</f>
        <v>0</v>
      </c>
      <c r="S562" s="11">
        <f>M562+P562</f>
        <v>1</v>
      </c>
      <c r="T562" s="8">
        <f>I562-Q562</f>
        <v>0</v>
      </c>
      <c r="U562" s="18">
        <v>2.7864171314634714E-2</v>
      </c>
      <c r="V562" s="11">
        <v>0.33</v>
      </c>
      <c r="W562" s="11">
        <v>1</v>
      </c>
      <c r="X562" s="11">
        <v>2</v>
      </c>
      <c r="Y562" s="11">
        <v>1</v>
      </c>
      <c r="Z562" t="s">
        <v>11</v>
      </c>
    </row>
    <row r="563" spans="1:26" x14ac:dyDescent="0.25">
      <c r="A563" s="20" t="s">
        <v>957</v>
      </c>
      <c r="B563" s="20" t="s">
        <v>218</v>
      </c>
      <c r="C563" s="20" t="s">
        <v>938</v>
      </c>
      <c r="D563" s="20" t="s">
        <v>216</v>
      </c>
      <c r="E563" s="13">
        <v>0</v>
      </c>
      <c r="F563" s="11">
        <v>0</v>
      </c>
      <c r="G563" s="13">
        <v>0</v>
      </c>
      <c r="H563" s="11">
        <v>0</v>
      </c>
      <c r="I563" s="13">
        <f>E563+G563</f>
        <v>0</v>
      </c>
      <c r="J563" s="11">
        <f>F563+H563</f>
        <v>0</v>
      </c>
      <c r="K563" s="13">
        <v>0</v>
      </c>
      <c r="L563" s="11">
        <v>0</v>
      </c>
      <c r="M563" s="11">
        <v>0</v>
      </c>
      <c r="N563" s="13">
        <v>0</v>
      </c>
      <c r="O563" s="11">
        <v>0</v>
      </c>
      <c r="P563" s="11">
        <v>0</v>
      </c>
      <c r="Q563" s="13">
        <f>K563+N563</f>
        <v>0</v>
      </c>
      <c r="R563" s="11">
        <f>L563+O563</f>
        <v>0</v>
      </c>
      <c r="S563" s="11">
        <f>M563+P563</f>
        <v>0</v>
      </c>
      <c r="T563" s="8">
        <f>I563-Q563</f>
        <v>0</v>
      </c>
      <c r="U563" s="18">
        <v>4.8357898380191167E-2</v>
      </c>
      <c r="V563" s="11">
        <v>0</v>
      </c>
      <c r="W563" s="11">
        <v>0</v>
      </c>
      <c r="X563" s="11">
        <v>0</v>
      </c>
      <c r="Y563" s="11">
        <v>0</v>
      </c>
      <c r="Z563" t="s">
        <v>11</v>
      </c>
    </row>
    <row r="564" spans="1:26" x14ac:dyDescent="0.25">
      <c r="A564" s="20" t="s">
        <v>962</v>
      </c>
      <c r="B564" s="20" t="s">
        <v>60</v>
      </c>
      <c r="C564" s="20" t="s">
        <v>963</v>
      </c>
      <c r="D564" s="20" t="s">
        <v>216</v>
      </c>
      <c r="E564" s="13">
        <v>0</v>
      </c>
      <c r="F564" s="11">
        <v>0</v>
      </c>
      <c r="G564" s="13">
        <v>0</v>
      </c>
      <c r="H564" s="11">
        <v>0</v>
      </c>
      <c r="I564" s="13">
        <f>E564+G564</f>
        <v>0</v>
      </c>
      <c r="J564" s="11">
        <f>F564+H564</f>
        <v>0</v>
      </c>
      <c r="K564" s="13">
        <v>0</v>
      </c>
      <c r="L564" s="11">
        <v>0</v>
      </c>
      <c r="M564" s="11">
        <v>0</v>
      </c>
      <c r="N564" s="13">
        <v>0</v>
      </c>
      <c r="O564" s="11">
        <v>0</v>
      </c>
      <c r="P564" s="11">
        <v>0</v>
      </c>
      <c r="Q564" s="13">
        <f>K564+N564</f>
        <v>0</v>
      </c>
      <c r="R564" s="11">
        <f>L564+O564</f>
        <v>0</v>
      </c>
      <c r="S564" s="11">
        <f>M564+P564</f>
        <v>0</v>
      </c>
      <c r="T564" s="8">
        <f>I564-Q564</f>
        <v>0</v>
      </c>
      <c r="U564" s="18" t="s">
        <v>1803</v>
      </c>
      <c r="V564" s="11">
        <v>0</v>
      </c>
      <c r="W564" s="11">
        <v>0</v>
      </c>
      <c r="X564" s="11">
        <v>0</v>
      </c>
      <c r="Y564" s="11">
        <v>0</v>
      </c>
      <c r="Z564" t="s">
        <v>11</v>
      </c>
    </row>
    <row r="565" spans="1:26" x14ac:dyDescent="0.25">
      <c r="A565" s="20" t="s">
        <v>937</v>
      </c>
      <c r="B565" s="20" t="s">
        <v>295</v>
      </c>
      <c r="C565" s="20" t="s">
        <v>964</v>
      </c>
      <c r="D565" s="20" t="s">
        <v>216</v>
      </c>
      <c r="E565" s="13">
        <v>0</v>
      </c>
      <c r="F565" s="11">
        <v>0</v>
      </c>
      <c r="G565" s="13">
        <v>0</v>
      </c>
      <c r="H565" s="11">
        <v>0</v>
      </c>
      <c r="I565" s="13">
        <f>E565+G565</f>
        <v>0</v>
      </c>
      <c r="J565" s="11">
        <f>F565+H565</f>
        <v>0</v>
      </c>
      <c r="K565" s="13">
        <v>13622</v>
      </c>
      <c r="L565" s="11">
        <v>0</v>
      </c>
      <c r="M565" s="11">
        <v>1</v>
      </c>
      <c r="N565" s="13">
        <v>0</v>
      </c>
      <c r="O565" s="11">
        <v>0</v>
      </c>
      <c r="P565" s="11">
        <v>1</v>
      </c>
      <c r="Q565" s="13">
        <f>K565+N565</f>
        <v>13622</v>
      </c>
      <c r="R565" s="11">
        <f>L565+O565</f>
        <v>0</v>
      </c>
      <c r="S565" s="11">
        <f>M565+P565</f>
        <v>2</v>
      </c>
      <c r="T565" s="8">
        <f>I565-Q565</f>
        <v>-13622</v>
      </c>
      <c r="U565" s="18">
        <v>-2.6030098803871977E-2</v>
      </c>
      <c r="V565" s="11">
        <v>0.28999999999999998</v>
      </c>
      <c r="W565" s="11">
        <v>2</v>
      </c>
      <c r="X565" s="11">
        <v>5</v>
      </c>
      <c r="Y565" s="11">
        <v>0</v>
      </c>
      <c r="Z565" t="s">
        <v>11</v>
      </c>
    </row>
    <row r="566" spans="1:26" x14ac:dyDescent="0.25">
      <c r="A566" s="20" t="s">
        <v>965</v>
      </c>
      <c r="B566" s="20" t="s">
        <v>257</v>
      </c>
      <c r="C566" s="20" t="s">
        <v>3090</v>
      </c>
      <c r="D566" s="20" t="s">
        <v>216</v>
      </c>
      <c r="E566" s="13">
        <v>42886</v>
      </c>
      <c r="F566" s="11">
        <v>1</v>
      </c>
      <c r="G566" s="13">
        <v>0</v>
      </c>
      <c r="H566" s="11">
        <v>0</v>
      </c>
      <c r="I566" s="13">
        <f>E566+G566</f>
        <v>42886</v>
      </c>
      <c r="J566" s="11">
        <f>F566+H566</f>
        <v>1</v>
      </c>
      <c r="K566" s="13">
        <v>29372.89</v>
      </c>
      <c r="L566" s="11">
        <v>0</v>
      </c>
      <c r="M566" s="11">
        <v>0</v>
      </c>
      <c r="N566" s="13">
        <v>0</v>
      </c>
      <c r="O566" s="11">
        <v>0</v>
      </c>
      <c r="P566" s="11">
        <v>0</v>
      </c>
      <c r="Q566" s="13">
        <f>K566+N566</f>
        <v>29372.89</v>
      </c>
      <c r="R566" s="11">
        <f>L566+O566</f>
        <v>0</v>
      </c>
      <c r="S566" s="11">
        <f>M566+P566</f>
        <v>0</v>
      </c>
      <c r="T566" s="8">
        <f>I566-Q566</f>
        <v>13513.11</v>
      </c>
      <c r="U566" s="18">
        <v>2.6937249209758365</v>
      </c>
      <c r="V566" s="11">
        <v>0.5</v>
      </c>
      <c r="W566" s="11">
        <v>1</v>
      </c>
      <c r="X566" s="11">
        <v>1</v>
      </c>
      <c r="Y566" s="11">
        <v>0</v>
      </c>
      <c r="Z566" t="s">
        <v>11</v>
      </c>
    </row>
    <row r="567" spans="1:26" x14ac:dyDescent="0.25">
      <c r="A567" s="20" t="s">
        <v>921</v>
      </c>
      <c r="B567" s="20" t="s">
        <v>3621</v>
      </c>
      <c r="C567" s="20" t="s">
        <v>3622</v>
      </c>
      <c r="D567" s="20" t="s">
        <v>215</v>
      </c>
      <c r="E567" s="13">
        <v>0</v>
      </c>
      <c r="F567" s="11">
        <v>0</v>
      </c>
      <c r="G567" s="13">
        <v>0</v>
      </c>
      <c r="H567" s="11">
        <v>0</v>
      </c>
      <c r="I567" s="13">
        <f>E567+G567</f>
        <v>0</v>
      </c>
      <c r="J567" s="11">
        <f>F567+H567</f>
        <v>0</v>
      </c>
      <c r="K567" s="13">
        <v>-6558.88</v>
      </c>
      <c r="L567" s="11">
        <v>0</v>
      </c>
      <c r="M567" s="11">
        <v>0</v>
      </c>
      <c r="N567" s="13">
        <v>11003</v>
      </c>
      <c r="O567" s="11">
        <v>0</v>
      </c>
      <c r="P567" s="11">
        <v>0</v>
      </c>
      <c r="Q567" s="13">
        <f>K567+N567</f>
        <v>4444.12</v>
      </c>
      <c r="R567" s="11">
        <f>L567+O567</f>
        <v>0</v>
      </c>
      <c r="S567" s="11">
        <f>M567+P567</f>
        <v>0</v>
      </c>
      <c r="T567" s="8">
        <f>I567-Q567</f>
        <v>-4444.12</v>
      </c>
      <c r="U567" s="18" t="s">
        <v>1803</v>
      </c>
      <c r="V567" s="11">
        <v>0</v>
      </c>
      <c r="W567" s="11">
        <v>0</v>
      </c>
      <c r="X567" s="11">
        <v>2</v>
      </c>
      <c r="Y567" s="11">
        <v>0</v>
      </c>
      <c r="Z567" t="s">
        <v>11</v>
      </c>
    </row>
    <row r="568" spans="1:26" x14ac:dyDescent="0.25">
      <c r="A568" s="20" t="s">
        <v>967</v>
      </c>
      <c r="B568" s="20" t="s">
        <v>97</v>
      </c>
      <c r="C568" s="20" t="s">
        <v>3198</v>
      </c>
      <c r="D568" s="20" t="s">
        <v>216</v>
      </c>
      <c r="E568" s="13">
        <v>6588</v>
      </c>
      <c r="F568" s="11">
        <v>0</v>
      </c>
      <c r="G568" s="13">
        <v>10066</v>
      </c>
      <c r="H568" s="11">
        <v>0</v>
      </c>
      <c r="I568" s="13">
        <f>E568+G568</f>
        <v>16654</v>
      </c>
      <c r="J568" s="11">
        <f>F568+H568</f>
        <v>0</v>
      </c>
      <c r="K568" s="13">
        <v>5989</v>
      </c>
      <c r="L568" s="11">
        <v>0</v>
      </c>
      <c r="M568" s="11">
        <v>0</v>
      </c>
      <c r="N568" s="13">
        <v>10520</v>
      </c>
      <c r="O568" s="11">
        <v>0</v>
      </c>
      <c r="P568" s="11">
        <v>2</v>
      </c>
      <c r="Q568" s="13">
        <f>K568+N568</f>
        <v>16509</v>
      </c>
      <c r="R568" s="11">
        <f>L568+O568</f>
        <v>0</v>
      </c>
      <c r="S568" s="11">
        <f>M568+P568</f>
        <v>2</v>
      </c>
      <c r="T568" s="8">
        <f>I568-Q568</f>
        <v>145</v>
      </c>
      <c r="U568" s="18">
        <v>4.4004156603320049E-2</v>
      </c>
      <c r="V568" s="11">
        <v>0.25</v>
      </c>
      <c r="W568" s="11">
        <v>2</v>
      </c>
      <c r="X568" s="11">
        <v>6</v>
      </c>
      <c r="Y568" s="11">
        <v>0</v>
      </c>
      <c r="Z568" t="s">
        <v>11</v>
      </c>
    </row>
    <row r="569" spans="1:26" x14ac:dyDescent="0.25">
      <c r="A569" s="20" t="s">
        <v>969</v>
      </c>
      <c r="B569" s="20" t="s">
        <v>97</v>
      </c>
      <c r="C569" s="20" t="s">
        <v>970</v>
      </c>
      <c r="D569" s="20" t="s">
        <v>216</v>
      </c>
      <c r="E569" s="13">
        <v>0</v>
      </c>
      <c r="F569" s="11">
        <v>0</v>
      </c>
      <c r="G569" s="13">
        <v>0</v>
      </c>
      <c r="H569" s="11">
        <v>0</v>
      </c>
      <c r="I569" s="13">
        <f>E569+G569</f>
        <v>0</v>
      </c>
      <c r="J569" s="11">
        <f>F569+H569</f>
        <v>0</v>
      </c>
      <c r="K569" s="13">
        <v>0</v>
      </c>
      <c r="L569" s="11">
        <v>0</v>
      </c>
      <c r="M569" s="11">
        <v>0</v>
      </c>
      <c r="N569" s="13">
        <v>0</v>
      </c>
      <c r="O569" s="11">
        <v>0</v>
      </c>
      <c r="P569" s="11">
        <v>0</v>
      </c>
      <c r="Q569" s="13">
        <f>K569+N569</f>
        <v>0</v>
      </c>
      <c r="R569" s="11">
        <f>L569+O569</f>
        <v>0</v>
      </c>
      <c r="S569" s="11">
        <f>M569+P569</f>
        <v>0</v>
      </c>
      <c r="T569" s="8">
        <f>I569-Q569</f>
        <v>0</v>
      </c>
      <c r="U569" s="18" t="s">
        <v>1803</v>
      </c>
      <c r="V569" s="11">
        <v>0</v>
      </c>
      <c r="W569" s="11">
        <v>0</v>
      </c>
      <c r="X569" s="11">
        <v>0</v>
      </c>
      <c r="Y569" s="11">
        <v>0</v>
      </c>
      <c r="Z569" t="s">
        <v>11</v>
      </c>
    </row>
    <row r="570" spans="1:26" x14ac:dyDescent="0.25">
      <c r="A570" s="20" t="s">
        <v>971</v>
      </c>
      <c r="B570" s="20" t="s">
        <v>91</v>
      </c>
      <c r="C570" s="20" t="s">
        <v>972</v>
      </c>
      <c r="D570" s="20" t="s">
        <v>216</v>
      </c>
      <c r="E570" s="13">
        <v>0</v>
      </c>
      <c r="F570" s="11">
        <v>0</v>
      </c>
      <c r="G570" s="13">
        <v>0</v>
      </c>
      <c r="H570" s="11">
        <v>0</v>
      </c>
      <c r="I570" s="13">
        <f>E570+G570</f>
        <v>0</v>
      </c>
      <c r="J570" s="11">
        <f>F570+H570</f>
        <v>0</v>
      </c>
      <c r="K570" s="13">
        <v>0</v>
      </c>
      <c r="L570" s="11">
        <v>0</v>
      </c>
      <c r="M570" s="11">
        <v>0</v>
      </c>
      <c r="N570" s="13">
        <v>0</v>
      </c>
      <c r="O570" s="11">
        <v>0</v>
      </c>
      <c r="P570" s="11">
        <v>0</v>
      </c>
      <c r="Q570" s="13">
        <f>K570+N570</f>
        <v>0</v>
      </c>
      <c r="R570" s="11">
        <f>L570+O570</f>
        <v>0</v>
      </c>
      <c r="S570" s="11">
        <f>M570+P570</f>
        <v>0</v>
      </c>
      <c r="T570" s="8">
        <f>I570-Q570</f>
        <v>0</v>
      </c>
      <c r="U570" s="18">
        <v>-2.9740253115772414E-2</v>
      </c>
      <c r="V570" s="11">
        <v>0</v>
      </c>
      <c r="W570" s="11">
        <v>0</v>
      </c>
      <c r="X570" s="11">
        <v>0</v>
      </c>
      <c r="Y570" s="11">
        <v>0</v>
      </c>
      <c r="Z570" t="s">
        <v>11</v>
      </c>
    </row>
    <row r="571" spans="1:26" x14ac:dyDescent="0.25">
      <c r="A571" s="20" t="s">
        <v>778</v>
      </c>
      <c r="B571" s="20" t="s">
        <v>778</v>
      </c>
      <c r="C571" s="20" t="s">
        <v>973</v>
      </c>
      <c r="D571" s="20" t="s">
        <v>216</v>
      </c>
      <c r="E571" s="13">
        <v>0</v>
      </c>
      <c r="F571" s="11">
        <v>0</v>
      </c>
      <c r="G571" s="13">
        <v>0</v>
      </c>
      <c r="H571" s="11">
        <v>0</v>
      </c>
      <c r="I571" s="13">
        <f>E571+G571</f>
        <v>0</v>
      </c>
      <c r="J571" s="11">
        <f>F571+H571</f>
        <v>0</v>
      </c>
      <c r="K571" s="13">
        <v>0</v>
      </c>
      <c r="L571" s="11">
        <v>0</v>
      </c>
      <c r="M571" s="11">
        <v>0</v>
      </c>
      <c r="N571" s="13">
        <v>0</v>
      </c>
      <c r="O571" s="11">
        <v>0</v>
      </c>
      <c r="P571" s="11">
        <v>0</v>
      </c>
      <c r="Q571" s="13">
        <f>K571+N571</f>
        <v>0</v>
      </c>
      <c r="R571" s="11">
        <f>L571+O571</f>
        <v>0</v>
      </c>
      <c r="S571" s="11">
        <f>M571+P571</f>
        <v>0</v>
      </c>
      <c r="T571" s="8">
        <f>I571-Q571</f>
        <v>0</v>
      </c>
      <c r="U571" s="18" t="s">
        <v>1803</v>
      </c>
      <c r="V571" s="11">
        <v>0</v>
      </c>
      <c r="W571" s="11">
        <v>0</v>
      </c>
      <c r="X571" s="11">
        <v>0</v>
      </c>
      <c r="Y571" s="11">
        <v>0</v>
      </c>
      <c r="Z571" t="s">
        <v>11</v>
      </c>
    </row>
    <row r="572" spans="1:26" x14ac:dyDescent="0.25">
      <c r="A572" s="20" t="s">
        <v>974</v>
      </c>
      <c r="B572" s="20" t="s">
        <v>124</v>
      </c>
      <c r="C572" s="20" t="s">
        <v>975</v>
      </c>
      <c r="D572" s="20" t="s">
        <v>216</v>
      </c>
      <c r="E572" s="13">
        <v>0</v>
      </c>
      <c r="F572" s="11">
        <v>0</v>
      </c>
      <c r="G572" s="13">
        <v>0</v>
      </c>
      <c r="H572" s="11">
        <v>0</v>
      </c>
      <c r="I572" s="13">
        <f>E572+G572</f>
        <v>0</v>
      </c>
      <c r="J572" s="11">
        <f>F572+H572</f>
        <v>0</v>
      </c>
      <c r="K572" s="13">
        <v>0</v>
      </c>
      <c r="L572" s="11">
        <v>0</v>
      </c>
      <c r="M572" s="11">
        <v>0</v>
      </c>
      <c r="N572" s="13">
        <v>0</v>
      </c>
      <c r="O572" s="11">
        <v>0</v>
      </c>
      <c r="P572" s="11">
        <v>0</v>
      </c>
      <c r="Q572" s="13">
        <f>K572+N572</f>
        <v>0</v>
      </c>
      <c r="R572" s="11">
        <f>L572+O572</f>
        <v>0</v>
      </c>
      <c r="S572" s="11">
        <f>M572+P572</f>
        <v>0</v>
      </c>
      <c r="T572" s="8">
        <f>I572-Q572</f>
        <v>0</v>
      </c>
      <c r="U572" s="18" t="s">
        <v>1803</v>
      </c>
      <c r="V572" s="11">
        <v>0</v>
      </c>
      <c r="W572" s="11">
        <v>0</v>
      </c>
      <c r="X572" s="11">
        <v>0</v>
      </c>
      <c r="Y572" s="11">
        <v>0</v>
      </c>
      <c r="Z572" t="s">
        <v>11</v>
      </c>
    </row>
    <row r="573" spans="1:26" x14ac:dyDescent="0.25">
      <c r="A573" s="20" t="s">
        <v>976</v>
      </c>
      <c r="B573" s="20" t="s">
        <v>83</v>
      </c>
      <c r="C573" s="20" t="s">
        <v>865</v>
      </c>
      <c r="D573" s="20" t="s">
        <v>216</v>
      </c>
      <c r="E573" s="13">
        <v>20515.82</v>
      </c>
      <c r="F573" s="11">
        <v>0</v>
      </c>
      <c r="G573" s="13">
        <v>12631</v>
      </c>
      <c r="H573" s="11">
        <v>0</v>
      </c>
      <c r="I573" s="13">
        <f>E573+G573</f>
        <v>33146.82</v>
      </c>
      <c r="J573" s="11">
        <f>F573+H573</f>
        <v>0</v>
      </c>
      <c r="K573" s="13">
        <v>21380.91</v>
      </c>
      <c r="L573" s="11">
        <v>0</v>
      </c>
      <c r="M573" s="11">
        <v>1</v>
      </c>
      <c r="N573" s="13">
        <v>13710.67</v>
      </c>
      <c r="O573" s="11">
        <v>1</v>
      </c>
      <c r="P573" s="11">
        <v>4</v>
      </c>
      <c r="Q573" s="13">
        <f>K573+N573</f>
        <v>35091.58</v>
      </c>
      <c r="R573" s="11">
        <f>L573+O573</f>
        <v>1</v>
      </c>
      <c r="S573" s="11">
        <f>M573+P573</f>
        <v>5</v>
      </c>
      <c r="T573" s="8">
        <f>I573-Q573</f>
        <v>-1944.760000000002</v>
      </c>
      <c r="U573" s="18">
        <v>0.33437594259893832</v>
      </c>
      <c r="V573" s="11">
        <v>0.27</v>
      </c>
      <c r="W573" s="11">
        <v>4</v>
      </c>
      <c r="X573" s="11">
        <v>11</v>
      </c>
      <c r="Y573" s="11">
        <v>2</v>
      </c>
      <c r="Z573" t="s">
        <v>11</v>
      </c>
    </row>
    <row r="574" spans="1:26" x14ac:dyDescent="0.25">
      <c r="A574" s="20" t="s">
        <v>978</v>
      </c>
      <c r="B574" s="20" t="s">
        <v>77</v>
      </c>
      <c r="C574" s="20" t="s">
        <v>695</v>
      </c>
      <c r="D574" s="20" t="s">
        <v>216</v>
      </c>
      <c r="E574" s="13">
        <v>0</v>
      </c>
      <c r="F574" s="11">
        <v>0</v>
      </c>
      <c r="G574" s="13">
        <v>0</v>
      </c>
      <c r="H574" s="11">
        <v>0</v>
      </c>
      <c r="I574" s="13">
        <f>E574+G574</f>
        <v>0</v>
      </c>
      <c r="J574" s="11">
        <f>F574+H574</f>
        <v>0</v>
      </c>
      <c r="K574" s="13">
        <v>0</v>
      </c>
      <c r="L574" s="11">
        <v>0</v>
      </c>
      <c r="M574" s="11">
        <v>0</v>
      </c>
      <c r="N574" s="13">
        <v>0</v>
      </c>
      <c r="O574" s="11">
        <v>0</v>
      </c>
      <c r="P574" s="11">
        <v>0</v>
      </c>
      <c r="Q574" s="13">
        <f>K574+N574</f>
        <v>0</v>
      </c>
      <c r="R574" s="11">
        <f>L574+O574</f>
        <v>0</v>
      </c>
      <c r="S574" s="11">
        <f>M574+P574</f>
        <v>0</v>
      </c>
      <c r="T574" s="8">
        <f>I574-Q574</f>
        <v>0</v>
      </c>
      <c r="U574" s="18" t="s">
        <v>1803</v>
      </c>
      <c r="V574" s="11">
        <v>0</v>
      </c>
      <c r="W574" s="11">
        <v>0</v>
      </c>
      <c r="X574" s="11">
        <v>0</v>
      </c>
      <c r="Y574" s="11">
        <v>0</v>
      </c>
      <c r="Z574" t="s">
        <v>11</v>
      </c>
    </row>
    <row r="575" spans="1:26" x14ac:dyDescent="0.25">
      <c r="A575" s="20" t="s">
        <v>980</v>
      </c>
      <c r="B575" s="20" t="s">
        <v>97</v>
      </c>
      <c r="C575" s="20" t="s">
        <v>875</v>
      </c>
      <c r="D575" s="20" t="s">
        <v>216</v>
      </c>
      <c r="E575" s="13">
        <v>134987</v>
      </c>
      <c r="F575" s="11">
        <v>1</v>
      </c>
      <c r="G575" s="13">
        <v>1512</v>
      </c>
      <c r="H575" s="11">
        <v>0</v>
      </c>
      <c r="I575" s="13">
        <f>E575+G575</f>
        <v>136499</v>
      </c>
      <c r="J575" s="11">
        <f>F575+H575</f>
        <v>1</v>
      </c>
      <c r="K575" s="13">
        <v>113510</v>
      </c>
      <c r="L575" s="11">
        <v>0</v>
      </c>
      <c r="M575" s="11">
        <v>4</v>
      </c>
      <c r="N575" s="13">
        <v>0</v>
      </c>
      <c r="O575" s="11">
        <v>0</v>
      </c>
      <c r="P575" s="11">
        <v>8</v>
      </c>
      <c r="Q575" s="13">
        <f>K575+N575</f>
        <v>113510</v>
      </c>
      <c r="R575" s="11">
        <f>L575+O575</f>
        <v>0</v>
      </c>
      <c r="S575" s="11">
        <f>M575+P575</f>
        <v>12</v>
      </c>
      <c r="T575" s="8">
        <f>I575-Q575</f>
        <v>22989</v>
      </c>
      <c r="U575" s="18">
        <v>8.2724070307273412E-2</v>
      </c>
      <c r="V575" s="11">
        <v>0.46</v>
      </c>
      <c r="W575" s="11">
        <v>13</v>
      </c>
      <c r="X575" s="11">
        <v>15</v>
      </c>
      <c r="Y575" s="11">
        <v>2</v>
      </c>
      <c r="Z575" t="s">
        <v>11</v>
      </c>
    </row>
    <row r="576" spans="1:26" x14ac:dyDescent="0.25">
      <c r="A576" s="20" t="s">
        <v>984</v>
      </c>
      <c r="B576" s="20" t="s">
        <v>60</v>
      </c>
      <c r="C576" s="20" t="s">
        <v>985</v>
      </c>
      <c r="D576" s="20" t="s">
        <v>216</v>
      </c>
      <c r="E576" s="13">
        <v>0</v>
      </c>
      <c r="F576" s="11">
        <v>0</v>
      </c>
      <c r="G576" s="13">
        <v>4140</v>
      </c>
      <c r="H576" s="11">
        <v>0</v>
      </c>
      <c r="I576" s="13">
        <f>E576+G576</f>
        <v>4140</v>
      </c>
      <c r="J576" s="11">
        <f>F576+H576</f>
        <v>0</v>
      </c>
      <c r="K576" s="13">
        <v>0</v>
      </c>
      <c r="L576" s="11">
        <v>0</v>
      </c>
      <c r="M576" s="11">
        <v>0</v>
      </c>
      <c r="N576" s="13">
        <v>3652</v>
      </c>
      <c r="O576" s="11">
        <v>0</v>
      </c>
      <c r="P576" s="11">
        <v>0</v>
      </c>
      <c r="Q576" s="13">
        <f>K576+N576</f>
        <v>3652</v>
      </c>
      <c r="R576" s="11">
        <f>L576+O576</f>
        <v>0</v>
      </c>
      <c r="S576" s="11">
        <f>M576+P576</f>
        <v>0</v>
      </c>
      <c r="T576" s="8">
        <f>I576-Q576</f>
        <v>488</v>
      </c>
      <c r="U576" s="18">
        <v>3.0972848418050185E-2</v>
      </c>
      <c r="V576" s="11">
        <v>0</v>
      </c>
      <c r="W576" s="11">
        <v>0</v>
      </c>
      <c r="X576" s="11">
        <v>0</v>
      </c>
      <c r="Y576" s="11">
        <v>0</v>
      </c>
      <c r="Z576" t="s">
        <v>11</v>
      </c>
    </row>
    <row r="577" spans="1:26" x14ac:dyDescent="0.25">
      <c r="A577" s="20" t="s">
        <v>986</v>
      </c>
      <c r="B577" s="20" t="s">
        <v>124</v>
      </c>
      <c r="C577" s="20" t="s">
        <v>987</v>
      </c>
      <c r="D577" s="20" t="s">
        <v>216</v>
      </c>
      <c r="E577" s="13">
        <v>0</v>
      </c>
      <c r="F577" s="11">
        <v>0</v>
      </c>
      <c r="G577" s="13">
        <v>0</v>
      </c>
      <c r="H577" s="11">
        <v>0</v>
      </c>
      <c r="I577" s="13">
        <f>E577+G577</f>
        <v>0</v>
      </c>
      <c r="J577" s="11">
        <f>F577+H577</f>
        <v>0</v>
      </c>
      <c r="K577" s="13">
        <v>0</v>
      </c>
      <c r="L577" s="11">
        <v>0</v>
      </c>
      <c r="M577" s="11">
        <v>0</v>
      </c>
      <c r="N577" s="13">
        <v>0</v>
      </c>
      <c r="O577" s="11">
        <v>0</v>
      </c>
      <c r="P577" s="11">
        <v>0</v>
      </c>
      <c r="Q577" s="13">
        <f>K577+N577</f>
        <v>0</v>
      </c>
      <c r="R577" s="11">
        <f>L577+O577</f>
        <v>0</v>
      </c>
      <c r="S577" s="11">
        <f>M577+P577</f>
        <v>0</v>
      </c>
      <c r="T577" s="8">
        <f>I577-Q577</f>
        <v>0</v>
      </c>
      <c r="U577" s="18" t="s">
        <v>1803</v>
      </c>
      <c r="V577" s="11">
        <v>0</v>
      </c>
      <c r="W577" s="11">
        <v>0</v>
      </c>
      <c r="X577" s="11">
        <v>0</v>
      </c>
      <c r="Y577" s="11">
        <v>0</v>
      </c>
      <c r="Z577" t="s">
        <v>11</v>
      </c>
    </row>
    <row r="578" spans="1:26" x14ac:dyDescent="0.25">
      <c r="A578" s="20" t="s">
        <v>1809</v>
      </c>
      <c r="B578" s="20" t="s">
        <v>778</v>
      </c>
      <c r="C578" s="20" t="s">
        <v>1810</v>
      </c>
      <c r="D578" s="20" t="s">
        <v>216</v>
      </c>
      <c r="E578" s="13">
        <v>0</v>
      </c>
      <c r="F578" s="11">
        <v>0</v>
      </c>
      <c r="G578" s="13">
        <v>0</v>
      </c>
      <c r="H578" s="11">
        <v>0</v>
      </c>
      <c r="I578" s="13">
        <f>E578+G578</f>
        <v>0</v>
      </c>
      <c r="J578" s="11">
        <f>F578+H578</f>
        <v>0</v>
      </c>
      <c r="K578" s="13">
        <v>0</v>
      </c>
      <c r="L578" s="11">
        <v>0</v>
      </c>
      <c r="M578" s="11">
        <v>0</v>
      </c>
      <c r="N578" s="13">
        <v>0</v>
      </c>
      <c r="O578" s="11">
        <v>0</v>
      </c>
      <c r="P578" s="11">
        <v>0</v>
      </c>
      <c r="Q578" s="13">
        <f>K578+N578</f>
        <v>0</v>
      </c>
      <c r="R578" s="11">
        <f>L578+O578</f>
        <v>0</v>
      </c>
      <c r="S578" s="11">
        <f>M578+P578</f>
        <v>0</v>
      </c>
      <c r="T578" s="8">
        <f>I578-Q578</f>
        <v>0</v>
      </c>
      <c r="U578" s="18">
        <v>0.60190166128353317</v>
      </c>
      <c r="V578" s="11">
        <v>0</v>
      </c>
      <c r="W578" s="11">
        <v>0</v>
      </c>
      <c r="X578" s="11">
        <v>1</v>
      </c>
      <c r="Y578" s="11">
        <v>0</v>
      </c>
      <c r="Z578" t="s">
        <v>11</v>
      </c>
    </row>
    <row r="579" spans="1:26" x14ac:dyDescent="0.25">
      <c r="A579" s="20" t="s">
        <v>2024</v>
      </c>
      <c r="B579" s="20" t="s">
        <v>477</v>
      </c>
      <c r="C579" s="20" t="s">
        <v>2025</v>
      </c>
      <c r="D579" s="20" t="s">
        <v>216</v>
      </c>
      <c r="E579" s="13">
        <v>0</v>
      </c>
      <c r="F579" s="11">
        <v>0</v>
      </c>
      <c r="G579" s="13">
        <v>470.57</v>
      </c>
      <c r="H579" s="11">
        <v>0</v>
      </c>
      <c r="I579" s="13">
        <f>E579+G579</f>
        <v>470.57</v>
      </c>
      <c r="J579" s="11">
        <f>F579+H579</f>
        <v>0</v>
      </c>
      <c r="K579" s="13">
        <v>0</v>
      </c>
      <c r="L579" s="11">
        <v>0</v>
      </c>
      <c r="M579" s="11">
        <v>0</v>
      </c>
      <c r="N579" s="13">
        <v>24407</v>
      </c>
      <c r="O579" s="11">
        <v>0</v>
      </c>
      <c r="P579" s="11">
        <v>0</v>
      </c>
      <c r="Q579" s="13">
        <f>K579+N579</f>
        <v>24407</v>
      </c>
      <c r="R579" s="11">
        <f>L579+O579</f>
        <v>0</v>
      </c>
      <c r="S579" s="11">
        <f>M579+P579</f>
        <v>0</v>
      </c>
      <c r="T579" s="8">
        <f>I579-Q579</f>
        <v>-23936.43</v>
      </c>
      <c r="U579" s="18">
        <v>8.1826144994487843E-2</v>
      </c>
      <c r="V579" s="11">
        <v>0</v>
      </c>
      <c r="W579" s="11">
        <v>0</v>
      </c>
      <c r="X579" s="11">
        <v>1</v>
      </c>
      <c r="Y579" s="11">
        <v>0</v>
      </c>
      <c r="Z579" t="s">
        <v>11</v>
      </c>
    </row>
    <row r="580" spans="1:26" x14ac:dyDescent="0.25">
      <c r="A580" s="20" t="s">
        <v>2989</v>
      </c>
      <c r="B580" s="20" t="s">
        <v>60</v>
      </c>
      <c r="C580" s="20" t="s">
        <v>2990</v>
      </c>
      <c r="D580" s="20" t="s">
        <v>216</v>
      </c>
      <c r="E580" s="13">
        <v>2363</v>
      </c>
      <c r="F580" s="11">
        <v>0</v>
      </c>
      <c r="G580" s="13">
        <v>0</v>
      </c>
      <c r="H580" s="11">
        <v>0</v>
      </c>
      <c r="I580" s="13">
        <f>E580+G580</f>
        <v>2363</v>
      </c>
      <c r="J580" s="11">
        <f>F580+H580</f>
        <v>0</v>
      </c>
      <c r="K580" s="13">
        <v>5981</v>
      </c>
      <c r="L580" s="11">
        <v>0</v>
      </c>
      <c r="M580" s="11">
        <v>0</v>
      </c>
      <c r="N580" s="13">
        <v>0</v>
      </c>
      <c r="O580" s="11">
        <v>0</v>
      </c>
      <c r="P580" s="11">
        <v>0</v>
      </c>
      <c r="Q580" s="13">
        <f>K580+N580</f>
        <v>5981</v>
      </c>
      <c r="R580" s="11">
        <f>L580+O580</f>
        <v>0</v>
      </c>
      <c r="S580" s="11">
        <f>M580+P580</f>
        <v>0</v>
      </c>
      <c r="T580" s="8">
        <f>I580-Q580</f>
        <v>-3618</v>
      </c>
      <c r="U580" s="18">
        <v>0.15313345082250157</v>
      </c>
      <c r="V580" s="11">
        <v>0</v>
      </c>
      <c r="W580" s="11">
        <v>0</v>
      </c>
      <c r="X580" s="11">
        <v>3</v>
      </c>
      <c r="Y580" s="11">
        <v>3</v>
      </c>
      <c r="Z580" t="s">
        <v>11</v>
      </c>
    </row>
    <row r="581" spans="1:26" x14ac:dyDescent="0.25">
      <c r="A581" s="20" t="s">
        <v>3047</v>
      </c>
      <c r="B581" s="20" t="s">
        <v>257</v>
      </c>
      <c r="C581" s="20" t="s">
        <v>3048</v>
      </c>
      <c r="D581" s="20" t="s">
        <v>216</v>
      </c>
      <c r="E581" s="13">
        <v>0</v>
      </c>
      <c r="F581" s="11">
        <v>0</v>
      </c>
      <c r="G581" s="13">
        <v>0</v>
      </c>
      <c r="H581" s="11">
        <v>0</v>
      </c>
      <c r="I581" s="13">
        <f>E581+G581</f>
        <v>0</v>
      </c>
      <c r="J581" s="11">
        <f>F581+H581</f>
        <v>0</v>
      </c>
      <c r="K581" s="13">
        <v>0</v>
      </c>
      <c r="L581" s="11">
        <v>0</v>
      </c>
      <c r="M581" s="11">
        <v>0</v>
      </c>
      <c r="N581" s="13">
        <v>0</v>
      </c>
      <c r="O581" s="11">
        <v>0</v>
      </c>
      <c r="P581" s="11">
        <v>0</v>
      </c>
      <c r="Q581" s="13">
        <f>K581+N581</f>
        <v>0</v>
      </c>
      <c r="R581" s="11">
        <f>L581+O581</f>
        <v>0</v>
      </c>
      <c r="S581" s="11">
        <f>M581+P581</f>
        <v>0</v>
      </c>
      <c r="T581" s="8">
        <f>I581-Q581</f>
        <v>0</v>
      </c>
      <c r="U581" s="18">
        <v>-4.8221314479674066E-3</v>
      </c>
      <c r="V581" s="11">
        <v>0</v>
      </c>
      <c r="W581" s="11">
        <v>0</v>
      </c>
      <c r="X581" s="11">
        <v>0</v>
      </c>
      <c r="Y581" s="11">
        <v>0</v>
      </c>
      <c r="Z581" t="s">
        <v>11</v>
      </c>
    </row>
    <row r="582" spans="1:26" x14ac:dyDescent="0.25">
      <c r="A582" s="20" t="s">
        <v>3064</v>
      </c>
      <c r="B582" s="20" t="s">
        <v>949</v>
      </c>
      <c r="C582" s="20" t="s">
        <v>3065</v>
      </c>
      <c r="D582" s="20" t="s">
        <v>216</v>
      </c>
      <c r="E582" s="13">
        <v>0</v>
      </c>
      <c r="F582" s="11">
        <v>0</v>
      </c>
      <c r="G582" s="13">
        <v>0</v>
      </c>
      <c r="H582" s="11">
        <v>0</v>
      </c>
      <c r="I582" s="13">
        <f>E582+G582</f>
        <v>0</v>
      </c>
      <c r="J582" s="11">
        <f>F582+H582</f>
        <v>0</v>
      </c>
      <c r="K582" s="13">
        <v>0</v>
      </c>
      <c r="L582" s="11">
        <v>0</v>
      </c>
      <c r="M582" s="11">
        <v>0</v>
      </c>
      <c r="N582" s="13">
        <v>0</v>
      </c>
      <c r="O582" s="11">
        <v>0</v>
      </c>
      <c r="P582" s="11">
        <v>0</v>
      </c>
      <c r="Q582" s="13">
        <f>K582+N582</f>
        <v>0</v>
      </c>
      <c r="R582" s="11">
        <f>L582+O582</f>
        <v>0</v>
      </c>
      <c r="S582" s="11">
        <f>M582+P582</f>
        <v>0</v>
      </c>
      <c r="T582" s="8">
        <f>I582-Q582</f>
        <v>0</v>
      </c>
      <c r="U582" s="18">
        <v>2.4069974134009664E-3</v>
      </c>
      <c r="V582" s="11">
        <v>0</v>
      </c>
      <c r="W582" s="11">
        <v>0</v>
      </c>
      <c r="X582" s="11">
        <v>0</v>
      </c>
      <c r="Y582" s="11">
        <v>0</v>
      </c>
      <c r="Z582" t="s">
        <v>11</v>
      </c>
    </row>
    <row r="583" spans="1:26" x14ac:dyDescent="0.25">
      <c r="A583" s="20" t="s">
        <v>3091</v>
      </c>
      <c r="B583" s="20" t="s">
        <v>97</v>
      </c>
      <c r="C583" s="20" t="s">
        <v>846</v>
      </c>
      <c r="D583" s="20" t="s">
        <v>216</v>
      </c>
      <c r="E583" s="13">
        <v>7953</v>
      </c>
      <c r="F583" s="11">
        <v>1</v>
      </c>
      <c r="G583" s="13">
        <v>5017</v>
      </c>
      <c r="H583" s="11">
        <v>0</v>
      </c>
      <c r="I583" s="13">
        <f>E583+G583</f>
        <v>12970</v>
      </c>
      <c r="J583" s="11">
        <f>F583+H583</f>
        <v>1</v>
      </c>
      <c r="K583" s="13">
        <v>8109</v>
      </c>
      <c r="L583" s="11">
        <v>0</v>
      </c>
      <c r="M583" s="11">
        <v>1</v>
      </c>
      <c r="N583" s="13">
        <v>17826</v>
      </c>
      <c r="O583" s="11">
        <v>0</v>
      </c>
      <c r="P583" s="11">
        <v>5</v>
      </c>
      <c r="Q583" s="13">
        <f>K583+N583</f>
        <v>25935</v>
      </c>
      <c r="R583" s="11">
        <f>L583+O583</f>
        <v>0</v>
      </c>
      <c r="S583" s="11">
        <f>M583+P583</f>
        <v>6</v>
      </c>
      <c r="T583" s="8">
        <f>I583-Q583</f>
        <v>-12965</v>
      </c>
      <c r="U583" s="18">
        <v>9.4453302220452923E-2</v>
      </c>
      <c r="V583" s="11">
        <v>0.38</v>
      </c>
      <c r="W583" s="11">
        <v>8</v>
      </c>
      <c r="X583" s="11">
        <v>13</v>
      </c>
      <c r="Y583" s="11">
        <v>2</v>
      </c>
      <c r="Z583" t="s">
        <v>11</v>
      </c>
    </row>
    <row r="584" spans="1:26" x14ac:dyDescent="0.25">
      <c r="A584" s="20" t="s">
        <v>3092</v>
      </c>
      <c r="B584" s="20" t="s">
        <v>949</v>
      </c>
      <c r="C584" s="20" t="s">
        <v>3089</v>
      </c>
      <c r="D584" s="20" t="s">
        <v>216</v>
      </c>
      <c r="E584" s="13">
        <v>0</v>
      </c>
      <c r="F584" s="11">
        <v>0</v>
      </c>
      <c r="G584" s="13">
        <v>0</v>
      </c>
      <c r="H584" s="11">
        <v>0</v>
      </c>
      <c r="I584" s="13">
        <f>E584+G584</f>
        <v>0</v>
      </c>
      <c r="J584" s="11">
        <f>F584+H584</f>
        <v>0</v>
      </c>
      <c r="K584" s="13">
        <v>0</v>
      </c>
      <c r="L584" s="11">
        <v>0</v>
      </c>
      <c r="M584" s="11">
        <v>0</v>
      </c>
      <c r="N584" s="13">
        <v>0</v>
      </c>
      <c r="O584" s="11">
        <v>0</v>
      </c>
      <c r="P584" s="11">
        <v>0</v>
      </c>
      <c r="Q584" s="13">
        <f>K584+N584</f>
        <v>0</v>
      </c>
      <c r="R584" s="11">
        <f>L584+O584</f>
        <v>0</v>
      </c>
      <c r="S584" s="11">
        <f>M584+P584</f>
        <v>0</v>
      </c>
      <c r="T584" s="8">
        <f>I584-Q584</f>
        <v>0</v>
      </c>
      <c r="U584" s="18">
        <v>8.8247008390000922E-2</v>
      </c>
      <c r="V584" s="11">
        <v>0</v>
      </c>
      <c r="W584" s="11">
        <v>0</v>
      </c>
      <c r="X584" s="11">
        <v>0</v>
      </c>
      <c r="Y584" s="11">
        <v>0</v>
      </c>
      <c r="Z584" t="s">
        <v>11</v>
      </c>
    </row>
    <row r="585" spans="1:26" x14ac:dyDescent="0.25">
      <c r="A585" s="20" t="s">
        <v>3120</v>
      </c>
      <c r="B585" s="20" t="s">
        <v>949</v>
      </c>
      <c r="C585" s="20" t="s">
        <v>959</v>
      </c>
      <c r="D585" s="20" t="s">
        <v>216</v>
      </c>
      <c r="E585" s="13">
        <v>0</v>
      </c>
      <c r="F585" s="11">
        <v>0</v>
      </c>
      <c r="G585" s="13">
        <v>0</v>
      </c>
      <c r="H585" s="11">
        <v>0</v>
      </c>
      <c r="I585" s="13">
        <f>E585+G585</f>
        <v>0</v>
      </c>
      <c r="J585" s="11">
        <f>F585+H585</f>
        <v>0</v>
      </c>
      <c r="K585" s="13">
        <v>0</v>
      </c>
      <c r="L585" s="11">
        <v>0</v>
      </c>
      <c r="M585" s="11">
        <v>0</v>
      </c>
      <c r="N585" s="13">
        <v>0</v>
      </c>
      <c r="O585" s="11">
        <v>0</v>
      </c>
      <c r="P585" s="11">
        <v>0</v>
      </c>
      <c r="Q585" s="13">
        <f>K585+N585</f>
        <v>0</v>
      </c>
      <c r="R585" s="11">
        <f>L585+O585</f>
        <v>0</v>
      </c>
      <c r="S585" s="11">
        <f>M585+P585</f>
        <v>0</v>
      </c>
      <c r="T585" s="8">
        <f>I585-Q585</f>
        <v>0</v>
      </c>
      <c r="U585" s="18">
        <v>-4.0783385386150318E-2</v>
      </c>
      <c r="V585" s="11">
        <v>0</v>
      </c>
      <c r="W585" s="11">
        <v>0</v>
      </c>
      <c r="X585" s="11">
        <v>0</v>
      </c>
      <c r="Y585" s="11">
        <v>0</v>
      </c>
      <c r="Z585" t="s">
        <v>11</v>
      </c>
    </row>
    <row r="586" spans="1:26" x14ac:dyDescent="0.25">
      <c r="A586" s="20" t="s">
        <v>3142</v>
      </c>
      <c r="B586" s="20" t="s">
        <v>949</v>
      </c>
      <c r="C586" s="20" t="s">
        <v>961</v>
      </c>
      <c r="D586" s="20" t="s">
        <v>216</v>
      </c>
      <c r="E586" s="13">
        <v>0</v>
      </c>
      <c r="F586" s="11">
        <v>0</v>
      </c>
      <c r="G586" s="13">
        <v>0</v>
      </c>
      <c r="H586" s="11">
        <v>0</v>
      </c>
      <c r="I586" s="13">
        <f>E586+G586</f>
        <v>0</v>
      </c>
      <c r="J586" s="11">
        <f>F586+H586</f>
        <v>0</v>
      </c>
      <c r="K586" s="13">
        <v>0</v>
      </c>
      <c r="L586" s="11">
        <v>0</v>
      </c>
      <c r="M586" s="11">
        <v>0</v>
      </c>
      <c r="N586" s="13">
        <v>0</v>
      </c>
      <c r="O586" s="11">
        <v>0</v>
      </c>
      <c r="P586" s="11">
        <v>0</v>
      </c>
      <c r="Q586" s="13">
        <f>K586+N586</f>
        <v>0</v>
      </c>
      <c r="R586" s="11">
        <f>L586+O586</f>
        <v>0</v>
      </c>
      <c r="S586" s="11">
        <f>M586+P586</f>
        <v>0</v>
      </c>
      <c r="T586" s="8">
        <f>I586-Q586</f>
        <v>0</v>
      </c>
      <c r="U586" s="18">
        <v>-0.26046453112550244</v>
      </c>
      <c r="V586" s="11">
        <v>0</v>
      </c>
      <c r="W586" s="11">
        <v>0</v>
      </c>
      <c r="X586" s="11">
        <v>2</v>
      </c>
      <c r="Y586" s="11">
        <v>0</v>
      </c>
      <c r="Z586" t="s">
        <v>11</v>
      </c>
    </row>
    <row r="587" spans="1:26" x14ac:dyDescent="0.25">
      <c r="A587" s="20" t="s">
        <v>3151</v>
      </c>
      <c r="B587" s="20" t="s">
        <v>949</v>
      </c>
      <c r="C587" s="20" t="s">
        <v>982</v>
      </c>
      <c r="D587" s="20" t="s">
        <v>216</v>
      </c>
      <c r="E587" s="13">
        <v>0</v>
      </c>
      <c r="F587" s="11">
        <v>0</v>
      </c>
      <c r="G587" s="13">
        <v>7612</v>
      </c>
      <c r="H587" s="11">
        <v>0</v>
      </c>
      <c r="I587" s="13">
        <f>E587+G587</f>
        <v>7612</v>
      </c>
      <c r="J587" s="11">
        <f>F587+H587</f>
        <v>0</v>
      </c>
      <c r="K587" s="13">
        <v>0</v>
      </c>
      <c r="L587" s="11">
        <v>0</v>
      </c>
      <c r="M587" s="11">
        <v>0</v>
      </c>
      <c r="N587" s="13">
        <v>8366</v>
      </c>
      <c r="O587" s="11">
        <v>1</v>
      </c>
      <c r="P587" s="11">
        <v>1</v>
      </c>
      <c r="Q587" s="13">
        <f>K587+N587</f>
        <v>8366</v>
      </c>
      <c r="R587" s="11">
        <f>L587+O587</f>
        <v>1</v>
      </c>
      <c r="S587" s="11">
        <f>M587+P587</f>
        <v>1</v>
      </c>
      <c r="T587" s="8">
        <f>I587-Q587</f>
        <v>-754</v>
      </c>
      <c r="U587" s="18">
        <v>3.2384582196577381E-2</v>
      </c>
      <c r="V587" s="11">
        <v>0</v>
      </c>
      <c r="W587" s="11">
        <v>0</v>
      </c>
      <c r="X587" s="11">
        <v>2</v>
      </c>
      <c r="Y587" s="11">
        <v>0</v>
      </c>
      <c r="Z587" t="s">
        <v>11</v>
      </c>
    </row>
    <row r="588" spans="1:26" x14ac:dyDescent="0.25">
      <c r="A588" s="20" t="s">
        <v>3166</v>
      </c>
      <c r="B588" s="20" t="s">
        <v>257</v>
      </c>
      <c r="C588" s="20" t="s">
        <v>920</v>
      </c>
      <c r="D588" s="20" t="s">
        <v>216</v>
      </c>
      <c r="E588" s="13">
        <v>8345.98</v>
      </c>
      <c r="F588" s="11">
        <v>0</v>
      </c>
      <c r="G588" s="13">
        <v>60831.1</v>
      </c>
      <c r="H588" s="11">
        <v>1</v>
      </c>
      <c r="I588" s="13">
        <f>E588+G588</f>
        <v>69177.08</v>
      </c>
      <c r="J588" s="11">
        <f>F588+H588</f>
        <v>1</v>
      </c>
      <c r="K588" s="13">
        <v>11522</v>
      </c>
      <c r="L588" s="11">
        <v>1</v>
      </c>
      <c r="M588" s="11">
        <v>2</v>
      </c>
      <c r="N588" s="13">
        <v>91307.5</v>
      </c>
      <c r="O588" s="11">
        <v>3</v>
      </c>
      <c r="P588" s="11">
        <v>7</v>
      </c>
      <c r="Q588" s="13">
        <f>K588+N588</f>
        <v>102829.5</v>
      </c>
      <c r="R588" s="11">
        <f>L588+O588</f>
        <v>4</v>
      </c>
      <c r="S588" s="11">
        <f>M588+P588</f>
        <v>9</v>
      </c>
      <c r="T588" s="8">
        <f>I588-Q588</f>
        <v>-33652.42</v>
      </c>
      <c r="U588" s="18">
        <v>4.2560984539996925E-2</v>
      </c>
      <c r="V588" s="11">
        <v>0.28999999999999998</v>
      </c>
      <c r="W588" s="11">
        <v>6</v>
      </c>
      <c r="X588" s="11">
        <v>15</v>
      </c>
      <c r="Y588" s="11">
        <v>1</v>
      </c>
      <c r="Z588" t="s">
        <v>11</v>
      </c>
    </row>
    <row r="589" spans="1:26" x14ac:dyDescent="0.25">
      <c r="A589" s="20" t="s">
        <v>3168</v>
      </c>
      <c r="B589" s="20" t="s">
        <v>60</v>
      </c>
      <c r="C589" s="20" t="s">
        <v>3169</v>
      </c>
      <c r="D589" s="20" t="s">
        <v>216</v>
      </c>
      <c r="E589" s="13">
        <v>6554.17</v>
      </c>
      <c r="F589" s="11">
        <v>1</v>
      </c>
      <c r="G589" s="13">
        <v>12177</v>
      </c>
      <c r="H589" s="11">
        <v>1</v>
      </c>
      <c r="I589" s="13">
        <f>E589+G589</f>
        <v>18731.169999999998</v>
      </c>
      <c r="J589" s="11">
        <f>F589+H589</f>
        <v>2</v>
      </c>
      <c r="K589" s="13">
        <v>0</v>
      </c>
      <c r="L589" s="11">
        <v>0</v>
      </c>
      <c r="M589" s="11">
        <v>0</v>
      </c>
      <c r="N589" s="13">
        <v>0</v>
      </c>
      <c r="O589" s="11">
        <v>0</v>
      </c>
      <c r="P589" s="11">
        <v>0</v>
      </c>
      <c r="Q589" s="13">
        <f>K589+N589</f>
        <v>0</v>
      </c>
      <c r="R589" s="11">
        <f>L589+O589</f>
        <v>0</v>
      </c>
      <c r="S589" s="11">
        <f>M589+P589</f>
        <v>0</v>
      </c>
      <c r="T589" s="8">
        <f>I589-Q589</f>
        <v>18731.169999999998</v>
      </c>
      <c r="U589" s="18">
        <v>9.3786068932628391E-2</v>
      </c>
      <c r="V589" s="11">
        <v>0.5</v>
      </c>
      <c r="W589" s="11">
        <v>2</v>
      </c>
      <c r="X589" s="11">
        <v>2</v>
      </c>
      <c r="Y589" s="11">
        <v>1</v>
      </c>
      <c r="Z589" t="s">
        <v>11</v>
      </c>
    </row>
    <row r="590" spans="1:26" x14ac:dyDescent="0.25">
      <c r="A590" s="20" t="s">
        <v>3171</v>
      </c>
      <c r="B590" s="20" t="s">
        <v>91</v>
      </c>
      <c r="C590" s="20" t="s">
        <v>3172</v>
      </c>
      <c r="D590" s="20" t="s">
        <v>216</v>
      </c>
      <c r="E590" s="13">
        <v>50858</v>
      </c>
      <c r="F590" s="11">
        <v>0</v>
      </c>
      <c r="G590" s="13">
        <v>0</v>
      </c>
      <c r="H590" s="11">
        <v>0</v>
      </c>
      <c r="I590" s="13">
        <f>E590+G590</f>
        <v>50858</v>
      </c>
      <c r="J590" s="11">
        <f>F590+H590</f>
        <v>0</v>
      </c>
      <c r="K590" s="13">
        <v>46131</v>
      </c>
      <c r="L590" s="11">
        <v>0</v>
      </c>
      <c r="M590" s="11">
        <v>0</v>
      </c>
      <c r="N590" s="13">
        <v>0</v>
      </c>
      <c r="O590" s="11">
        <v>0</v>
      </c>
      <c r="P590" s="11">
        <v>0</v>
      </c>
      <c r="Q590" s="13">
        <f>K590+N590</f>
        <v>46131</v>
      </c>
      <c r="R590" s="11">
        <f>L590+O590</f>
        <v>0</v>
      </c>
      <c r="S590" s="11">
        <f>M590+P590</f>
        <v>0</v>
      </c>
      <c r="T590" s="8">
        <f>I590-Q590</f>
        <v>4727</v>
      </c>
      <c r="U590" s="18">
        <v>3.6217258757421447E-2</v>
      </c>
      <c r="V590" s="11">
        <v>0</v>
      </c>
      <c r="W590" s="11">
        <v>0</v>
      </c>
      <c r="X590" s="11">
        <v>1</v>
      </c>
      <c r="Y590" s="11">
        <v>0</v>
      </c>
      <c r="Z590" t="s">
        <v>11</v>
      </c>
    </row>
    <row r="591" spans="1:26" x14ac:dyDescent="0.25">
      <c r="A591" s="20" t="s">
        <v>3173</v>
      </c>
      <c r="B591" s="20" t="s">
        <v>949</v>
      </c>
      <c r="C591" s="20" t="s">
        <v>954</v>
      </c>
      <c r="D591" s="20" t="s">
        <v>216</v>
      </c>
      <c r="E591" s="13">
        <v>0</v>
      </c>
      <c r="F591" s="11">
        <v>0</v>
      </c>
      <c r="G591" s="13">
        <v>1809.98</v>
      </c>
      <c r="H591" s="11">
        <v>0</v>
      </c>
      <c r="I591" s="13">
        <f>E591+G591</f>
        <v>1809.98</v>
      </c>
      <c r="J591" s="11">
        <f>F591+H591</f>
        <v>0</v>
      </c>
      <c r="K591" s="13">
        <v>0</v>
      </c>
      <c r="L591" s="11">
        <v>0</v>
      </c>
      <c r="M591" s="11">
        <v>0</v>
      </c>
      <c r="N591" s="13">
        <v>0</v>
      </c>
      <c r="O591" s="11">
        <v>0</v>
      </c>
      <c r="P591" s="11">
        <v>3</v>
      </c>
      <c r="Q591" s="13">
        <f>K591+N591</f>
        <v>0</v>
      </c>
      <c r="R591" s="11">
        <f>L591+O591</f>
        <v>0</v>
      </c>
      <c r="S591" s="11">
        <f>M591+P591</f>
        <v>3</v>
      </c>
      <c r="T591" s="8">
        <f>I591-Q591</f>
        <v>1809.98</v>
      </c>
      <c r="U591" s="18">
        <v>5.4710668243635324E-3</v>
      </c>
      <c r="V591" s="11">
        <v>0.3</v>
      </c>
      <c r="W591" s="11">
        <v>3</v>
      </c>
      <c r="X591" s="11">
        <v>7</v>
      </c>
      <c r="Y591" s="11">
        <v>0</v>
      </c>
      <c r="Z591" t="s">
        <v>11</v>
      </c>
    </row>
    <row r="592" spans="1:26" x14ac:dyDescent="0.25">
      <c r="A592" s="20" t="s">
        <v>3174</v>
      </c>
      <c r="B592" s="20" t="s">
        <v>949</v>
      </c>
      <c r="C592" s="20" t="s">
        <v>952</v>
      </c>
      <c r="D592" s="20" t="s">
        <v>216</v>
      </c>
      <c r="E592" s="13">
        <v>15260</v>
      </c>
      <c r="F592" s="11">
        <v>0</v>
      </c>
      <c r="G592" s="13">
        <v>20115</v>
      </c>
      <c r="H592" s="11">
        <v>0</v>
      </c>
      <c r="I592" s="13">
        <f>E592+G592</f>
        <v>35375</v>
      </c>
      <c r="J592" s="11">
        <f>F592+H592</f>
        <v>0</v>
      </c>
      <c r="K592" s="13">
        <v>18154</v>
      </c>
      <c r="L592" s="11">
        <v>0</v>
      </c>
      <c r="M592" s="11">
        <v>0</v>
      </c>
      <c r="N592" s="13">
        <v>5629</v>
      </c>
      <c r="O592" s="11">
        <v>0</v>
      </c>
      <c r="P592" s="11">
        <v>2</v>
      </c>
      <c r="Q592" s="13">
        <f>K592+N592</f>
        <v>23783</v>
      </c>
      <c r="R592" s="11">
        <f>L592+O592</f>
        <v>0</v>
      </c>
      <c r="S592" s="11">
        <f>M592+P592</f>
        <v>2</v>
      </c>
      <c r="T592" s="8">
        <f>I592-Q592</f>
        <v>11592</v>
      </c>
      <c r="U592" s="18">
        <v>1.6300187632669525E-2</v>
      </c>
      <c r="V592" s="11">
        <v>0.4</v>
      </c>
      <c r="W592" s="11">
        <v>2</v>
      </c>
      <c r="X592" s="11">
        <v>3</v>
      </c>
      <c r="Y592" s="11">
        <v>1</v>
      </c>
      <c r="Z592" t="s">
        <v>11</v>
      </c>
    </row>
    <row r="593" spans="1:26" x14ac:dyDescent="0.25">
      <c r="A593" s="20" t="s">
        <v>3199</v>
      </c>
      <c r="B593" s="20" t="s">
        <v>60</v>
      </c>
      <c r="C593" s="20" t="s">
        <v>3200</v>
      </c>
      <c r="D593" s="20" t="s">
        <v>216</v>
      </c>
      <c r="E593" s="13">
        <v>550</v>
      </c>
      <c r="F593" s="11">
        <v>0</v>
      </c>
      <c r="G593" s="13">
        <v>0</v>
      </c>
      <c r="H593" s="11">
        <v>0</v>
      </c>
      <c r="I593" s="13">
        <f>E593+G593</f>
        <v>550</v>
      </c>
      <c r="J593" s="11">
        <f>F593+H593</f>
        <v>0</v>
      </c>
      <c r="K593" s="13">
        <v>550</v>
      </c>
      <c r="L593" s="11">
        <v>0</v>
      </c>
      <c r="M593" s="11">
        <v>0</v>
      </c>
      <c r="N593" s="13">
        <v>8871</v>
      </c>
      <c r="O593" s="11">
        <v>0</v>
      </c>
      <c r="P593" s="11">
        <v>0</v>
      </c>
      <c r="Q593" s="13">
        <f>K593+N593</f>
        <v>9421</v>
      </c>
      <c r="R593" s="11">
        <f>L593+O593</f>
        <v>0</v>
      </c>
      <c r="S593" s="11">
        <f>M593+P593</f>
        <v>0</v>
      </c>
      <c r="T593" s="8">
        <f>I593-Q593</f>
        <v>-8871</v>
      </c>
      <c r="U593" s="18">
        <v>0.20159630476327828</v>
      </c>
      <c r="V593" s="11">
        <v>0</v>
      </c>
      <c r="W593" s="11">
        <v>0</v>
      </c>
      <c r="X593" s="11">
        <v>3</v>
      </c>
      <c r="Y593" s="11">
        <v>1</v>
      </c>
      <c r="Z593" t="s">
        <v>11</v>
      </c>
    </row>
    <row r="594" spans="1:26" x14ac:dyDescent="0.25">
      <c r="A594" s="20" t="s">
        <v>3220</v>
      </c>
      <c r="B594" s="20" t="s">
        <v>295</v>
      </c>
      <c r="C594" s="20" t="s">
        <v>3221</v>
      </c>
      <c r="D594" s="20" t="s">
        <v>216</v>
      </c>
      <c r="E594" s="13">
        <v>49322</v>
      </c>
      <c r="F594" s="11">
        <v>1</v>
      </c>
      <c r="G594" s="13">
        <v>7303</v>
      </c>
      <c r="H594" s="11">
        <v>1</v>
      </c>
      <c r="I594" s="13">
        <f>E594+G594</f>
        <v>56625</v>
      </c>
      <c r="J594" s="11">
        <f>F594+H594</f>
        <v>2</v>
      </c>
      <c r="K594" s="13">
        <v>33232.629999999997</v>
      </c>
      <c r="L594" s="11">
        <v>0</v>
      </c>
      <c r="M594" s="11">
        <v>1</v>
      </c>
      <c r="N594" s="13">
        <v>1035</v>
      </c>
      <c r="O594" s="11">
        <v>0</v>
      </c>
      <c r="P594" s="11">
        <v>2</v>
      </c>
      <c r="Q594" s="13">
        <f>K594+N594</f>
        <v>34267.629999999997</v>
      </c>
      <c r="R594" s="11">
        <f>L594+O594</f>
        <v>0</v>
      </c>
      <c r="S594" s="11">
        <f>M594+P594</f>
        <v>3</v>
      </c>
      <c r="T594" s="8">
        <f>I594-Q594</f>
        <v>22357.370000000003</v>
      </c>
      <c r="U594" s="18">
        <v>0.16659149624840378</v>
      </c>
      <c r="V594" s="11">
        <v>0.36</v>
      </c>
      <c r="W594" s="11">
        <v>5</v>
      </c>
      <c r="X594" s="11">
        <v>9</v>
      </c>
      <c r="Y594" s="11">
        <v>1</v>
      </c>
      <c r="Z594" t="s">
        <v>11</v>
      </c>
    </row>
    <row r="595" spans="1:26" x14ac:dyDescent="0.25">
      <c r="A595" s="20" t="s">
        <v>3254</v>
      </c>
      <c r="B595" s="20" t="s">
        <v>327</v>
      </c>
      <c r="C595" s="20" t="s">
        <v>3255</v>
      </c>
      <c r="D595" s="20" t="s">
        <v>216</v>
      </c>
      <c r="E595" s="13">
        <v>0</v>
      </c>
      <c r="F595" s="11">
        <v>0</v>
      </c>
      <c r="G595" s="13">
        <v>0</v>
      </c>
      <c r="H595" s="11">
        <v>0</v>
      </c>
      <c r="I595" s="13">
        <f>E595+G595</f>
        <v>0</v>
      </c>
      <c r="J595" s="11">
        <f>F595+H595</f>
        <v>0</v>
      </c>
      <c r="K595" s="13">
        <v>0</v>
      </c>
      <c r="L595" s="11">
        <v>0</v>
      </c>
      <c r="M595" s="11">
        <v>1</v>
      </c>
      <c r="N595" s="13">
        <v>0</v>
      </c>
      <c r="O595" s="11">
        <v>0</v>
      </c>
      <c r="P595" s="11">
        <v>0</v>
      </c>
      <c r="Q595" s="13">
        <f>K595+N595</f>
        <v>0</v>
      </c>
      <c r="R595" s="11">
        <f>L595+O595</f>
        <v>0</v>
      </c>
      <c r="S595" s="11">
        <f>M595+P595</f>
        <v>1</v>
      </c>
      <c r="T595" s="8">
        <f>I595-Q595</f>
        <v>0</v>
      </c>
      <c r="U595" s="18">
        <v>0.15651889108504832</v>
      </c>
      <c r="V595" s="11">
        <v>0.5</v>
      </c>
      <c r="W595" s="11">
        <v>1</v>
      </c>
      <c r="X595" s="11">
        <v>1</v>
      </c>
      <c r="Y595" s="11">
        <v>1</v>
      </c>
      <c r="Z595" t="s">
        <v>11</v>
      </c>
    </row>
    <row r="596" spans="1:26" x14ac:dyDescent="0.25">
      <c r="A596" s="20" t="s">
        <v>3266</v>
      </c>
      <c r="B596" s="20" t="s">
        <v>77</v>
      </c>
      <c r="C596" s="20" t="s">
        <v>3264</v>
      </c>
      <c r="D596" s="20" t="s">
        <v>216</v>
      </c>
      <c r="E596" s="13">
        <v>2551</v>
      </c>
      <c r="F596" s="11">
        <v>0</v>
      </c>
      <c r="G596" s="13">
        <v>0</v>
      </c>
      <c r="H596" s="11">
        <v>0</v>
      </c>
      <c r="I596" s="13">
        <f>E596+G596</f>
        <v>2551</v>
      </c>
      <c r="J596" s="11">
        <f>F596+H596</f>
        <v>0</v>
      </c>
      <c r="K596" s="13">
        <v>1839</v>
      </c>
      <c r="L596" s="11">
        <v>0</v>
      </c>
      <c r="M596" s="11">
        <v>2</v>
      </c>
      <c r="N596" s="13">
        <v>11583</v>
      </c>
      <c r="O596" s="11">
        <v>0</v>
      </c>
      <c r="P596" s="11">
        <v>0</v>
      </c>
      <c r="Q596" s="13">
        <f>K596+N596</f>
        <v>13422</v>
      </c>
      <c r="R596" s="11">
        <f>L596+O596</f>
        <v>0</v>
      </c>
      <c r="S596" s="11">
        <f>M596+P596</f>
        <v>2</v>
      </c>
      <c r="T596" s="8">
        <f>I596-Q596</f>
        <v>-10871</v>
      </c>
      <c r="U596" s="18">
        <v>7.6055432095320139</v>
      </c>
      <c r="V596" s="11">
        <v>0.67</v>
      </c>
      <c r="W596" s="11">
        <v>2</v>
      </c>
      <c r="X596" s="11">
        <v>1</v>
      </c>
      <c r="Y596" s="11">
        <v>0</v>
      </c>
      <c r="Z596" t="s">
        <v>11</v>
      </c>
    </row>
    <row r="597" spans="1:26" x14ac:dyDescent="0.25">
      <c r="A597" s="20" t="s">
        <v>3309</v>
      </c>
      <c r="B597" s="20" t="s">
        <v>3203</v>
      </c>
      <c r="C597" s="20" t="s">
        <v>876</v>
      </c>
      <c r="D597" s="20" t="s">
        <v>216</v>
      </c>
      <c r="E597" s="13">
        <v>0</v>
      </c>
      <c r="F597" s="11">
        <v>0</v>
      </c>
      <c r="G597" s="13">
        <v>12457</v>
      </c>
      <c r="H597" s="11">
        <v>0</v>
      </c>
      <c r="I597" s="13">
        <f>E597+G597</f>
        <v>12457</v>
      </c>
      <c r="J597" s="11">
        <f>F597+H597</f>
        <v>0</v>
      </c>
      <c r="K597" s="13">
        <v>0</v>
      </c>
      <c r="L597" s="11">
        <v>0</v>
      </c>
      <c r="M597" s="11">
        <v>0</v>
      </c>
      <c r="N597" s="13">
        <v>11487</v>
      </c>
      <c r="O597" s="11">
        <v>0</v>
      </c>
      <c r="P597" s="11">
        <v>0</v>
      </c>
      <c r="Q597" s="13">
        <f>K597+N597</f>
        <v>11487</v>
      </c>
      <c r="R597" s="11">
        <f>L597+O597</f>
        <v>0</v>
      </c>
      <c r="S597" s="11">
        <f>M597+P597</f>
        <v>0</v>
      </c>
      <c r="T597" s="8">
        <f>I597-Q597</f>
        <v>970</v>
      </c>
      <c r="U597" s="18">
        <v>3.2793460229242878E-2</v>
      </c>
      <c r="V597" s="11">
        <v>0</v>
      </c>
      <c r="W597" s="11">
        <v>0</v>
      </c>
      <c r="X597" s="11">
        <v>1</v>
      </c>
      <c r="Y597" s="11">
        <v>0</v>
      </c>
      <c r="Z597" t="s">
        <v>11</v>
      </c>
    </row>
    <row r="598" spans="1:26" x14ac:dyDescent="0.25">
      <c r="A598" s="20" t="s">
        <v>3310</v>
      </c>
      <c r="B598" s="20" t="s">
        <v>3203</v>
      </c>
      <c r="C598" s="20" t="s">
        <v>881</v>
      </c>
      <c r="D598" s="20" t="s">
        <v>216</v>
      </c>
      <c r="E598" s="13">
        <v>-8699.75</v>
      </c>
      <c r="F598" s="11">
        <v>0</v>
      </c>
      <c r="G598" s="13">
        <v>15811</v>
      </c>
      <c r="H598" s="11">
        <v>0</v>
      </c>
      <c r="I598" s="13">
        <f>E598+G598</f>
        <v>7111.25</v>
      </c>
      <c r="J598" s="11">
        <f>F598+H598</f>
        <v>0</v>
      </c>
      <c r="K598" s="13">
        <v>3797</v>
      </c>
      <c r="L598" s="11">
        <v>0</v>
      </c>
      <c r="M598" s="11">
        <v>0</v>
      </c>
      <c r="N598" s="13">
        <v>6847</v>
      </c>
      <c r="O598" s="11">
        <v>0</v>
      </c>
      <c r="P598" s="11">
        <v>1</v>
      </c>
      <c r="Q598" s="13">
        <f>K598+N598</f>
        <v>10644</v>
      </c>
      <c r="R598" s="11">
        <f>L598+O598</f>
        <v>0</v>
      </c>
      <c r="S598" s="11">
        <f>M598+P598</f>
        <v>1</v>
      </c>
      <c r="T598" s="8">
        <f>I598-Q598</f>
        <v>-3532.75</v>
      </c>
      <c r="U598" s="18">
        <v>-8.3143360958869886E-2</v>
      </c>
      <c r="V598" s="11">
        <v>0.33</v>
      </c>
      <c r="W598" s="11">
        <v>1</v>
      </c>
      <c r="X598" s="11">
        <v>2</v>
      </c>
      <c r="Y598" s="11">
        <v>0</v>
      </c>
      <c r="Z598" t="s">
        <v>11</v>
      </c>
    </row>
    <row r="599" spans="1:26" x14ac:dyDescent="0.25">
      <c r="A599" s="20" t="s">
        <v>3343</v>
      </c>
      <c r="B599" s="20" t="s">
        <v>3340</v>
      </c>
      <c r="C599" s="20" t="s">
        <v>3223</v>
      </c>
      <c r="D599" s="20" t="s">
        <v>216</v>
      </c>
      <c r="E599" s="13">
        <v>26540</v>
      </c>
      <c r="F599" s="11">
        <v>0</v>
      </c>
      <c r="G599" s="13">
        <v>20844.62</v>
      </c>
      <c r="H599" s="11">
        <v>1</v>
      </c>
      <c r="I599" s="13">
        <f>E599+G599</f>
        <v>47384.619999999995</v>
      </c>
      <c r="J599" s="11">
        <f>F599+H599</f>
        <v>1</v>
      </c>
      <c r="K599" s="13">
        <v>53445.7</v>
      </c>
      <c r="L599" s="11">
        <v>0</v>
      </c>
      <c r="M599" s="11">
        <v>1</v>
      </c>
      <c r="N599" s="13">
        <v>13898.3</v>
      </c>
      <c r="O599" s="11">
        <v>1</v>
      </c>
      <c r="P599" s="11">
        <v>4</v>
      </c>
      <c r="Q599" s="13">
        <f>K599+N599</f>
        <v>67344</v>
      </c>
      <c r="R599" s="11">
        <f>L599+O599</f>
        <v>1</v>
      </c>
      <c r="S599" s="11">
        <f>M599+P599</f>
        <v>5</v>
      </c>
      <c r="T599" s="8">
        <f>I599-Q599</f>
        <v>-19959.380000000005</v>
      </c>
      <c r="U599" s="18">
        <v>0.24790932294287615</v>
      </c>
      <c r="V599" s="11">
        <v>0.5</v>
      </c>
      <c r="W599" s="11">
        <v>5</v>
      </c>
      <c r="X599" s="11">
        <v>5</v>
      </c>
      <c r="Y599" s="11">
        <v>1</v>
      </c>
      <c r="Z599" t="s">
        <v>11</v>
      </c>
    </row>
    <row r="600" spans="1:26" x14ac:dyDescent="0.25">
      <c r="A600" s="20" t="s">
        <v>3342</v>
      </c>
      <c r="B600" s="20" t="s">
        <v>3342</v>
      </c>
      <c r="C600" s="20" t="s">
        <v>3344</v>
      </c>
      <c r="D600" s="20" t="s">
        <v>216</v>
      </c>
      <c r="E600" s="13">
        <v>102025</v>
      </c>
      <c r="F600" s="11">
        <v>2</v>
      </c>
      <c r="G600" s="13">
        <v>36682.370000000003</v>
      </c>
      <c r="H600" s="11">
        <v>0</v>
      </c>
      <c r="I600" s="13">
        <f>E600+G600</f>
        <v>138707.37</v>
      </c>
      <c r="J600" s="11">
        <f>F600+H600</f>
        <v>2</v>
      </c>
      <c r="K600" s="13">
        <v>117002.81</v>
      </c>
      <c r="L600" s="11">
        <v>0</v>
      </c>
      <c r="M600" s="11">
        <v>8</v>
      </c>
      <c r="N600" s="13">
        <v>102940.12</v>
      </c>
      <c r="O600" s="11">
        <v>1</v>
      </c>
      <c r="P600" s="11">
        <v>4</v>
      </c>
      <c r="Q600" s="13">
        <f>K600+N600</f>
        <v>219942.93</v>
      </c>
      <c r="R600" s="11">
        <f>L600+O600</f>
        <v>1</v>
      </c>
      <c r="S600" s="11">
        <f>M600+P600</f>
        <v>12</v>
      </c>
      <c r="T600" s="8">
        <f>I600-Q600</f>
        <v>-81235.56</v>
      </c>
      <c r="U600" s="18">
        <v>0.14761129433838144</v>
      </c>
      <c r="V600" s="11">
        <v>0.48</v>
      </c>
      <c r="W600" s="11">
        <v>13</v>
      </c>
      <c r="X600" s="11">
        <v>14</v>
      </c>
      <c r="Y600" s="11">
        <v>3</v>
      </c>
      <c r="Z600" t="s">
        <v>11</v>
      </c>
    </row>
    <row r="601" spans="1:26" x14ac:dyDescent="0.25">
      <c r="A601" s="20" t="s">
        <v>3421</v>
      </c>
      <c r="B601" s="20" t="s">
        <v>3422</v>
      </c>
      <c r="C601" s="20" t="s">
        <v>212</v>
      </c>
      <c r="D601" s="20" t="s">
        <v>216</v>
      </c>
      <c r="E601" s="13">
        <v>0</v>
      </c>
      <c r="F601" s="11">
        <v>0</v>
      </c>
      <c r="G601" s="13">
        <v>0</v>
      </c>
      <c r="H601" s="11">
        <v>0</v>
      </c>
      <c r="I601" s="13">
        <f>E601+G601</f>
        <v>0</v>
      </c>
      <c r="J601" s="11">
        <f>F601+H601</f>
        <v>0</v>
      </c>
      <c r="K601" s="13">
        <v>0</v>
      </c>
      <c r="L601" s="11">
        <v>0</v>
      </c>
      <c r="M601" s="11">
        <v>0</v>
      </c>
      <c r="N601" s="13">
        <v>0</v>
      </c>
      <c r="O601" s="11">
        <v>0</v>
      </c>
      <c r="P601" s="11">
        <v>0</v>
      </c>
      <c r="Q601" s="13">
        <f>K601+N601</f>
        <v>0</v>
      </c>
      <c r="R601" s="11">
        <f>L601+O601</f>
        <v>0</v>
      </c>
      <c r="S601" s="11">
        <f>M601+P601</f>
        <v>0</v>
      </c>
      <c r="T601" s="8">
        <f>I601-Q601</f>
        <v>0</v>
      </c>
      <c r="U601" s="18" t="s">
        <v>1803</v>
      </c>
      <c r="V601" s="11">
        <v>0</v>
      </c>
      <c r="W601" s="11">
        <v>0</v>
      </c>
      <c r="X601" s="11">
        <v>0</v>
      </c>
      <c r="Y601" s="11">
        <v>0</v>
      </c>
      <c r="Z601" t="s">
        <v>11</v>
      </c>
    </row>
    <row r="602" spans="1:26" x14ac:dyDescent="0.25">
      <c r="A602" s="20" t="s">
        <v>3586</v>
      </c>
      <c r="B602" s="20" t="s">
        <v>77</v>
      </c>
      <c r="C602" s="20" t="s">
        <v>3348</v>
      </c>
      <c r="D602" s="20" t="s">
        <v>216</v>
      </c>
      <c r="E602" s="13">
        <v>0</v>
      </c>
      <c r="F602" s="11">
        <v>0</v>
      </c>
      <c r="G602" s="13">
        <v>0</v>
      </c>
      <c r="H602" s="11">
        <v>0</v>
      </c>
      <c r="I602" s="13">
        <f>E602+G602</f>
        <v>0</v>
      </c>
      <c r="J602" s="11">
        <f>F602+H602</f>
        <v>0</v>
      </c>
      <c r="K602" s="13">
        <v>0</v>
      </c>
      <c r="L602" s="11">
        <v>0</v>
      </c>
      <c r="M602" s="11">
        <v>0</v>
      </c>
      <c r="N602" s="13">
        <v>0</v>
      </c>
      <c r="O602" s="11">
        <v>0</v>
      </c>
      <c r="P602" s="11">
        <v>0</v>
      </c>
      <c r="Q602" s="13">
        <f>K602+N602</f>
        <v>0</v>
      </c>
      <c r="R602" s="11">
        <f>L602+O602</f>
        <v>0</v>
      </c>
      <c r="S602" s="11">
        <f>M602+P602</f>
        <v>0</v>
      </c>
      <c r="T602" s="8">
        <f>I602-Q602</f>
        <v>0</v>
      </c>
      <c r="U602" s="18">
        <v>0.2616338065275694</v>
      </c>
      <c r="V602" s="11">
        <v>0</v>
      </c>
      <c r="W602" s="11">
        <v>0</v>
      </c>
      <c r="X602" s="11">
        <v>0</v>
      </c>
      <c r="Y602" s="11">
        <v>0</v>
      </c>
      <c r="Z602" t="s">
        <v>11</v>
      </c>
    </row>
    <row r="603" spans="1:26" x14ac:dyDescent="0.25">
      <c r="A603" s="20" t="s">
        <v>3585</v>
      </c>
      <c r="B603" s="20" t="s">
        <v>3203</v>
      </c>
      <c r="C603" s="20" t="s">
        <v>899</v>
      </c>
      <c r="D603" s="20" t="s">
        <v>216</v>
      </c>
      <c r="E603" s="13">
        <v>0</v>
      </c>
      <c r="F603" s="11">
        <v>0</v>
      </c>
      <c r="G603" s="13">
        <v>0</v>
      </c>
      <c r="H603" s="11">
        <v>0</v>
      </c>
      <c r="I603" s="13">
        <f>E603+G603</f>
        <v>0</v>
      </c>
      <c r="J603" s="11">
        <f>F603+H603</f>
        <v>0</v>
      </c>
      <c r="K603" s="13">
        <v>0</v>
      </c>
      <c r="L603" s="11">
        <v>0</v>
      </c>
      <c r="M603" s="11">
        <v>0</v>
      </c>
      <c r="N603" s="13">
        <v>0</v>
      </c>
      <c r="O603" s="11">
        <v>0</v>
      </c>
      <c r="P603" s="11">
        <v>0</v>
      </c>
      <c r="Q603" s="13">
        <f>K603+N603</f>
        <v>0</v>
      </c>
      <c r="R603" s="11">
        <f>L603+O603</f>
        <v>0</v>
      </c>
      <c r="S603" s="11">
        <f>M603+P603</f>
        <v>0</v>
      </c>
      <c r="T603" s="8">
        <f>I603-Q603</f>
        <v>0</v>
      </c>
      <c r="U603" s="18">
        <v>-1.7571393302394642</v>
      </c>
      <c r="V603" s="11">
        <v>0</v>
      </c>
      <c r="W603" s="11">
        <v>0</v>
      </c>
      <c r="X603" s="11">
        <v>0</v>
      </c>
      <c r="Y603" s="11">
        <v>0</v>
      </c>
      <c r="Z603" t="s">
        <v>11</v>
      </c>
    </row>
    <row r="604" spans="1:26" x14ac:dyDescent="0.25">
      <c r="A604" s="20" t="s">
        <v>3621</v>
      </c>
      <c r="B604" s="20" t="s">
        <v>3621</v>
      </c>
      <c r="C604" s="20" t="s">
        <v>3623</v>
      </c>
      <c r="D604" s="20" t="s">
        <v>216</v>
      </c>
      <c r="E604" s="13">
        <v>0</v>
      </c>
      <c r="F604" s="11">
        <v>0</v>
      </c>
      <c r="G604" s="13">
        <v>11364</v>
      </c>
      <c r="H604" s="11">
        <v>0</v>
      </c>
      <c r="I604" s="13">
        <f>E604+G604</f>
        <v>11364</v>
      </c>
      <c r="J604" s="11">
        <f>F604+H604</f>
        <v>0</v>
      </c>
      <c r="K604" s="13">
        <v>0</v>
      </c>
      <c r="L604" s="11">
        <v>0</v>
      </c>
      <c r="M604" s="11">
        <v>0</v>
      </c>
      <c r="N604" s="13">
        <v>0</v>
      </c>
      <c r="O604" s="11">
        <v>0</v>
      </c>
      <c r="P604" s="11">
        <v>0</v>
      </c>
      <c r="Q604" s="13">
        <f>K604+N604</f>
        <v>0</v>
      </c>
      <c r="R604" s="11">
        <f>L604+O604</f>
        <v>0</v>
      </c>
      <c r="S604" s="11">
        <f>M604+P604</f>
        <v>0</v>
      </c>
      <c r="T604" s="8">
        <f>I604-Q604</f>
        <v>11364</v>
      </c>
      <c r="U604" s="18">
        <v>0.38169923530357741</v>
      </c>
      <c r="V604" s="11">
        <v>0</v>
      </c>
      <c r="W604" s="11">
        <v>0</v>
      </c>
      <c r="X604" s="11">
        <v>0</v>
      </c>
      <c r="Y604" s="11">
        <v>0</v>
      </c>
      <c r="Z604" t="s">
        <v>11</v>
      </c>
    </row>
    <row r="605" spans="1:26" x14ac:dyDescent="0.25">
      <c r="A605" s="20" t="s">
        <v>3624</v>
      </c>
      <c r="B605" s="20" t="s">
        <v>60</v>
      </c>
      <c r="C605" s="20" t="s">
        <v>3625</v>
      </c>
      <c r="D605" s="20" t="s">
        <v>216</v>
      </c>
      <c r="E605" s="13">
        <v>0</v>
      </c>
      <c r="F605" s="11">
        <v>0</v>
      </c>
      <c r="G605" s="13">
        <v>0</v>
      </c>
      <c r="H605" s="11">
        <v>0</v>
      </c>
      <c r="I605" s="13">
        <f>E605+G605</f>
        <v>0</v>
      </c>
      <c r="J605" s="11">
        <f>F605+H605</f>
        <v>0</v>
      </c>
      <c r="K605" s="13">
        <v>0</v>
      </c>
      <c r="L605" s="11">
        <v>0</v>
      </c>
      <c r="M605" s="11">
        <v>0</v>
      </c>
      <c r="N605" s="13">
        <v>0</v>
      </c>
      <c r="O605" s="11">
        <v>0</v>
      </c>
      <c r="P605" s="11">
        <v>0</v>
      </c>
      <c r="Q605" s="13">
        <f>K605+N605</f>
        <v>0</v>
      </c>
      <c r="R605" s="11">
        <f>L605+O605</f>
        <v>0</v>
      </c>
      <c r="S605" s="11">
        <f>M605+P605</f>
        <v>0</v>
      </c>
      <c r="T605" s="8">
        <f>I605-Q605</f>
        <v>0</v>
      </c>
      <c r="U605" s="18" t="s">
        <v>1803</v>
      </c>
      <c r="V605" s="11">
        <v>0</v>
      </c>
      <c r="W605" s="11">
        <v>0</v>
      </c>
      <c r="X605" s="11">
        <v>0</v>
      </c>
      <c r="Y605" s="11">
        <v>0</v>
      </c>
      <c r="Z605" t="s">
        <v>11</v>
      </c>
    </row>
    <row r="606" spans="1:26" x14ac:dyDescent="0.25">
      <c r="A606" s="20" t="s">
        <v>3667</v>
      </c>
      <c r="B606" s="20" t="s">
        <v>124</v>
      </c>
      <c r="C606" s="20" t="s">
        <v>3668</v>
      </c>
      <c r="D606" s="20" t="s">
        <v>216</v>
      </c>
      <c r="E606" s="13">
        <v>0</v>
      </c>
      <c r="F606" s="11">
        <v>0</v>
      </c>
      <c r="G606" s="13">
        <v>0</v>
      </c>
      <c r="H606" s="11">
        <v>0</v>
      </c>
      <c r="I606" s="13">
        <f>E606+G606</f>
        <v>0</v>
      </c>
      <c r="J606" s="11">
        <f>F606+H606</f>
        <v>0</v>
      </c>
      <c r="K606" s="13">
        <v>0</v>
      </c>
      <c r="L606" s="11">
        <v>0</v>
      </c>
      <c r="M606" s="11">
        <v>0</v>
      </c>
      <c r="N606" s="13">
        <v>0</v>
      </c>
      <c r="O606" s="11">
        <v>0</v>
      </c>
      <c r="P606" s="11">
        <v>0</v>
      </c>
      <c r="Q606" s="13">
        <f>K606+N606</f>
        <v>0</v>
      </c>
      <c r="R606" s="11">
        <f>L606+O606</f>
        <v>0</v>
      </c>
      <c r="S606" s="11">
        <f>M606+P606</f>
        <v>0</v>
      </c>
      <c r="T606" s="8">
        <f>I606-Q606</f>
        <v>0</v>
      </c>
      <c r="U606" s="18" t="s">
        <v>1803</v>
      </c>
      <c r="V606" s="11">
        <v>0</v>
      </c>
      <c r="W606" s="11">
        <v>0</v>
      </c>
      <c r="X606" s="11">
        <v>0</v>
      </c>
      <c r="Y606" s="11">
        <v>0</v>
      </c>
      <c r="Z606" t="s">
        <v>11</v>
      </c>
    </row>
    <row r="607" spans="1:26" x14ac:dyDescent="0.25">
      <c r="A607" s="20" t="s">
        <v>3669</v>
      </c>
      <c r="B607" s="20" t="s">
        <v>60</v>
      </c>
      <c r="C607" s="20" t="s">
        <v>3670</v>
      </c>
      <c r="D607" s="20" t="s">
        <v>216</v>
      </c>
      <c r="E607" s="13">
        <v>0</v>
      </c>
      <c r="F607" s="11">
        <v>0</v>
      </c>
      <c r="G607" s="13">
        <v>0</v>
      </c>
      <c r="H607" s="11">
        <v>0</v>
      </c>
      <c r="I607" s="13">
        <f>E607+G607</f>
        <v>0</v>
      </c>
      <c r="J607" s="11">
        <f>F607+H607</f>
        <v>0</v>
      </c>
      <c r="K607" s="13">
        <v>0</v>
      </c>
      <c r="L607" s="11">
        <v>0</v>
      </c>
      <c r="M607" s="11">
        <v>0</v>
      </c>
      <c r="N607" s="13">
        <v>0</v>
      </c>
      <c r="O607" s="11">
        <v>0</v>
      </c>
      <c r="P607" s="11">
        <v>0</v>
      </c>
      <c r="Q607" s="13">
        <f>K607+N607</f>
        <v>0</v>
      </c>
      <c r="R607" s="11">
        <f>L607+O607</f>
        <v>0</v>
      </c>
      <c r="S607" s="11">
        <f>M607+P607</f>
        <v>0</v>
      </c>
      <c r="T607" s="8">
        <f>I607-Q607</f>
        <v>0</v>
      </c>
      <c r="U607" s="18" t="s">
        <v>1803</v>
      </c>
      <c r="V607" s="11">
        <v>0</v>
      </c>
      <c r="W607" s="11">
        <v>0</v>
      </c>
      <c r="X607" s="11">
        <v>0</v>
      </c>
      <c r="Y607" s="11">
        <v>0</v>
      </c>
      <c r="Z607" t="s">
        <v>11</v>
      </c>
    </row>
    <row r="608" spans="1:26" x14ac:dyDescent="0.25">
      <c r="A608" s="20" t="s">
        <v>988</v>
      </c>
      <c r="B608" s="20" t="s">
        <v>124</v>
      </c>
      <c r="C608" s="20" t="s">
        <v>989</v>
      </c>
      <c r="D608" s="20" t="s">
        <v>216</v>
      </c>
      <c r="E608" s="13">
        <v>28882</v>
      </c>
      <c r="F608" s="11">
        <v>0</v>
      </c>
      <c r="G608" s="13">
        <v>15176</v>
      </c>
      <c r="H608" s="11">
        <v>0</v>
      </c>
      <c r="I608" s="13">
        <f>E608+G608</f>
        <v>44058</v>
      </c>
      <c r="J608" s="11">
        <f>F608+H608</f>
        <v>0</v>
      </c>
      <c r="K608" s="13">
        <v>40695.64</v>
      </c>
      <c r="L608" s="11">
        <v>1</v>
      </c>
      <c r="M608" s="11">
        <v>2</v>
      </c>
      <c r="N608" s="13">
        <v>14403</v>
      </c>
      <c r="O608" s="11">
        <v>0</v>
      </c>
      <c r="P608" s="11">
        <v>1</v>
      </c>
      <c r="Q608" s="13">
        <f>K608+N608</f>
        <v>55098.64</v>
      </c>
      <c r="R608" s="11">
        <f>L608+O608</f>
        <v>1</v>
      </c>
      <c r="S608" s="11">
        <f>M608+P608</f>
        <v>3</v>
      </c>
      <c r="T608" s="8">
        <f>I608-Q608</f>
        <v>-11040.64</v>
      </c>
      <c r="U608" s="18">
        <v>0.88464068659213879</v>
      </c>
      <c r="V608" s="11">
        <v>0.5</v>
      </c>
      <c r="W608" s="11">
        <v>2</v>
      </c>
      <c r="X608" s="11">
        <v>2</v>
      </c>
      <c r="Y608" s="11">
        <v>0</v>
      </c>
      <c r="Z608" t="s">
        <v>11</v>
      </c>
    </row>
    <row r="609" spans="1:26" x14ac:dyDescent="0.25">
      <c r="A609" s="20" t="s">
        <v>990</v>
      </c>
      <c r="B609" s="20" t="s">
        <v>990</v>
      </c>
      <c r="C609" s="20" t="s">
        <v>991</v>
      </c>
      <c r="D609" s="20" t="s">
        <v>215</v>
      </c>
      <c r="E609" s="13">
        <v>0</v>
      </c>
      <c r="F609" s="11">
        <v>0</v>
      </c>
      <c r="G609" s="13">
        <v>0</v>
      </c>
      <c r="H609" s="11">
        <v>0</v>
      </c>
      <c r="I609" s="13">
        <f>E609+G609</f>
        <v>0</v>
      </c>
      <c r="J609" s="11">
        <f>F609+H609</f>
        <v>0</v>
      </c>
      <c r="K609" s="13">
        <v>0</v>
      </c>
      <c r="L609" s="11">
        <v>0</v>
      </c>
      <c r="M609" s="11">
        <v>0</v>
      </c>
      <c r="N609" s="13">
        <v>-231.09</v>
      </c>
      <c r="O609" s="11">
        <v>0</v>
      </c>
      <c r="P609" s="11">
        <v>0</v>
      </c>
      <c r="Q609" s="13">
        <f>K609+N609</f>
        <v>-231.09</v>
      </c>
      <c r="R609" s="11">
        <f>L609+O609</f>
        <v>0</v>
      </c>
      <c r="S609" s="11">
        <f>M609+P609</f>
        <v>0</v>
      </c>
      <c r="T609" s="8">
        <f>I609-Q609</f>
        <v>231.09</v>
      </c>
      <c r="U609" s="18">
        <v>0.38285040499014189</v>
      </c>
      <c r="V609" s="11">
        <v>0</v>
      </c>
      <c r="W609" s="11">
        <v>0</v>
      </c>
      <c r="X609" s="11">
        <v>0</v>
      </c>
      <c r="Y609" s="11">
        <v>0</v>
      </c>
      <c r="Z609" t="s">
        <v>12</v>
      </c>
    </row>
    <row r="610" spans="1:26" x14ac:dyDescent="0.25">
      <c r="A610" s="20" t="s">
        <v>992</v>
      </c>
      <c r="B610" s="20" t="s">
        <v>60</v>
      </c>
      <c r="C610" s="20" t="s">
        <v>993</v>
      </c>
      <c r="D610" s="20" t="s">
        <v>216</v>
      </c>
      <c r="E610" s="13">
        <v>0</v>
      </c>
      <c r="F610" s="11">
        <v>0</v>
      </c>
      <c r="G610" s="13">
        <v>13865</v>
      </c>
      <c r="H610" s="11">
        <v>0</v>
      </c>
      <c r="I610" s="13">
        <f>E610+G610</f>
        <v>13865</v>
      </c>
      <c r="J610" s="11">
        <f>F610+H610</f>
        <v>0</v>
      </c>
      <c r="K610" s="13">
        <v>0</v>
      </c>
      <c r="L610" s="11">
        <v>0</v>
      </c>
      <c r="M610" s="11">
        <v>0</v>
      </c>
      <c r="N610" s="13">
        <v>6877</v>
      </c>
      <c r="O610" s="11">
        <v>0</v>
      </c>
      <c r="P610" s="11">
        <v>0</v>
      </c>
      <c r="Q610" s="13">
        <f>K610+N610</f>
        <v>6877</v>
      </c>
      <c r="R610" s="11">
        <f>L610+O610</f>
        <v>0</v>
      </c>
      <c r="S610" s="11">
        <f>M610+P610</f>
        <v>0</v>
      </c>
      <c r="T610" s="8">
        <f>I610-Q610</f>
        <v>6988</v>
      </c>
      <c r="U610" s="18">
        <v>-7.334883076828734E-2</v>
      </c>
      <c r="V610" s="11">
        <v>0</v>
      </c>
      <c r="W610" s="11">
        <v>0</v>
      </c>
      <c r="X610" s="11">
        <v>1</v>
      </c>
      <c r="Y610" s="11">
        <v>1</v>
      </c>
      <c r="Z610" t="s">
        <v>12</v>
      </c>
    </row>
    <row r="611" spans="1:26" x14ac:dyDescent="0.25">
      <c r="A611" s="20" t="s">
        <v>994</v>
      </c>
      <c r="B611" s="20" t="s">
        <v>3203</v>
      </c>
      <c r="C611" s="20" t="s">
        <v>3306</v>
      </c>
      <c r="D611" s="20" t="s">
        <v>215</v>
      </c>
      <c r="E611" s="13">
        <v>0</v>
      </c>
      <c r="F611" s="11">
        <v>0</v>
      </c>
      <c r="G611" s="13">
        <v>0</v>
      </c>
      <c r="H611" s="11">
        <v>0</v>
      </c>
      <c r="I611" s="13">
        <f>E611+G611</f>
        <v>0</v>
      </c>
      <c r="J611" s="11">
        <f>F611+H611</f>
        <v>0</v>
      </c>
      <c r="K611" s="13">
        <v>-286.58</v>
      </c>
      <c r="L611" s="11">
        <v>0</v>
      </c>
      <c r="M611" s="11">
        <v>0</v>
      </c>
      <c r="N611" s="13">
        <v>0</v>
      </c>
      <c r="O611" s="11">
        <v>0</v>
      </c>
      <c r="P611" s="11">
        <v>0</v>
      </c>
      <c r="Q611" s="13">
        <f>K611+N611</f>
        <v>-286.58</v>
      </c>
      <c r="R611" s="11">
        <f>L611+O611</f>
        <v>0</v>
      </c>
      <c r="S611" s="11">
        <f>M611+P611</f>
        <v>0</v>
      </c>
      <c r="T611" s="8">
        <f>I611-Q611</f>
        <v>286.58</v>
      </c>
      <c r="U611" s="18" t="s">
        <v>1803</v>
      </c>
      <c r="V611" s="11">
        <v>0</v>
      </c>
      <c r="W611" s="11">
        <v>0</v>
      </c>
      <c r="X611" s="11">
        <v>0</v>
      </c>
      <c r="Y611" s="11">
        <v>0</v>
      </c>
      <c r="Z611" t="s">
        <v>12</v>
      </c>
    </row>
    <row r="612" spans="1:26" x14ac:dyDescent="0.25">
      <c r="A612" s="20" t="s">
        <v>1550</v>
      </c>
      <c r="B612" s="20" t="s">
        <v>124</v>
      </c>
      <c r="C612" s="20" t="s">
        <v>3365</v>
      </c>
      <c r="D612" s="20" t="s">
        <v>216</v>
      </c>
      <c r="E612" s="13">
        <v>0</v>
      </c>
      <c r="F612" s="11">
        <v>0</v>
      </c>
      <c r="G612" s="13">
        <v>0</v>
      </c>
      <c r="H612" s="11">
        <v>0</v>
      </c>
      <c r="I612" s="13">
        <f>E612+G612</f>
        <v>0</v>
      </c>
      <c r="J612" s="11">
        <f>F612+H612</f>
        <v>0</v>
      </c>
      <c r="K612" s="13">
        <v>0</v>
      </c>
      <c r="L612" s="11">
        <v>0</v>
      </c>
      <c r="M612" s="11">
        <v>0</v>
      </c>
      <c r="N612" s="13">
        <v>0</v>
      </c>
      <c r="O612" s="11">
        <v>0</v>
      </c>
      <c r="P612" s="11">
        <v>0</v>
      </c>
      <c r="Q612" s="13">
        <f>K612+N612</f>
        <v>0</v>
      </c>
      <c r="R612" s="11">
        <f>L612+O612</f>
        <v>0</v>
      </c>
      <c r="S612" s="11">
        <f>M612+P612</f>
        <v>0</v>
      </c>
      <c r="T612" s="8">
        <f>I612-Q612</f>
        <v>0</v>
      </c>
      <c r="U612" s="18">
        <v>-0.15739776897852228</v>
      </c>
      <c r="V612" s="11">
        <v>0</v>
      </c>
      <c r="W612" s="11">
        <v>0</v>
      </c>
      <c r="X612" s="11">
        <v>0</v>
      </c>
      <c r="Y612" s="11">
        <v>0</v>
      </c>
      <c r="Z612" t="s">
        <v>12</v>
      </c>
    </row>
    <row r="613" spans="1:26" x14ac:dyDescent="0.25">
      <c r="A613" s="20" t="s">
        <v>1002</v>
      </c>
      <c r="B613" s="20" t="s">
        <v>124</v>
      </c>
      <c r="C613" s="20" t="s">
        <v>1003</v>
      </c>
      <c r="D613" s="20" t="s">
        <v>216</v>
      </c>
      <c r="E613" s="13">
        <v>2994.74</v>
      </c>
      <c r="F613" s="11">
        <v>0</v>
      </c>
      <c r="G613" s="13">
        <v>7188.48</v>
      </c>
      <c r="H613" s="11">
        <v>0</v>
      </c>
      <c r="I613" s="13">
        <f>E613+G613</f>
        <v>10183.219999999999</v>
      </c>
      <c r="J613" s="11">
        <f>F613+H613</f>
        <v>0</v>
      </c>
      <c r="K613" s="13">
        <v>0</v>
      </c>
      <c r="L613" s="11">
        <v>0</v>
      </c>
      <c r="M613" s="11">
        <v>1</v>
      </c>
      <c r="N613" s="13">
        <v>10538.29</v>
      </c>
      <c r="O613" s="11">
        <v>0</v>
      </c>
      <c r="P613" s="11">
        <v>5</v>
      </c>
      <c r="Q613" s="13">
        <f>K613+N613</f>
        <v>10538.29</v>
      </c>
      <c r="R613" s="11">
        <f>L613+O613</f>
        <v>0</v>
      </c>
      <c r="S613" s="11">
        <f>M613+P613</f>
        <v>6</v>
      </c>
      <c r="T613" s="8">
        <f>I613-Q613</f>
        <v>-355.07000000000153</v>
      </c>
      <c r="U613" s="18">
        <v>1.8149495104128437</v>
      </c>
      <c r="V613" s="11">
        <v>0.38</v>
      </c>
      <c r="W613" s="11">
        <v>6</v>
      </c>
      <c r="X613" s="11">
        <v>10</v>
      </c>
      <c r="Y613" s="11">
        <v>0</v>
      </c>
      <c r="Z613" t="s">
        <v>12</v>
      </c>
    </row>
    <row r="614" spans="1:26" x14ac:dyDescent="0.25">
      <c r="A614" s="20" t="s">
        <v>1004</v>
      </c>
      <c r="B614" s="20" t="s">
        <v>189</v>
      </c>
      <c r="C614" s="20" t="s">
        <v>3392</v>
      </c>
      <c r="D614" s="20" t="s">
        <v>215</v>
      </c>
      <c r="E614" s="13">
        <v>0</v>
      </c>
      <c r="F614" s="11">
        <v>0</v>
      </c>
      <c r="G614" s="13">
        <v>0</v>
      </c>
      <c r="H614" s="11">
        <v>0</v>
      </c>
      <c r="I614" s="13">
        <f>E614+G614</f>
        <v>0</v>
      </c>
      <c r="J614" s="11">
        <f>F614+H614</f>
        <v>0</v>
      </c>
      <c r="K614" s="13">
        <v>-447.71</v>
      </c>
      <c r="L614" s="11">
        <v>0</v>
      </c>
      <c r="M614" s="11">
        <v>0</v>
      </c>
      <c r="N614" s="13">
        <v>0</v>
      </c>
      <c r="O614" s="11">
        <v>0</v>
      </c>
      <c r="P614" s="11">
        <v>0</v>
      </c>
      <c r="Q614" s="13">
        <f>K614+N614</f>
        <v>-447.71</v>
      </c>
      <c r="R614" s="11">
        <f>L614+O614</f>
        <v>0</v>
      </c>
      <c r="S614" s="11">
        <f>M614+P614</f>
        <v>0</v>
      </c>
      <c r="T614" s="8">
        <f>I614-Q614</f>
        <v>447.71</v>
      </c>
      <c r="U614" s="18" t="s">
        <v>1803</v>
      </c>
      <c r="V614" s="11">
        <v>0</v>
      </c>
      <c r="W614" s="11">
        <v>0</v>
      </c>
      <c r="X614" s="11">
        <v>0</v>
      </c>
      <c r="Y614" s="11">
        <v>0</v>
      </c>
      <c r="Z614" t="s">
        <v>12</v>
      </c>
    </row>
    <row r="615" spans="1:26" x14ac:dyDescent="0.25">
      <c r="A615" s="20" t="s">
        <v>1005</v>
      </c>
      <c r="B615" s="20" t="s">
        <v>60</v>
      </c>
      <c r="C615" s="20" t="s">
        <v>1006</v>
      </c>
      <c r="D615" s="20" t="s">
        <v>216</v>
      </c>
      <c r="E615" s="13">
        <v>0</v>
      </c>
      <c r="F615" s="11">
        <v>0</v>
      </c>
      <c r="G615" s="13">
        <v>0</v>
      </c>
      <c r="H615" s="11">
        <v>0</v>
      </c>
      <c r="I615" s="13">
        <f>E615+G615</f>
        <v>0</v>
      </c>
      <c r="J615" s="11">
        <f>F615+H615</f>
        <v>0</v>
      </c>
      <c r="K615" s="13">
        <v>0</v>
      </c>
      <c r="L615" s="11">
        <v>0</v>
      </c>
      <c r="M615" s="11">
        <v>0</v>
      </c>
      <c r="N615" s="13">
        <v>0</v>
      </c>
      <c r="O615" s="11">
        <v>0</v>
      </c>
      <c r="P615" s="11">
        <v>0</v>
      </c>
      <c r="Q615" s="13">
        <f>K615+N615</f>
        <v>0</v>
      </c>
      <c r="R615" s="11">
        <f>L615+O615</f>
        <v>0</v>
      </c>
      <c r="S615" s="11">
        <f>M615+P615</f>
        <v>0</v>
      </c>
      <c r="T615" s="8">
        <f>I615-Q615</f>
        <v>0</v>
      </c>
      <c r="U615" s="18">
        <v>0.86624841901555782</v>
      </c>
      <c r="V615" s="11">
        <v>0</v>
      </c>
      <c r="W615" s="11">
        <v>0</v>
      </c>
      <c r="X615" s="11">
        <v>0</v>
      </c>
      <c r="Y615" s="11">
        <v>0</v>
      </c>
      <c r="Z615" t="s">
        <v>12</v>
      </c>
    </row>
    <row r="616" spans="1:26" x14ac:dyDescent="0.25">
      <c r="A616" s="20" t="s">
        <v>1007</v>
      </c>
      <c r="B616" s="20" t="s">
        <v>60</v>
      </c>
      <c r="C616" s="20" t="s">
        <v>1008</v>
      </c>
      <c r="D616" s="20" t="s">
        <v>216</v>
      </c>
      <c r="E616" s="13">
        <v>0</v>
      </c>
      <c r="F616" s="11">
        <v>0</v>
      </c>
      <c r="G616" s="13">
        <v>2047</v>
      </c>
      <c r="H616" s="11">
        <v>0</v>
      </c>
      <c r="I616" s="13">
        <f>E616+G616</f>
        <v>2047</v>
      </c>
      <c r="J616" s="11">
        <f>F616+H616</f>
        <v>0</v>
      </c>
      <c r="K616" s="13">
        <v>0</v>
      </c>
      <c r="L616" s="11">
        <v>0</v>
      </c>
      <c r="M616" s="11">
        <v>0</v>
      </c>
      <c r="N616" s="13">
        <v>3729.55</v>
      </c>
      <c r="O616" s="11">
        <v>0</v>
      </c>
      <c r="P616" s="11">
        <v>0</v>
      </c>
      <c r="Q616" s="13">
        <f>K616+N616</f>
        <v>3729.55</v>
      </c>
      <c r="R616" s="11">
        <f>L616+O616</f>
        <v>0</v>
      </c>
      <c r="S616" s="11">
        <f>M616+P616</f>
        <v>0</v>
      </c>
      <c r="T616" s="8">
        <f>I616-Q616</f>
        <v>-1682.5500000000002</v>
      </c>
      <c r="U616" s="18">
        <v>1.775811703348841</v>
      </c>
      <c r="V616" s="11">
        <v>0</v>
      </c>
      <c r="W616" s="11">
        <v>0</v>
      </c>
      <c r="X616" s="11">
        <v>1</v>
      </c>
      <c r="Y616" s="11">
        <v>0</v>
      </c>
      <c r="Z616" t="s">
        <v>12</v>
      </c>
    </row>
    <row r="617" spans="1:26" x14ac:dyDescent="0.25">
      <c r="A617" s="20" t="s">
        <v>3093</v>
      </c>
      <c r="B617" s="20" t="s">
        <v>60</v>
      </c>
      <c r="C617" s="20" t="s">
        <v>3094</v>
      </c>
      <c r="D617" s="20" t="s">
        <v>216</v>
      </c>
      <c r="E617" s="13">
        <v>0</v>
      </c>
      <c r="F617" s="11">
        <v>0</v>
      </c>
      <c r="G617" s="13">
        <v>0</v>
      </c>
      <c r="H617" s="11">
        <v>0</v>
      </c>
      <c r="I617" s="13">
        <f>E617+G617</f>
        <v>0</v>
      </c>
      <c r="J617" s="11">
        <f>F617+H617</f>
        <v>0</v>
      </c>
      <c r="K617" s="13">
        <v>0</v>
      </c>
      <c r="L617" s="11">
        <v>0</v>
      </c>
      <c r="M617" s="11">
        <v>0</v>
      </c>
      <c r="N617" s="13">
        <v>0</v>
      </c>
      <c r="O617" s="11">
        <v>0</v>
      </c>
      <c r="P617" s="11">
        <v>0</v>
      </c>
      <c r="Q617" s="13">
        <f>K617+N617</f>
        <v>0</v>
      </c>
      <c r="R617" s="11">
        <f>L617+O617</f>
        <v>0</v>
      </c>
      <c r="S617" s="11">
        <f>M617+P617</f>
        <v>0</v>
      </c>
      <c r="T617" s="8">
        <f>I617-Q617</f>
        <v>0</v>
      </c>
      <c r="U617" s="18" t="s">
        <v>1803</v>
      </c>
      <c r="V617" s="11">
        <v>0</v>
      </c>
      <c r="W617" s="11">
        <v>0</v>
      </c>
      <c r="X617" s="11">
        <v>0</v>
      </c>
      <c r="Y617" s="11">
        <v>0</v>
      </c>
      <c r="Z617" t="s">
        <v>12</v>
      </c>
    </row>
    <row r="618" spans="1:26" x14ac:dyDescent="0.25">
      <c r="A618" s="20" t="s">
        <v>1009</v>
      </c>
      <c r="B618" s="20" t="s">
        <v>81</v>
      </c>
      <c r="C618" s="20" t="s">
        <v>3599</v>
      </c>
      <c r="D618" s="20" t="s">
        <v>216</v>
      </c>
      <c r="E618" s="13">
        <v>0</v>
      </c>
      <c r="F618" s="11">
        <v>0</v>
      </c>
      <c r="G618" s="13">
        <v>3318</v>
      </c>
      <c r="H618" s="11">
        <v>1</v>
      </c>
      <c r="I618" s="13">
        <f>E618+G618</f>
        <v>3318</v>
      </c>
      <c r="J618" s="11">
        <f>F618+H618</f>
        <v>1</v>
      </c>
      <c r="K618" s="13">
        <v>0</v>
      </c>
      <c r="L618" s="11">
        <v>0</v>
      </c>
      <c r="M618" s="11">
        <v>1</v>
      </c>
      <c r="N618" s="13">
        <v>0</v>
      </c>
      <c r="O618" s="11">
        <v>0</v>
      </c>
      <c r="P618" s="11">
        <v>2</v>
      </c>
      <c r="Q618" s="13">
        <f>K618+N618</f>
        <v>0</v>
      </c>
      <c r="R618" s="11">
        <f>L618+O618</f>
        <v>0</v>
      </c>
      <c r="S618" s="11">
        <f>M618+P618</f>
        <v>3</v>
      </c>
      <c r="T618" s="8">
        <f>I618-Q618</f>
        <v>3318</v>
      </c>
      <c r="U618" s="18">
        <v>7.467773166641177E-2</v>
      </c>
      <c r="V618" s="11">
        <v>0.31</v>
      </c>
      <c r="W618" s="11">
        <v>4</v>
      </c>
      <c r="X618" s="11">
        <v>9</v>
      </c>
      <c r="Y618" s="11">
        <v>0</v>
      </c>
      <c r="Z618" t="s">
        <v>12</v>
      </c>
    </row>
    <row r="619" spans="1:26" x14ac:dyDescent="0.25">
      <c r="A619" s="20" t="s">
        <v>1672</v>
      </c>
      <c r="B619" s="20" t="s">
        <v>459</v>
      </c>
      <c r="C619" s="20" t="s">
        <v>3608</v>
      </c>
      <c r="D619" s="20" t="s">
        <v>215</v>
      </c>
      <c r="E619" s="13">
        <v>0</v>
      </c>
      <c r="F619" s="11">
        <v>0</v>
      </c>
      <c r="G619" s="13">
        <v>7562</v>
      </c>
      <c r="H619" s="11">
        <v>0</v>
      </c>
      <c r="I619" s="13">
        <f>E619+G619</f>
        <v>7562</v>
      </c>
      <c r="J619" s="11">
        <f>F619+H619</f>
        <v>0</v>
      </c>
      <c r="K619" s="13">
        <v>0</v>
      </c>
      <c r="L619" s="11">
        <v>0</v>
      </c>
      <c r="M619" s="11">
        <v>0</v>
      </c>
      <c r="N619" s="13">
        <v>7406.99</v>
      </c>
      <c r="O619" s="11">
        <v>0</v>
      </c>
      <c r="P619" s="11">
        <v>0</v>
      </c>
      <c r="Q619" s="13">
        <f>K619+N619</f>
        <v>7406.99</v>
      </c>
      <c r="R619" s="11">
        <f>L619+O619</f>
        <v>0</v>
      </c>
      <c r="S619" s="11">
        <f>M619+P619</f>
        <v>0</v>
      </c>
      <c r="T619" s="8">
        <f>I619-Q619</f>
        <v>155.01000000000022</v>
      </c>
      <c r="U619" s="18" t="s">
        <v>1803</v>
      </c>
      <c r="V619" s="11">
        <v>0</v>
      </c>
      <c r="W619" s="11">
        <v>0</v>
      </c>
      <c r="X619" s="11">
        <v>0</v>
      </c>
      <c r="Y619" s="11">
        <v>0</v>
      </c>
      <c r="Z619" t="s">
        <v>12</v>
      </c>
    </row>
    <row r="620" spans="1:26" x14ac:dyDescent="0.25">
      <c r="A620" s="20" t="s">
        <v>1000</v>
      </c>
      <c r="B620" s="20" t="s">
        <v>1000</v>
      </c>
      <c r="C620" s="20" t="s">
        <v>1001</v>
      </c>
      <c r="D620" s="20" t="s">
        <v>216</v>
      </c>
      <c r="E620" s="13">
        <v>293</v>
      </c>
      <c r="F620" s="11">
        <v>0</v>
      </c>
      <c r="G620" s="13">
        <v>2858</v>
      </c>
      <c r="H620" s="11">
        <v>0</v>
      </c>
      <c r="I620" s="13">
        <f>E620+G620</f>
        <v>3151</v>
      </c>
      <c r="J620" s="11">
        <f>F620+H620</f>
        <v>0</v>
      </c>
      <c r="K620" s="13">
        <v>293</v>
      </c>
      <c r="L620" s="11">
        <v>0</v>
      </c>
      <c r="M620" s="11">
        <v>0</v>
      </c>
      <c r="N620" s="13">
        <v>2781.7</v>
      </c>
      <c r="O620" s="11">
        <v>0</v>
      </c>
      <c r="P620" s="11">
        <v>0</v>
      </c>
      <c r="Q620" s="13">
        <f>K620+N620</f>
        <v>3074.7</v>
      </c>
      <c r="R620" s="11">
        <f>L620+O620</f>
        <v>0</v>
      </c>
      <c r="S620" s="11">
        <f>M620+P620</f>
        <v>0</v>
      </c>
      <c r="T620" s="8">
        <f>I620-Q620</f>
        <v>76.300000000000182</v>
      </c>
      <c r="U620" s="18">
        <v>7.5898854375024041E-2</v>
      </c>
      <c r="V620" s="11">
        <v>0</v>
      </c>
      <c r="W620" s="11">
        <v>0</v>
      </c>
      <c r="X620" s="11">
        <v>3</v>
      </c>
      <c r="Y620" s="11">
        <v>0</v>
      </c>
      <c r="Z620" t="s">
        <v>12</v>
      </c>
    </row>
    <row r="621" spans="1:26" x14ac:dyDescent="0.25">
      <c r="A621" s="20" t="s">
        <v>1012</v>
      </c>
      <c r="B621" s="20" t="s">
        <v>1012</v>
      </c>
      <c r="C621" s="20" t="s">
        <v>1013</v>
      </c>
      <c r="D621" s="20" t="s">
        <v>216</v>
      </c>
      <c r="E621" s="13">
        <v>0</v>
      </c>
      <c r="F621" s="11">
        <v>0</v>
      </c>
      <c r="G621" s="13">
        <v>0</v>
      </c>
      <c r="H621" s="11">
        <v>0</v>
      </c>
      <c r="I621" s="13">
        <f>E621+G621</f>
        <v>0</v>
      </c>
      <c r="J621" s="11">
        <f>F621+H621</f>
        <v>0</v>
      </c>
      <c r="K621" s="13">
        <v>0</v>
      </c>
      <c r="L621" s="11">
        <v>0</v>
      </c>
      <c r="M621" s="11">
        <v>0</v>
      </c>
      <c r="N621" s="13">
        <v>0</v>
      </c>
      <c r="O621" s="11">
        <v>0</v>
      </c>
      <c r="P621" s="11">
        <v>0</v>
      </c>
      <c r="Q621" s="13">
        <f>K621+N621</f>
        <v>0</v>
      </c>
      <c r="R621" s="11">
        <f>L621+O621</f>
        <v>0</v>
      </c>
      <c r="S621" s="11">
        <f>M621+P621</f>
        <v>0</v>
      </c>
      <c r="T621" s="8">
        <f>I621-Q621</f>
        <v>0</v>
      </c>
      <c r="U621" s="18">
        <v>-0.15113044869466713</v>
      </c>
      <c r="V621" s="11">
        <v>0</v>
      </c>
      <c r="W621" s="11">
        <v>0</v>
      </c>
      <c r="X621" s="11">
        <v>0</v>
      </c>
      <c r="Y621" s="11">
        <v>0</v>
      </c>
      <c r="Z621" t="s">
        <v>12</v>
      </c>
    </row>
    <row r="622" spans="1:26" x14ac:dyDescent="0.25">
      <c r="A622" s="20" t="s">
        <v>1016</v>
      </c>
      <c r="B622" s="20" t="s">
        <v>60</v>
      </c>
      <c r="C622" s="20" t="s">
        <v>1017</v>
      </c>
      <c r="D622" s="20" t="s">
        <v>216</v>
      </c>
      <c r="E622" s="13">
        <v>0</v>
      </c>
      <c r="F622" s="11">
        <v>0</v>
      </c>
      <c r="G622" s="13">
        <v>0</v>
      </c>
      <c r="H622" s="11">
        <v>0</v>
      </c>
      <c r="I622" s="13">
        <f>E622+G622</f>
        <v>0</v>
      </c>
      <c r="J622" s="11">
        <f>F622+H622</f>
        <v>0</v>
      </c>
      <c r="K622" s="13">
        <v>0</v>
      </c>
      <c r="L622" s="11">
        <v>0</v>
      </c>
      <c r="M622" s="11">
        <v>0</v>
      </c>
      <c r="N622" s="13">
        <v>0</v>
      </c>
      <c r="O622" s="11">
        <v>0</v>
      </c>
      <c r="P622" s="11">
        <v>0</v>
      </c>
      <c r="Q622" s="13">
        <f>K622+N622</f>
        <v>0</v>
      </c>
      <c r="R622" s="11">
        <f>L622+O622</f>
        <v>0</v>
      </c>
      <c r="S622" s="11">
        <f>M622+P622</f>
        <v>0</v>
      </c>
      <c r="T622" s="8">
        <f>I622-Q622</f>
        <v>0</v>
      </c>
      <c r="U622" s="18">
        <v>-9.9339729090113196E-2</v>
      </c>
      <c r="V622" s="11">
        <v>0</v>
      </c>
      <c r="W622" s="11">
        <v>0</v>
      </c>
      <c r="X622" s="11">
        <v>0</v>
      </c>
      <c r="Y622" s="11">
        <v>0</v>
      </c>
      <c r="Z622" t="s">
        <v>12</v>
      </c>
    </row>
    <row r="623" spans="1:26" x14ac:dyDescent="0.25">
      <c r="A623" s="20" t="s">
        <v>1018</v>
      </c>
      <c r="B623" s="20" t="s">
        <v>60</v>
      </c>
      <c r="C623" s="20" t="s">
        <v>1019</v>
      </c>
      <c r="D623" s="20" t="s">
        <v>216</v>
      </c>
      <c r="E623" s="13">
        <v>0</v>
      </c>
      <c r="F623" s="11">
        <v>0</v>
      </c>
      <c r="G623" s="13">
        <v>0</v>
      </c>
      <c r="H623" s="11">
        <v>0</v>
      </c>
      <c r="I623" s="13">
        <f>E623+G623</f>
        <v>0</v>
      </c>
      <c r="J623" s="11">
        <f>F623+H623</f>
        <v>0</v>
      </c>
      <c r="K623" s="13">
        <v>0</v>
      </c>
      <c r="L623" s="11">
        <v>0</v>
      </c>
      <c r="M623" s="11">
        <v>0</v>
      </c>
      <c r="N623" s="13">
        <v>0</v>
      </c>
      <c r="O623" s="11">
        <v>0</v>
      </c>
      <c r="P623" s="11">
        <v>1</v>
      </c>
      <c r="Q623" s="13">
        <f>K623+N623</f>
        <v>0</v>
      </c>
      <c r="R623" s="11">
        <f>L623+O623</f>
        <v>0</v>
      </c>
      <c r="S623" s="11">
        <f>M623+P623</f>
        <v>1</v>
      </c>
      <c r="T623" s="8">
        <f>I623-Q623</f>
        <v>0</v>
      </c>
      <c r="U623" s="18">
        <v>0.28272537139172949</v>
      </c>
      <c r="V623" s="11">
        <v>0.17</v>
      </c>
      <c r="W623" s="11">
        <v>1</v>
      </c>
      <c r="X623" s="11">
        <v>5</v>
      </c>
      <c r="Y623" s="11">
        <v>0</v>
      </c>
      <c r="Z623" t="s">
        <v>12</v>
      </c>
    </row>
    <row r="624" spans="1:26" x14ac:dyDescent="0.25">
      <c r="A624" s="20" t="s">
        <v>1026</v>
      </c>
      <c r="B624" s="20" t="s">
        <v>60</v>
      </c>
      <c r="C624" s="20" t="s">
        <v>1027</v>
      </c>
      <c r="D624" s="20" t="s">
        <v>216</v>
      </c>
      <c r="E624" s="13">
        <v>0</v>
      </c>
      <c r="F624" s="11">
        <v>0</v>
      </c>
      <c r="G624" s="13">
        <v>0</v>
      </c>
      <c r="H624" s="11">
        <v>0</v>
      </c>
      <c r="I624" s="13">
        <f>E624+G624</f>
        <v>0</v>
      </c>
      <c r="J624" s="11">
        <f>F624+H624</f>
        <v>0</v>
      </c>
      <c r="K624" s="13">
        <v>0</v>
      </c>
      <c r="L624" s="11">
        <v>0</v>
      </c>
      <c r="M624" s="11">
        <v>0</v>
      </c>
      <c r="N624" s="13">
        <v>0</v>
      </c>
      <c r="O624" s="11">
        <v>0</v>
      </c>
      <c r="P624" s="11">
        <v>0</v>
      </c>
      <c r="Q624" s="13">
        <f>K624+N624</f>
        <v>0</v>
      </c>
      <c r="R624" s="11">
        <f>L624+O624</f>
        <v>0</v>
      </c>
      <c r="S624" s="11">
        <f>M624+P624</f>
        <v>0</v>
      </c>
      <c r="T624" s="8">
        <f>I624-Q624</f>
        <v>0</v>
      </c>
      <c r="U624" s="18">
        <v>2.0118775171856236E-2</v>
      </c>
      <c r="V624" s="11">
        <v>0</v>
      </c>
      <c r="W624" s="11">
        <v>0</v>
      </c>
      <c r="X624" s="11">
        <v>0</v>
      </c>
      <c r="Y624" s="11">
        <v>0</v>
      </c>
      <c r="Z624" t="s">
        <v>12</v>
      </c>
    </row>
    <row r="625" spans="1:26" x14ac:dyDescent="0.25">
      <c r="A625" s="20" t="s">
        <v>1023</v>
      </c>
      <c r="B625" s="20" t="s">
        <v>1023</v>
      </c>
      <c r="C625" s="20" t="s">
        <v>1024</v>
      </c>
      <c r="D625" s="20" t="s">
        <v>216</v>
      </c>
      <c r="E625" s="13">
        <v>0</v>
      </c>
      <c r="F625" s="11">
        <v>0</v>
      </c>
      <c r="G625" s="13">
        <v>0</v>
      </c>
      <c r="H625" s="11">
        <v>0</v>
      </c>
      <c r="I625" s="13">
        <f>E625+G625</f>
        <v>0</v>
      </c>
      <c r="J625" s="11">
        <f>F625+H625</f>
        <v>0</v>
      </c>
      <c r="K625" s="13">
        <v>0</v>
      </c>
      <c r="L625" s="11">
        <v>0</v>
      </c>
      <c r="M625" s="11">
        <v>0</v>
      </c>
      <c r="N625" s="13">
        <v>0</v>
      </c>
      <c r="O625" s="11">
        <v>0</v>
      </c>
      <c r="P625" s="11">
        <v>0</v>
      </c>
      <c r="Q625" s="13">
        <f>K625+N625</f>
        <v>0</v>
      </c>
      <c r="R625" s="11">
        <f>L625+O625</f>
        <v>0</v>
      </c>
      <c r="S625" s="11">
        <f>M625+P625</f>
        <v>0</v>
      </c>
      <c r="T625" s="8">
        <f>I625-Q625</f>
        <v>0</v>
      </c>
      <c r="U625" s="18">
        <v>-1.2737276737073857</v>
      </c>
      <c r="V625" s="11">
        <v>0</v>
      </c>
      <c r="W625" s="11">
        <v>0</v>
      </c>
      <c r="X625" s="11">
        <v>0</v>
      </c>
      <c r="Y625" s="11">
        <v>0</v>
      </c>
      <c r="Z625" t="s">
        <v>12</v>
      </c>
    </row>
    <row r="626" spans="1:26" x14ac:dyDescent="0.25">
      <c r="A626" s="20" t="s">
        <v>1032</v>
      </c>
      <c r="B626" s="20" t="s">
        <v>218</v>
      </c>
      <c r="C626" s="20" t="s">
        <v>938</v>
      </c>
      <c r="D626" s="20" t="s">
        <v>216</v>
      </c>
      <c r="E626" s="13">
        <v>0</v>
      </c>
      <c r="F626" s="11">
        <v>0</v>
      </c>
      <c r="G626" s="13">
        <v>0</v>
      </c>
      <c r="H626" s="11">
        <v>0</v>
      </c>
      <c r="I626" s="13">
        <f>E626+G626</f>
        <v>0</v>
      </c>
      <c r="J626" s="11">
        <f>F626+H626</f>
        <v>0</v>
      </c>
      <c r="K626" s="13">
        <v>0</v>
      </c>
      <c r="L626" s="11">
        <v>0</v>
      </c>
      <c r="M626" s="11">
        <v>0</v>
      </c>
      <c r="N626" s="13">
        <v>0</v>
      </c>
      <c r="O626" s="11">
        <v>0</v>
      </c>
      <c r="P626" s="11">
        <v>0</v>
      </c>
      <c r="Q626" s="13">
        <f>K626+N626</f>
        <v>0</v>
      </c>
      <c r="R626" s="11">
        <f>L626+O626</f>
        <v>0</v>
      </c>
      <c r="S626" s="11">
        <f>M626+P626</f>
        <v>0</v>
      </c>
      <c r="T626" s="8">
        <f>I626-Q626</f>
        <v>0</v>
      </c>
      <c r="U626" s="18">
        <v>0.29802332981811064</v>
      </c>
      <c r="V626" s="11">
        <v>0</v>
      </c>
      <c r="W626" s="11">
        <v>0</v>
      </c>
      <c r="X626" s="11">
        <v>0</v>
      </c>
      <c r="Y626" s="11">
        <v>0</v>
      </c>
      <c r="Z626" t="s">
        <v>12</v>
      </c>
    </row>
    <row r="627" spans="1:26" x14ac:dyDescent="0.25">
      <c r="A627" s="20" t="s">
        <v>1034</v>
      </c>
      <c r="B627" s="20" t="s">
        <v>60</v>
      </c>
      <c r="C627" s="20" t="s">
        <v>1035</v>
      </c>
      <c r="D627" s="20" t="s">
        <v>216</v>
      </c>
      <c r="E627" s="13">
        <v>0</v>
      </c>
      <c r="F627" s="11">
        <v>0</v>
      </c>
      <c r="G627" s="13">
        <v>0</v>
      </c>
      <c r="H627" s="11">
        <v>0</v>
      </c>
      <c r="I627" s="13">
        <f>E627+G627</f>
        <v>0</v>
      </c>
      <c r="J627" s="11">
        <f>F627+H627</f>
        <v>0</v>
      </c>
      <c r="K627" s="13">
        <v>0</v>
      </c>
      <c r="L627" s="11">
        <v>0</v>
      </c>
      <c r="M627" s="11">
        <v>0</v>
      </c>
      <c r="N627" s="13">
        <v>0</v>
      </c>
      <c r="O627" s="11">
        <v>0</v>
      </c>
      <c r="P627" s="11">
        <v>0</v>
      </c>
      <c r="Q627" s="13">
        <f>K627+N627</f>
        <v>0</v>
      </c>
      <c r="R627" s="11">
        <f>L627+O627</f>
        <v>0</v>
      </c>
      <c r="S627" s="11">
        <f>M627+P627</f>
        <v>0</v>
      </c>
      <c r="T627" s="8">
        <f>I627-Q627</f>
        <v>0</v>
      </c>
      <c r="U627" s="18">
        <v>-8.3108326211598846E-2</v>
      </c>
      <c r="V627" s="11">
        <v>0</v>
      </c>
      <c r="W627" s="11">
        <v>0</v>
      </c>
      <c r="X627" s="11">
        <v>3</v>
      </c>
      <c r="Y627" s="11">
        <v>3</v>
      </c>
      <c r="Z627" t="s">
        <v>12</v>
      </c>
    </row>
    <row r="628" spans="1:26" x14ac:dyDescent="0.25">
      <c r="A628" s="20" t="s">
        <v>1039</v>
      </c>
      <c r="B628" s="20" t="s">
        <v>756</v>
      </c>
      <c r="C628" s="20" t="s">
        <v>1040</v>
      </c>
      <c r="D628" s="20" t="s">
        <v>216</v>
      </c>
      <c r="E628" s="13">
        <v>0</v>
      </c>
      <c r="F628" s="11">
        <v>0</v>
      </c>
      <c r="G628" s="13">
        <v>0</v>
      </c>
      <c r="H628" s="11">
        <v>0</v>
      </c>
      <c r="I628" s="13">
        <f>E628+G628</f>
        <v>0</v>
      </c>
      <c r="J628" s="11">
        <f>F628+H628</f>
        <v>0</v>
      </c>
      <c r="K628" s="13">
        <v>0</v>
      </c>
      <c r="L628" s="11">
        <v>0</v>
      </c>
      <c r="M628" s="11">
        <v>0</v>
      </c>
      <c r="N628" s="13">
        <v>0</v>
      </c>
      <c r="O628" s="11">
        <v>0</v>
      </c>
      <c r="P628" s="11">
        <v>0</v>
      </c>
      <c r="Q628" s="13">
        <f>K628+N628</f>
        <v>0</v>
      </c>
      <c r="R628" s="11">
        <f>L628+O628</f>
        <v>0</v>
      </c>
      <c r="S628" s="11">
        <f>M628+P628</f>
        <v>0</v>
      </c>
      <c r="T628" s="8">
        <f>I628-Q628</f>
        <v>0</v>
      </c>
      <c r="U628" s="18" t="s">
        <v>1803</v>
      </c>
      <c r="V628" s="11">
        <v>0</v>
      </c>
      <c r="W628" s="11">
        <v>0</v>
      </c>
      <c r="X628" s="11">
        <v>0</v>
      </c>
      <c r="Y628" s="11">
        <v>0</v>
      </c>
      <c r="Z628" t="s">
        <v>12</v>
      </c>
    </row>
    <row r="629" spans="1:26" x14ac:dyDescent="0.25">
      <c r="A629" s="20" t="s">
        <v>1041</v>
      </c>
      <c r="B629" s="20" t="s">
        <v>91</v>
      </c>
      <c r="C629" s="20" t="s">
        <v>1042</v>
      </c>
      <c r="D629" s="20" t="s">
        <v>216</v>
      </c>
      <c r="E629" s="13">
        <v>0</v>
      </c>
      <c r="F629" s="11">
        <v>0</v>
      </c>
      <c r="G629" s="13">
        <v>0</v>
      </c>
      <c r="H629" s="11">
        <v>0</v>
      </c>
      <c r="I629" s="13">
        <f>E629+G629</f>
        <v>0</v>
      </c>
      <c r="J629" s="11">
        <f>F629+H629</f>
        <v>0</v>
      </c>
      <c r="K629" s="13">
        <v>0</v>
      </c>
      <c r="L629" s="11">
        <v>0</v>
      </c>
      <c r="M629" s="11">
        <v>0</v>
      </c>
      <c r="N629" s="13">
        <v>0</v>
      </c>
      <c r="O629" s="11">
        <v>0</v>
      </c>
      <c r="P629" s="11">
        <v>0</v>
      </c>
      <c r="Q629" s="13">
        <f>K629+N629</f>
        <v>0</v>
      </c>
      <c r="R629" s="11">
        <f>L629+O629</f>
        <v>0</v>
      </c>
      <c r="S629" s="11">
        <f>M629+P629</f>
        <v>0</v>
      </c>
      <c r="T629" s="8">
        <f>I629-Q629</f>
        <v>0</v>
      </c>
      <c r="U629" s="18">
        <v>-0.15373037944359383</v>
      </c>
      <c r="V629" s="11">
        <v>0</v>
      </c>
      <c r="W629" s="11">
        <v>0</v>
      </c>
      <c r="X629" s="11">
        <v>0</v>
      </c>
      <c r="Y629" s="11">
        <v>0</v>
      </c>
      <c r="Z629" t="s">
        <v>12</v>
      </c>
    </row>
    <row r="630" spans="1:26" x14ac:dyDescent="0.25">
      <c r="A630" s="20" t="s">
        <v>1043</v>
      </c>
      <c r="B630" s="20" t="s">
        <v>81</v>
      </c>
      <c r="C630" s="20" t="s">
        <v>71</v>
      </c>
      <c r="D630" s="20" t="s">
        <v>216</v>
      </c>
      <c r="E630" s="13">
        <v>0</v>
      </c>
      <c r="F630" s="11">
        <v>0</v>
      </c>
      <c r="G630" s="13">
        <v>7970.02</v>
      </c>
      <c r="H630" s="11">
        <v>0</v>
      </c>
      <c r="I630" s="13">
        <f>E630+G630</f>
        <v>7970.02</v>
      </c>
      <c r="J630" s="11">
        <f>F630+H630</f>
        <v>0</v>
      </c>
      <c r="K630" s="13">
        <v>0</v>
      </c>
      <c r="L630" s="11">
        <v>0</v>
      </c>
      <c r="M630" s="11">
        <v>1</v>
      </c>
      <c r="N630" s="13">
        <v>0</v>
      </c>
      <c r="O630" s="11">
        <v>0</v>
      </c>
      <c r="P630" s="11">
        <v>1</v>
      </c>
      <c r="Q630" s="13">
        <f>K630+N630</f>
        <v>0</v>
      </c>
      <c r="R630" s="11">
        <f>L630+O630</f>
        <v>0</v>
      </c>
      <c r="S630" s="11">
        <f>M630+P630</f>
        <v>2</v>
      </c>
      <c r="T630" s="8">
        <f>I630-Q630</f>
        <v>7970.02</v>
      </c>
      <c r="U630" s="18">
        <v>-6.6497346768258601E-3</v>
      </c>
      <c r="V630" s="11">
        <v>0.5</v>
      </c>
      <c r="W630" s="11">
        <v>1</v>
      </c>
      <c r="X630" s="11">
        <v>1</v>
      </c>
      <c r="Y630" s="11">
        <v>0</v>
      </c>
      <c r="Z630" t="s">
        <v>12</v>
      </c>
    </row>
    <row r="631" spans="1:26" x14ac:dyDescent="0.25">
      <c r="A631" s="20" t="s">
        <v>996</v>
      </c>
      <c r="B631" s="20" t="s">
        <v>996</v>
      </c>
      <c r="C631" s="20" t="s">
        <v>221</v>
      </c>
      <c r="D631" s="20" t="s">
        <v>216</v>
      </c>
      <c r="E631" s="13">
        <v>4476</v>
      </c>
      <c r="F631" s="11">
        <v>1</v>
      </c>
      <c r="G631" s="13">
        <v>3415</v>
      </c>
      <c r="H631" s="11">
        <v>0</v>
      </c>
      <c r="I631" s="13">
        <f>E631+G631</f>
        <v>7891</v>
      </c>
      <c r="J631" s="11">
        <f>F631+H631</f>
        <v>1</v>
      </c>
      <c r="K631" s="13">
        <v>0</v>
      </c>
      <c r="L631" s="11">
        <v>0</v>
      </c>
      <c r="M631" s="11">
        <v>4</v>
      </c>
      <c r="N631" s="13">
        <v>2107</v>
      </c>
      <c r="O631" s="11">
        <v>0</v>
      </c>
      <c r="P631" s="11">
        <v>1</v>
      </c>
      <c r="Q631" s="13">
        <f>K631+N631</f>
        <v>2107</v>
      </c>
      <c r="R631" s="11">
        <f>L631+O631</f>
        <v>0</v>
      </c>
      <c r="S631" s="11">
        <f>M631+P631</f>
        <v>5</v>
      </c>
      <c r="T631" s="8">
        <f>I631-Q631</f>
        <v>5784</v>
      </c>
      <c r="U631" s="18">
        <v>4.9071570878794588E-2</v>
      </c>
      <c r="V631" s="11">
        <v>0.4</v>
      </c>
      <c r="W631" s="11">
        <v>6</v>
      </c>
      <c r="X631" s="11">
        <v>9</v>
      </c>
      <c r="Y631" s="11">
        <v>1</v>
      </c>
      <c r="Z631" t="s">
        <v>12</v>
      </c>
    </row>
    <row r="632" spans="1:26" x14ac:dyDescent="0.25">
      <c r="A632" s="20" t="s">
        <v>1769</v>
      </c>
      <c r="B632" s="20" t="s">
        <v>83</v>
      </c>
      <c r="C632" s="20" t="s">
        <v>3366</v>
      </c>
      <c r="D632" s="20" t="s">
        <v>216</v>
      </c>
      <c r="E632" s="13">
        <v>0</v>
      </c>
      <c r="F632" s="11">
        <v>0</v>
      </c>
      <c r="G632" s="13">
        <v>14820</v>
      </c>
      <c r="H632" s="11">
        <v>1</v>
      </c>
      <c r="I632" s="13">
        <f>E632+G632</f>
        <v>14820</v>
      </c>
      <c r="J632" s="11">
        <f>F632+H632</f>
        <v>1</v>
      </c>
      <c r="K632" s="13">
        <v>0</v>
      </c>
      <c r="L632" s="11">
        <v>0</v>
      </c>
      <c r="M632" s="11">
        <v>0</v>
      </c>
      <c r="N632" s="13">
        <v>10635.34</v>
      </c>
      <c r="O632" s="11">
        <v>0</v>
      </c>
      <c r="P632" s="11">
        <v>4</v>
      </c>
      <c r="Q632" s="13">
        <f>K632+N632</f>
        <v>10635.34</v>
      </c>
      <c r="R632" s="11">
        <f>L632+O632</f>
        <v>0</v>
      </c>
      <c r="S632" s="11">
        <f>M632+P632</f>
        <v>4</v>
      </c>
      <c r="T632" s="8">
        <f>I632-Q632</f>
        <v>4184.66</v>
      </c>
      <c r="U632" s="18">
        <v>1.9461521388452009E-2</v>
      </c>
      <c r="V632" s="11">
        <v>0.45</v>
      </c>
      <c r="W632" s="11">
        <v>5</v>
      </c>
      <c r="X632" s="11">
        <v>6</v>
      </c>
      <c r="Y632" s="11">
        <v>0</v>
      </c>
      <c r="Z632" t="s">
        <v>12</v>
      </c>
    </row>
    <row r="633" spans="1:26" x14ac:dyDescent="0.25">
      <c r="A633" s="20" t="s">
        <v>1046</v>
      </c>
      <c r="B633" s="20" t="s">
        <v>459</v>
      </c>
      <c r="C633" s="20" t="s">
        <v>1021</v>
      </c>
      <c r="D633" s="20" t="s">
        <v>216</v>
      </c>
      <c r="E633" s="13">
        <v>0</v>
      </c>
      <c r="F633" s="11">
        <v>0</v>
      </c>
      <c r="G633" s="13">
        <v>0</v>
      </c>
      <c r="H633" s="11">
        <v>0</v>
      </c>
      <c r="I633" s="13">
        <f>E633+G633</f>
        <v>0</v>
      </c>
      <c r="J633" s="11">
        <f>F633+H633</f>
        <v>0</v>
      </c>
      <c r="K633" s="13">
        <v>0</v>
      </c>
      <c r="L633" s="11">
        <v>0</v>
      </c>
      <c r="M633" s="11">
        <v>0</v>
      </c>
      <c r="N633" s="13">
        <v>0</v>
      </c>
      <c r="O633" s="11">
        <v>0</v>
      </c>
      <c r="P633" s="11">
        <v>0</v>
      </c>
      <c r="Q633" s="13">
        <f>K633+N633</f>
        <v>0</v>
      </c>
      <c r="R633" s="11">
        <f>L633+O633</f>
        <v>0</v>
      </c>
      <c r="S633" s="11">
        <f>M633+P633</f>
        <v>0</v>
      </c>
      <c r="T633" s="8">
        <f>I633-Q633</f>
        <v>0</v>
      </c>
      <c r="U633" s="18">
        <v>-0.24329922893033021</v>
      </c>
      <c r="V633" s="11">
        <v>0</v>
      </c>
      <c r="W633" s="11">
        <v>0</v>
      </c>
      <c r="X633" s="11">
        <v>0</v>
      </c>
      <c r="Y633" s="11">
        <v>0</v>
      </c>
      <c r="Z633" t="s">
        <v>12</v>
      </c>
    </row>
    <row r="634" spans="1:26" x14ac:dyDescent="0.25">
      <c r="A634" s="20" t="s">
        <v>1051</v>
      </c>
      <c r="B634" s="20" t="s">
        <v>124</v>
      </c>
      <c r="C634" s="20" t="s">
        <v>1052</v>
      </c>
      <c r="D634" s="20" t="s">
        <v>216</v>
      </c>
      <c r="E634" s="13">
        <v>0</v>
      </c>
      <c r="F634" s="11">
        <v>0</v>
      </c>
      <c r="G634" s="13">
        <v>0</v>
      </c>
      <c r="H634" s="11">
        <v>0</v>
      </c>
      <c r="I634" s="13">
        <f>E634+G634</f>
        <v>0</v>
      </c>
      <c r="J634" s="11">
        <f>F634+H634</f>
        <v>0</v>
      </c>
      <c r="K634" s="13">
        <v>0</v>
      </c>
      <c r="L634" s="11">
        <v>0</v>
      </c>
      <c r="M634" s="11">
        <v>0</v>
      </c>
      <c r="N634" s="13">
        <v>0</v>
      </c>
      <c r="O634" s="11">
        <v>0</v>
      </c>
      <c r="P634" s="11">
        <v>1</v>
      </c>
      <c r="Q634" s="13">
        <f>K634+N634</f>
        <v>0</v>
      </c>
      <c r="R634" s="11">
        <f>L634+O634</f>
        <v>0</v>
      </c>
      <c r="S634" s="11">
        <f>M634+P634</f>
        <v>1</v>
      </c>
      <c r="T634" s="8">
        <f>I634-Q634</f>
        <v>0</v>
      </c>
      <c r="U634" s="18">
        <v>-0.45976221125938477</v>
      </c>
      <c r="V634" s="11">
        <v>0.5</v>
      </c>
      <c r="W634" s="11">
        <v>1</v>
      </c>
      <c r="X634" s="11">
        <v>1</v>
      </c>
      <c r="Y634" s="11">
        <v>0</v>
      </c>
      <c r="Z634" t="s">
        <v>12</v>
      </c>
    </row>
    <row r="635" spans="1:26" x14ac:dyDescent="0.25">
      <c r="A635" s="20" t="s">
        <v>1053</v>
      </c>
      <c r="B635" s="20" t="s">
        <v>58</v>
      </c>
      <c r="C635" s="20" t="s">
        <v>1054</v>
      </c>
      <c r="D635" s="20" t="s">
        <v>216</v>
      </c>
      <c r="E635" s="13">
        <v>0</v>
      </c>
      <c r="F635" s="11">
        <v>0</v>
      </c>
      <c r="G635" s="13">
        <v>0</v>
      </c>
      <c r="H635" s="11">
        <v>0</v>
      </c>
      <c r="I635" s="13">
        <f>E635+G635</f>
        <v>0</v>
      </c>
      <c r="J635" s="11">
        <f>F635+H635</f>
        <v>0</v>
      </c>
      <c r="K635" s="13">
        <v>0</v>
      </c>
      <c r="L635" s="11">
        <v>0</v>
      </c>
      <c r="M635" s="11">
        <v>0</v>
      </c>
      <c r="N635" s="13">
        <v>0</v>
      </c>
      <c r="O635" s="11">
        <v>0</v>
      </c>
      <c r="P635" s="11">
        <v>0</v>
      </c>
      <c r="Q635" s="13">
        <f>K635+N635</f>
        <v>0</v>
      </c>
      <c r="R635" s="11">
        <f>L635+O635</f>
        <v>0</v>
      </c>
      <c r="S635" s="11">
        <f>M635+P635</f>
        <v>0</v>
      </c>
      <c r="T635" s="8">
        <f>I635-Q635</f>
        <v>0</v>
      </c>
      <c r="U635" s="18">
        <v>-1.6099167622935558E-3</v>
      </c>
      <c r="V635" s="11">
        <v>0</v>
      </c>
      <c r="W635" s="11">
        <v>0</v>
      </c>
      <c r="X635" s="11">
        <v>0</v>
      </c>
      <c r="Y635" s="11">
        <v>0</v>
      </c>
      <c r="Z635" t="s">
        <v>12</v>
      </c>
    </row>
    <row r="636" spans="1:26" x14ac:dyDescent="0.25">
      <c r="A636" s="20" t="s">
        <v>1055</v>
      </c>
      <c r="B636" s="20" t="s">
        <v>81</v>
      </c>
      <c r="C636" s="20" t="s">
        <v>171</v>
      </c>
      <c r="D636" s="20" t="s">
        <v>215</v>
      </c>
      <c r="E636" s="13">
        <v>0</v>
      </c>
      <c r="F636" s="11">
        <v>0</v>
      </c>
      <c r="G636" s="13">
        <v>-327.66000000000003</v>
      </c>
      <c r="H636" s="11">
        <v>0</v>
      </c>
      <c r="I636" s="13">
        <f>E636+G636</f>
        <v>-327.66000000000003</v>
      </c>
      <c r="J636" s="11">
        <f>F636+H636</f>
        <v>0</v>
      </c>
      <c r="K636" s="13">
        <v>0</v>
      </c>
      <c r="L636" s="11">
        <v>0</v>
      </c>
      <c r="M636" s="11">
        <v>0</v>
      </c>
      <c r="N636" s="13">
        <v>0</v>
      </c>
      <c r="O636" s="11">
        <v>0</v>
      </c>
      <c r="P636" s="11">
        <v>1</v>
      </c>
      <c r="Q636" s="13">
        <f>K636+N636</f>
        <v>0</v>
      </c>
      <c r="R636" s="11">
        <f>L636+O636</f>
        <v>0</v>
      </c>
      <c r="S636" s="11">
        <f>M636+P636</f>
        <v>1</v>
      </c>
      <c r="T636" s="8">
        <f>I636-Q636</f>
        <v>-327.66000000000003</v>
      </c>
      <c r="U636" s="18">
        <v>-4.8822381320784876E-2</v>
      </c>
      <c r="V636" s="11">
        <v>0</v>
      </c>
      <c r="W636" s="11">
        <v>0</v>
      </c>
      <c r="X636" s="11">
        <v>1</v>
      </c>
      <c r="Y636" s="11">
        <v>1</v>
      </c>
      <c r="Z636" t="s">
        <v>12</v>
      </c>
    </row>
    <row r="637" spans="1:26" x14ac:dyDescent="0.25">
      <c r="A637" s="20" t="s">
        <v>1058</v>
      </c>
      <c r="B637" s="20" t="s">
        <v>124</v>
      </c>
      <c r="C637" s="20" t="s">
        <v>1048</v>
      </c>
      <c r="D637" s="20" t="s">
        <v>216</v>
      </c>
      <c r="E637" s="13">
        <v>0</v>
      </c>
      <c r="F637" s="11">
        <v>0</v>
      </c>
      <c r="G637" s="13">
        <v>0</v>
      </c>
      <c r="H637" s="11">
        <v>0</v>
      </c>
      <c r="I637" s="13">
        <f>E637+G637</f>
        <v>0</v>
      </c>
      <c r="J637" s="11">
        <f>F637+H637</f>
        <v>0</v>
      </c>
      <c r="K637" s="13">
        <v>0</v>
      </c>
      <c r="L637" s="11">
        <v>0</v>
      </c>
      <c r="M637" s="11">
        <v>0</v>
      </c>
      <c r="N637" s="13">
        <v>0</v>
      </c>
      <c r="O637" s="11">
        <v>0</v>
      </c>
      <c r="P637" s="11">
        <v>0</v>
      </c>
      <c r="Q637" s="13">
        <f>K637+N637</f>
        <v>0</v>
      </c>
      <c r="R637" s="11">
        <f>L637+O637</f>
        <v>0</v>
      </c>
      <c r="S637" s="11">
        <f>M637+P637</f>
        <v>0</v>
      </c>
      <c r="T637" s="8">
        <f>I637-Q637</f>
        <v>0</v>
      </c>
      <c r="U637" s="18">
        <v>-0.13394020380771698</v>
      </c>
      <c r="V637" s="11">
        <v>0</v>
      </c>
      <c r="W637" s="11">
        <v>0</v>
      </c>
      <c r="X637" s="11">
        <v>0</v>
      </c>
      <c r="Y637" s="11">
        <v>0</v>
      </c>
      <c r="Z637" t="s">
        <v>12</v>
      </c>
    </row>
    <row r="638" spans="1:26" x14ac:dyDescent="0.25">
      <c r="A638" s="20" t="s">
        <v>1059</v>
      </c>
      <c r="B638" s="20" t="s">
        <v>124</v>
      </c>
      <c r="C638" s="20" t="s">
        <v>1060</v>
      </c>
      <c r="D638" s="20" t="s">
        <v>216</v>
      </c>
      <c r="E638" s="13">
        <v>0</v>
      </c>
      <c r="F638" s="11">
        <v>0</v>
      </c>
      <c r="G638" s="13">
        <v>0</v>
      </c>
      <c r="H638" s="11">
        <v>0</v>
      </c>
      <c r="I638" s="13">
        <f>E638+G638</f>
        <v>0</v>
      </c>
      <c r="J638" s="11">
        <f>F638+H638</f>
        <v>0</v>
      </c>
      <c r="K638" s="13">
        <v>0</v>
      </c>
      <c r="L638" s="11">
        <v>0</v>
      </c>
      <c r="M638" s="11">
        <v>0</v>
      </c>
      <c r="N638" s="13">
        <v>0</v>
      </c>
      <c r="O638" s="11">
        <v>0</v>
      </c>
      <c r="P638" s="11">
        <v>0</v>
      </c>
      <c r="Q638" s="13">
        <f>K638+N638</f>
        <v>0</v>
      </c>
      <c r="R638" s="11">
        <f>L638+O638</f>
        <v>0</v>
      </c>
      <c r="S638" s="11">
        <f>M638+P638</f>
        <v>0</v>
      </c>
      <c r="T638" s="8">
        <f>I638-Q638</f>
        <v>0</v>
      </c>
      <c r="U638" s="18">
        <v>-0.11945080091533179</v>
      </c>
      <c r="V638" s="11">
        <v>0</v>
      </c>
      <c r="W638" s="11">
        <v>0</v>
      </c>
      <c r="X638" s="11">
        <v>0</v>
      </c>
      <c r="Y638" s="11">
        <v>0</v>
      </c>
      <c r="Z638" t="s">
        <v>12</v>
      </c>
    </row>
    <row r="639" spans="1:26" x14ac:dyDescent="0.25">
      <c r="A639" s="20" t="s">
        <v>1062</v>
      </c>
      <c r="B639" s="20" t="s">
        <v>124</v>
      </c>
      <c r="C639" s="20" t="s">
        <v>1063</v>
      </c>
      <c r="D639" s="20" t="s">
        <v>216</v>
      </c>
      <c r="E639" s="13">
        <v>0</v>
      </c>
      <c r="F639" s="11">
        <v>0</v>
      </c>
      <c r="G639" s="13">
        <v>0</v>
      </c>
      <c r="H639" s="11">
        <v>0</v>
      </c>
      <c r="I639" s="13">
        <f>E639+G639</f>
        <v>0</v>
      </c>
      <c r="J639" s="11">
        <f>F639+H639</f>
        <v>0</v>
      </c>
      <c r="K639" s="13">
        <v>1566.74</v>
      </c>
      <c r="L639" s="11">
        <v>0</v>
      </c>
      <c r="M639" s="11">
        <v>0</v>
      </c>
      <c r="N639" s="13">
        <v>0</v>
      </c>
      <c r="O639" s="11">
        <v>0</v>
      </c>
      <c r="P639" s="11">
        <v>0</v>
      </c>
      <c r="Q639" s="13">
        <f>K639+N639</f>
        <v>1566.74</v>
      </c>
      <c r="R639" s="11">
        <f>L639+O639</f>
        <v>0</v>
      </c>
      <c r="S639" s="11">
        <f>M639+P639</f>
        <v>0</v>
      </c>
      <c r="T639" s="8">
        <f>I639-Q639</f>
        <v>-1566.74</v>
      </c>
      <c r="U639" s="18">
        <v>1.6009405266996805E-3</v>
      </c>
      <c r="V639" s="11">
        <v>0</v>
      </c>
      <c r="W639" s="11">
        <v>0</v>
      </c>
      <c r="X639" s="11">
        <v>0</v>
      </c>
      <c r="Y639" s="11">
        <v>0</v>
      </c>
      <c r="Z639" t="s">
        <v>12</v>
      </c>
    </row>
    <row r="640" spans="1:26" x14ac:dyDescent="0.25">
      <c r="A640" s="20" t="s">
        <v>3009</v>
      </c>
      <c r="B640" s="20" t="s">
        <v>83</v>
      </c>
      <c r="C640" s="20" t="s">
        <v>638</v>
      </c>
      <c r="D640" s="20" t="s">
        <v>216</v>
      </c>
      <c r="E640" s="13">
        <v>0</v>
      </c>
      <c r="F640" s="11">
        <v>0</v>
      </c>
      <c r="G640" s="13">
        <v>0</v>
      </c>
      <c r="H640" s="11">
        <v>0</v>
      </c>
      <c r="I640" s="13">
        <f>E640+G640</f>
        <v>0</v>
      </c>
      <c r="J640" s="11">
        <f>F640+H640</f>
        <v>0</v>
      </c>
      <c r="K640" s="13">
        <v>0</v>
      </c>
      <c r="L640" s="11">
        <v>0</v>
      </c>
      <c r="M640" s="11">
        <v>0</v>
      </c>
      <c r="N640" s="13">
        <v>0</v>
      </c>
      <c r="O640" s="11">
        <v>0</v>
      </c>
      <c r="P640" s="11">
        <v>1</v>
      </c>
      <c r="Q640" s="13">
        <f>K640+N640</f>
        <v>0</v>
      </c>
      <c r="R640" s="11">
        <f>L640+O640</f>
        <v>0</v>
      </c>
      <c r="S640" s="11">
        <f>M640+P640</f>
        <v>1</v>
      </c>
      <c r="T640" s="8">
        <f>I640-Q640</f>
        <v>0</v>
      </c>
      <c r="U640" s="18">
        <v>0.17525046699549701</v>
      </c>
      <c r="V640" s="11">
        <v>0.2</v>
      </c>
      <c r="W640" s="11">
        <v>1</v>
      </c>
      <c r="X640" s="11">
        <v>4</v>
      </c>
      <c r="Y640" s="11">
        <v>0</v>
      </c>
      <c r="Z640" t="s">
        <v>12</v>
      </c>
    </row>
    <row r="641" spans="1:26" x14ac:dyDescent="0.25">
      <c r="A641" s="20" t="s">
        <v>3267</v>
      </c>
      <c r="B641" s="20" t="s">
        <v>3267</v>
      </c>
      <c r="C641" s="20" t="s">
        <v>3268</v>
      </c>
      <c r="D641" s="20" t="s">
        <v>216</v>
      </c>
      <c r="E641" s="13">
        <v>0</v>
      </c>
      <c r="F641" s="11">
        <v>0</v>
      </c>
      <c r="G641" s="13">
        <v>0</v>
      </c>
      <c r="H641" s="11">
        <v>0</v>
      </c>
      <c r="I641" s="13">
        <f>E641+G641</f>
        <v>0</v>
      </c>
      <c r="J641" s="11">
        <f>F641+H641</f>
        <v>0</v>
      </c>
      <c r="K641" s="13">
        <v>0</v>
      </c>
      <c r="L641" s="11">
        <v>0</v>
      </c>
      <c r="M641" s="11">
        <v>0</v>
      </c>
      <c r="N641" s="13">
        <v>0</v>
      </c>
      <c r="O641" s="11">
        <v>0</v>
      </c>
      <c r="P641" s="11">
        <v>0</v>
      </c>
      <c r="Q641" s="13">
        <f>K641+N641</f>
        <v>0</v>
      </c>
      <c r="R641" s="11">
        <f>L641+O641</f>
        <v>0</v>
      </c>
      <c r="S641" s="11">
        <f>M641+P641</f>
        <v>0</v>
      </c>
      <c r="T641" s="8">
        <f>I641-Q641</f>
        <v>0</v>
      </c>
      <c r="U641" s="18">
        <v>0.19753701177425731</v>
      </c>
      <c r="V641" s="11">
        <v>0</v>
      </c>
      <c r="W641" s="11">
        <v>0</v>
      </c>
      <c r="X641" s="11">
        <v>0</v>
      </c>
      <c r="Y641" s="11">
        <v>0</v>
      </c>
      <c r="Z641" t="s">
        <v>12</v>
      </c>
    </row>
    <row r="642" spans="1:26" x14ac:dyDescent="0.25">
      <c r="A642" s="20" t="s">
        <v>3277</v>
      </c>
      <c r="B642" s="20" t="s">
        <v>124</v>
      </c>
      <c r="C642" s="20" t="s">
        <v>1063</v>
      </c>
      <c r="D642" s="20" t="s">
        <v>216</v>
      </c>
      <c r="E642" s="13">
        <v>0</v>
      </c>
      <c r="F642" s="11">
        <v>0</v>
      </c>
      <c r="G642" s="13">
        <v>0</v>
      </c>
      <c r="H642" s="11">
        <v>0</v>
      </c>
      <c r="I642" s="13">
        <f>E642+G642</f>
        <v>0</v>
      </c>
      <c r="J642" s="11">
        <f>F642+H642</f>
        <v>0</v>
      </c>
      <c r="K642" s="13">
        <v>0</v>
      </c>
      <c r="L642" s="11">
        <v>0</v>
      </c>
      <c r="M642" s="11">
        <v>0</v>
      </c>
      <c r="N642" s="13">
        <v>0</v>
      </c>
      <c r="O642" s="11">
        <v>0</v>
      </c>
      <c r="P642" s="11">
        <v>0</v>
      </c>
      <c r="Q642" s="13">
        <f>K642+N642</f>
        <v>0</v>
      </c>
      <c r="R642" s="11">
        <f>L642+O642</f>
        <v>0</v>
      </c>
      <c r="S642" s="11">
        <f>M642+P642</f>
        <v>0</v>
      </c>
      <c r="T642" s="8">
        <f>I642-Q642</f>
        <v>0</v>
      </c>
      <c r="U642" s="18">
        <v>-0.18978003242944511</v>
      </c>
      <c r="V642" s="11">
        <v>0</v>
      </c>
      <c r="W642" s="11">
        <v>0</v>
      </c>
      <c r="X642" s="11">
        <v>0</v>
      </c>
      <c r="Y642" s="11">
        <v>0</v>
      </c>
      <c r="Z642" t="s">
        <v>12</v>
      </c>
    </row>
    <row r="643" spans="1:26" x14ac:dyDescent="0.25">
      <c r="A643" s="20" t="s">
        <v>3367</v>
      </c>
      <c r="B643" s="20" t="s">
        <v>3203</v>
      </c>
      <c r="C643" s="20" t="s">
        <v>3345</v>
      </c>
      <c r="D643" s="20" t="s">
        <v>216</v>
      </c>
      <c r="E643" s="13">
        <v>0</v>
      </c>
      <c r="F643" s="11">
        <v>0</v>
      </c>
      <c r="G643" s="13">
        <v>0</v>
      </c>
      <c r="H643" s="11">
        <v>0</v>
      </c>
      <c r="I643" s="13">
        <f>E643+G643</f>
        <v>0</v>
      </c>
      <c r="J643" s="11">
        <f>F643+H643</f>
        <v>0</v>
      </c>
      <c r="K643" s="13">
        <v>0</v>
      </c>
      <c r="L643" s="11">
        <v>0</v>
      </c>
      <c r="M643" s="11">
        <v>0</v>
      </c>
      <c r="N643" s="13">
        <v>0</v>
      </c>
      <c r="O643" s="11">
        <v>0</v>
      </c>
      <c r="P643" s="11">
        <v>0</v>
      </c>
      <c r="Q643" s="13">
        <f>K643+N643</f>
        <v>0</v>
      </c>
      <c r="R643" s="11">
        <f>L643+O643</f>
        <v>0</v>
      </c>
      <c r="S643" s="11">
        <f>M643+P643</f>
        <v>0</v>
      </c>
      <c r="T643" s="8">
        <f>I643-Q643</f>
        <v>0</v>
      </c>
      <c r="U643" s="18">
        <v>-3.4734228925020122E-2</v>
      </c>
      <c r="V643" s="11">
        <v>0</v>
      </c>
      <c r="W643" s="11">
        <v>0</v>
      </c>
      <c r="X643" s="11">
        <v>0</v>
      </c>
      <c r="Y643" s="11">
        <v>0</v>
      </c>
      <c r="Z643" t="s">
        <v>12</v>
      </c>
    </row>
    <row r="644" spans="1:26" x14ac:dyDescent="0.25">
      <c r="A644" s="20" t="s">
        <v>3393</v>
      </c>
      <c r="B644" s="20" t="s">
        <v>189</v>
      </c>
      <c r="C644" s="20" t="s">
        <v>212</v>
      </c>
      <c r="D644" s="20" t="s">
        <v>216</v>
      </c>
      <c r="E644" s="13">
        <v>0</v>
      </c>
      <c r="F644" s="11">
        <v>0</v>
      </c>
      <c r="G644" s="13">
        <v>1377</v>
      </c>
      <c r="H644" s="11">
        <v>0</v>
      </c>
      <c r="I644" s="13">
        <f>E644+G644</f>
        <v>1377</v>
      </c>
      <c r="J644" s="11">
        <f>F644+H644</f>
        <v>0</v>
      </c>
      <c r="K644" s="13">
        <v>0</v>
      </c>
      <c r="L644" s="11">
        <v>0</v>
      </c>
      <c r="M644" s="11">
        <v>0</v>
      </c>
      <c r="N644" s="13">
        <v>1328</v>
      </c>
      <c r="O644" s="11">
        <v>0</v>
      </c>
      <c r="P644" s="11">
        <v>0</v>
      </c>
      <c r="Q644" s="13">
        <f>K644+N644</f>
        <v>1328</v>
      </c>
      <c r="R644" s="11">
        <f>L644+O644</f>
        <v>0</v>
      </c>
      <c r="S644" s="11">
        <f>M644+P644</f>
        <v>0</v>
      </c>
      <c r="T644" s="8">
        <f>I644-Q644</f>
        <v>49</v>
      </c>
      <c r="U644" s="18">
        <v>-0.34367969646219521</v>
      </c>
      <c r="V644" s="11">
        <v>0</v>
      </c>
      <c r="W644" s="11">
        <v>0</v>
      </c>
      <c r="X644" s="11">
        <v>3</v>
      </c>
      <c r="Y644" s="11">
        <v>0</v>
      </c>
      <c r="Z644" t="s">
        <v>12</v>
      </c>
    </row>
    <row r="645" spans="1:26" x14ac:dyDescent="0.25">
      <c r="A645" s="20" t="s">
        <v>3611</v>
      </c>
      <c r="B645" s="20" t="s">
        <v>3588</v>
      </c>
      <c r="C645" s="20" t="s">
        <v>998</v>
      </c>
      <c r="D645" s="20" t="s">
        <v>216</v>
      </c>
      <c r="E645" s="13">
        <v>0</v>
      </c>
      <c r="F645" s="11">
        <v>0</v>
      </c>
      <c r="G645" s="13">
        <v>0</v>
      </c>
      <c r="H645" s="11">
        <v>0</v>
      </c>
      <c r="I645" s="13">
        <f>E645+G645</f>
        <v>0</v>
      </c>
      <c r="J645" s="11">
        <f>F645+H645</f>
        <v>0</v>
      </c>
      <c r="K645" s="13">
        <v>0</v>
      </c>
      <c r="L645" s="11">
        <v>0</v>
      </c>
      <c r="M645" s="11">
        <v>0</v>
      </c>
      <c r="N645" s="13">
        <v>0</v>
      </c>
      <c r="O645" s="11">
        <v>0</v>
      </c>
      <c r="P645" s="11">
        <v>0</v>
      </c>
      <c r="Q645" s="13">
        <f>K645+N645</f>
        <v>0</v>
      </c>
      <c r="R645" s="11">
        <f>L645+O645</f>
        <v>0</v>
      </c>
      <c r="S645" s="11">
        <f>M645+P645</f>
        <v>0</v>
      </c>
      <c r="T645" s="8">
        <f>I645-Q645</f>
        <v>0</v>
      </c>
      <c r="U645" s="18">
        <v>3.5059425402486681E-2</v>
      </c>
      <c r="V645" s="11">
        <v>0</v>
      </c>
      <c r="W645" s="11">
        <v>0</v>
      </c>
      <c r="X645" s="11">
        <v>0</v>
      </c>
      <c r="Y645" s="11">
        <v>0</v>
      </c>
      <c r="Z645" t="s">
        <v>12</v>
      </c>
    </row>
    <row r="646" spans="1:26" x14ac:dyDescent="0.25">
      <c r="A646" s="20" t="s">
        <v>3636</v>
      </c>
      <c r="B646" s="20" t="s">
        <v>459</v>
      </c>
      <c r="C646" s="20" t="s">
        <v>3608</v>
      </c>
      <c r="D646" s="20" t="s">
        <v>216</v>
      </c>
      <c r="E646" s="13">
        <v>0</v>
      </c>
      <c r="F646" s="11">
        <v>0</v>
      </c>
      <c r="G646" s="13">
        <v>0</v>
      </c>
      <c r="H646" s="11">
        <v>0</v>
      </c>
      <c r="I646" s="13">
        <f>E646+G646</f>
        <v>0</v>
      </c>
      <c r="J646" s="11">
        <f>F646+H646</f>
        <v>0</v>
      </c>
      <c r="K646" s="13">
        <v>0</v>
      </c>
      <c r="L646" s="11">
        <v>0</v>
      </c>
      <c r="M646" s="11">
        <v>0</v>
      </c>
      <c r="N646" s="13">
        <v>0</v>
      </c>
      <c r="O646" s="11">
        <v>0</v>
      </c>
      <c r="P646" s="11">
        <v>0</v>
      </c>
      <c r="Q646" s="13">
        <f>K646+N646</f>
        <v>0</v>
      </c>
      <c r="R646" s="11">
        <f>L646+O646</f>
        <v>0</v>
      </c>
      <c r="S646" s="11">
        <f>M646+P646</f>
        <v>0</v>
      </c>
      <c r="T646" s="8">
        <f>I646-Q646</f>
        <v>0</v>
      </c>
      <c r="U646" s="18">
        <v>9.1744391779259485E-2</v>
      </c>
      <c r="V646" s="11">
        <v>0</v>
      </c>
      <c r="W646" s="11">
        <v>0</v>
      </c>
      <c r="X646" s="11">
        <v>0</v>
      </c>
      <c r="Y646" s="11">
        <v>0</v>
      </c>
      <c r="Z646" t="s">
        <v>12</v>
      </c>
    </row>
    <row r="647" spans="1:26" x14ac:dyDescent="0.25">
      <c r="A647" s="20" t="s">
        <v>3647</v>
      </c>
      <c r="B647" s="20" t="s">
        <v>83</v>
      </c>
      <c r="C647" s="20" t="s">
        <v>638</v>
      </c>
      <c r="D647" s="20" t="s">
        <v>216</v>
      </c>
      <c r="E647" s="13">
        <v>0</v>
      </c>
      <c r="F647" s="11">
        <v>0</v>
      </c>
      <c r="G647" s="13">
        <v>0</v>
      </c>
      <c r="H647" s="11">
        <v>0</v>
      </c>
      <c r="I647" s="13">
        <f>E647+G647</f>
        <v>0</v>
      </c>
      <c r="J647" s="11">
        <f>F647+H647</f>
        <v>0</v>
      </c>
      <c r="K647" s="13">
        <v>0</v>
      </c>
      <c r="L647" s="11">
        <v>0</v>
      </c>
      <c r="M647" s="11">
        <v>0</v>
      </c>
      <c r="N647" s="13">
        <v>0</v>
      </c>
      <c r="O647" s="11">
        <v>0</v>
      </c>
      <c r="P647" s="11">
        <v>0</v>
      </c>
      <c r="Q647" s="13">
        <f>K647+N647</f>
        <v>0</v>
      </c>
      <c r="R647" s="11">
        <f>L647+O647</f>
        <v>0</v>
      </c>
      <c r="S647" s="11">
        <f>M647+P647</f>
        <v>0</v>
      </c>
      <c r="T647" s="8">
        <f>I647-Q647</f>
        <v>0</v>
      </c>
      <c r="U647" s="18" t="s">
        <v>1803</v>
      </c>
      <c r="V647" s="11">
        <v>0</v>
      </c>
      <c r="W647" s="11">
        <v>0</v>
      </c>
      <c r="X647" s="11">
        <v>0</v>
      </c>
      <c r="Y647" s="11">
        <v>0</v>
      </c>
      <c r="Z647" t="s">
        <v>12</v>
      </c>
    </row>
    <row r="648" spans="1:26" x14ac:dyDescent="0.25">
      <c r="A648" s="20" t="s">
        <v>1068</v>
      </c>
      <c r="B648" s="20" t="s">
        <v>124</v>
      </c>
      <c r="C648" s="20" t="s">
        <v>1069</v>
      </c>
      <c r="D648" s="20" t="s">
        <v>216</v>
      </c>
      <c r="E648" s="13">
        <v>0</v>
      </c>
      <c r="F648" s="11">
        <v>0</v>
      </c>
      <c r="G648" s="13">
        <v>0</v>
      </c>
      <c r="H648" s="11">
        <v>0</v>
      </c>
      <c r="I648" s="13">
        <f>E648+G648</f>
        <v>0</v>
      </c>
      <c r="J648" s="11">
        <f>F648+H648</f>
        <v>0</v>
      </c>
      <c r="K648" s="13">
        <v>0</v>
      </c>
      <c r="L648" s="11">
        <v>0</v>
      </c>
      <c r="M648" s="11">
        <v>0</v>
      </c>
      <c r="N648" s="13">
        <v>0</v>
      </c>
      <c r="O648" s="11">
        <v>0</v>
      </c>
      <c r="P648" s="11">
        <v>0</v>
      </c>
      <c r="Q648" s="13">
        <f>K648+N648</f>
        <v>0</v>
      </c>
      <c r="R648" s="11">
        <f>L648+O648</f>
        <v>0</v>
      </c>
      <c r="S648" s="11">
        <f>M648+P648</f>
        <v>0</v>
      </c>
      <c r="T648" s="8">
        <f>I648-Q648</f>
        <v>0</v>
      </c>
      <c r="U648" s="18">
        <v>-5.2284225082438036</v>
      </c>
      <c r="V648" s="11">
        <v>0</v>
      </c>
      <c r="W648" s="11">
        <v>0</v>
      </c>
      <c r="X648" s="11">
        <v>0</v>
      </c>
      <c r="Y648" s="11">
        <v>0</v>
      </c>
      <c r="Z648" t="s">
        <v>13</v>
      </c>
    </row>
    <row r="649" spans="1:26" x14ac:dyDescent="0.25">
      <c r="A649" s="20" t="s">
        <v>1071</v>
      </c>
      <c r="B649" s="20" t="s">
        <v>124</v>
      </c>
      <c r="C649" s="20" t="s">
        <v>1072</v>
      </c>
      <c r="D649" s="20" t="s">
        <v>216</v>
      </c>
      <c r="E649" s="13">
        <v>0</v>
      </c>
      <c r="F649" s="11">
        <v>0</v>
      </c>
      <c r="G649" s="13">
        <v>4823</v>
      </c>
      <c r="H649" s="11">
        <v>0</v>
      </c>
      <c r="I649" s="13">
        <f>E649+G649</f>
        <v>4823</v>
      </c>
      <c r="J649" s="11">
        <f>F649+H649</f>
        <v>0</v>
      </c>
      <c r="K649" s="13">
        <v>0</v>
      </c>
      <c r="L649" s="11">
        <v>0</v>
      </c>
      <c r="M649" s="11">
        <v>0</v>
      </c>
      <c r="N649" s="13">
        <v>4045</v>
      </c>
      <c r="O649" s="11">
        <v>0</v>
      </c>
      <c r="P649" s="11">
        <v>0</v>
      </c>
      <c r="Q649" s="13">
        <f>K649+N649</f>
        <v>4045</v>
      </c>
      <c r="R649" s="11">
        <f>L649+O649</f>
        <v>0</v>
      </c>
      <c r="S649" s="11">
        <f>M649+P649</f>
        <v>0</v>
      </c>
      <c r="T649" s="8">
        <f>I649-Q649</f>
        <v>778</v>
      </c>
      <c r="U649" s="18">
        <v>-0.15077150603894504</v>
      </c>
      <c r="V649" s="11">
        <v>0</v>
      </c>
      <c r="W649" s="11">
        <v>0</v>
      </c>
      <c r="X649" s="11">
        <v>0</v>
      </c>
      <c r="Y649" s="11">
        <v>0</v>
      </c>
      <c r="Z649" t="s">
        <v>13</v>
      </c>
    </row>
    <row r="650" spans="1:26" x14ac:dyDescent="0.25">
      <c r="A650" s="20" t="s">
        <v>1074</v>
      </c>
      <c r="B650" s="20" t="s">
        <v>124</v>
      </c>
      <c r="C650" s="20" t="s">
        <v>1075</v>
      </c>
      <c r="D650" s="20" t="s">
        <v>216</v>
      </c>
      <c r="E650" s="13">
        <v>0</v>
      </c>
      <c r="F650" s="11">
        <v>0</v>
      </c>
      <c r="G650" s="13">
        <v>0</v>
      </c>
      <c r="H650" s="11">
        <v>0</v>
      </c>
      <c r="I650" s="13">
        <f>E650+G650</f>
        <v>0</v>
      </c>
      <c r="J650" s="11">
        <f>F650+H650</f>
        <v>0</v>
      </c>
      <c r="K650" s="13">
        <v>0</v>
      </c>
      <c r="L650" s="11">
        <v>0</v>
      </c>
      <c r="M650" s="11">
        <v>0</v>
      </c>
      <c r="N650" s="13">
        <v>0</v>
      </c>
      <c r="O650" s="11">
        <v>0</v>
      </c>
      <c r="P650" s="11">
        <v>1</v>
      </c>
      <c r="Q650" s="13">
        <f>K650+N650</f>
        <v>0</v>
      </c>
      <c r="R650" s="11">
        <f>L650+O650</f>
        <v>0</v>
      </c>
      <c r="S650" s="11">
        <f>M650+P650</f>
        <v>1</v>
      </c>
      <c r="T650" s="8">
        <f>I650-Q650</f>
        <v>0</v>
      </c>
      <c r="U650" s="18">
        <v>1.5422756840350698E-2</v>
      </c>
      <c r="V650" s="11">
        <v>0.14000000000000001</v>
      </c>
      <c r="W650" s="11">
        <v>1</v>
      </c>
      <c r="X650" s="11">
        <v>6</v>
      </c>
      <c r="Y650" s="11">
        <v>1</v>
      </c>
      <c r="Z650" t="s">
        <v>13</v>
      </c>
    </row>
    <row r="651" spans="1:26" x14ac:dyDescent="0.25">
      <c r="A651" s="20" t="s">
        <v>1076</v>
      </c>
      <c r="B651" s="20" t="s">
        <v>225</v>
      </c>
      <c r="C651" s="20" t="s">
        <v>1077</v>
      </c>
      <c r="D651" s="20" t="s">
        <v>216</v>
      </c>
      <c r="E651" s="13">
        <v>1317.45</v>
      </c>
      <c r="F651" s="11">
        <v>0</v>
      </c>
      <c r="G651" s="13">
        <v>0</v>
      </c>
      <c r="H651" s="11">
        <v>0</v>
      </c>
      <c r="I651" s="13">
        <f>E651+G651</f>
        <v>1317.45</v>
      </c>
      <c r="J651" s="11">
        <f>F651+H651</f>
        <v>0</v>
      </c>
      <c r="K651" s="13">
        <v>2590.3000000000002</v>
      </c>
      <c r="L651" s="11">
        <v>0</v>
      </c>
      <c r="M651" s="11">
        <v>0</v>
      </c>
      <c r="N651" s="13">
        <v>0</v>
      </c>
      <c r="O651" s="11">
        <v>0</v>
      </c>
      <c r="P651" s="11">
        <v>1</v>
      </c>
      <c r="Q651" s="13">
        <f>K651+N651</f>
        <v>2590.3000000000002</v>
      </c>
      <c r="R651" s="11">
        <f>L651+O651</f>
        <v>0</v>
      </c>
      <c r="S651" s="11">
        <f>M651+P651</f>
        <v>1</v>
      </c>
      <c r="T651" s="8">
        <f>I651-Q651</f>
        <v>-1272.8500000000001</v>
      </c>
      <c r="U651" s="18">
        <v>6.8546514446311019E-2</v>
      </c>
      <c r="V651" s="11">
        <v>0.25</v>
      </c>
      <c r="W651" s="11">
        <v>1</v>
      </c>
      <c r="X651" s="11">
        <v>3</v>
      </c>
      <c r="Y651" s="11">
        <v>0</v>
      </c>
      <c r="Z651" t="s">
        <v>13</v>
      </c>
    </row>
    <row r="652" spans="1:26" x14ac:dyDescent="0.25">
      <c r="A652" s="20" t="s">
        <v>1079</v>
      </c>
      <c r="B652" s="20" t="s">
        <v>60</v>
      </c>
      <c r="C652" s="20" t="s">
        <v>1080</v>
      </c>
      <c r="D652" s="20" t="s">
        <v>216</v>
      </c>
      <c r="E652" s="13">
        <v>1958.88</v>
      </c>
      <c r="F652" s="11">
        <v>0</v>
      </c>
      <c r="G652" s="13">
        <v>12207</v>
      </c>
      <c r="H652" s="11">
        <v>0</v>
      </c>
      <c r="I652" s="13">
        <f>E652+G652</f>
        <v>14165.880000000001</v>
      </c>
      <c r="J652" s="11">
        <f>F652+H652</f>
        <v>0</v>
      </c>
      <c r="K652" s="13">
        <v>8359</v>
      </c>
      <c r="L652" s="11">
        <v>2</v>
      </c>
      <c r="M652" s="11">
        <v>3</v>
      </c>
      <c r="N652" s="13">
        <v>14809.23</v>
      </c>
      <c r="O652" s="11">
        <v>0</v>
      </c>
      <c r="P652" s="11">
        <v>0</v>
      </c>
      <c r="Q652" s="13">
        <f>K652+N652</f>
        <v>23168.23</v>
      </c>
      <c r="R652" s="11">
        <f>L652+O652</f>
        <v>2</v>
      </c>
      <c r="S652" s="11">
        <f>M652+P652</f>
        <v>3</v>
      </c>
      <c r="T652" s="8">
        <f>I652-Q652</f>
        <v>-9002.3499999999985</v>
      </c>
      <c r="U652" s="18">
        <v>0.10773462748714084</v>
      </c>
      <c r="V652" s="11">
        <v>0.08</v>
      </c>
      <c r="W652" s="11">
        <v>1</v>
      </c>
      <c r="X652" s="11">
        <v>11</v>
      </c>
      <c r="Y652" s="11">
        <v>1</v>
      </c>
      <c r="Z652" t="s">
        <v>13</v>
      </c>
    </row>
    <row r="653" spans="1:26" x14ac:dyDescent="0.25">
      <c r="A653" s="20" t="s">
        <v>1082</v>
      </c>
      <c r="B653" s="20" t="s">
        <v>60</v>
      </c>
      <c r="C653" s="20" t="s">
        <v>1083</v>
      </c>
      <c r="D653" s="20" t="s">
        <v>216</v>
      </c>
      <c r="E653" s="13">
        <v>0</v>
      </c>
      <c r="F653" s="11">
        <v>0</v>
      </c>
      <c r="G653" s="13">
        <v>0</v>
      </c>
      <c r="H653" s="11">
        <v>0</v>
      </c>
      <c r="I653" s="13">
        <f>E653+G653</f>
        <v>0</v>
      </c>
      <c r="J653" s="11">
        <f>F653+H653</f>
        <v>0</v>
      </c>
      <c r="K653" s="13">
        <v>2756</v>
      </c>
      <c r="L653" s="11">
        <v>0</v>
      </c>
      <c r="M653" s="11">
        <v>0</v>
      </c>
      <c r="N653" s="13">
        <v>0</v>
      </c>
      <c r="O653" s="11">
        <v>0</v>
      </c>
      <c r="P653" s="11">
        <v>0</v>
      </c>
      <c r="Q653" s="13">
        <f>K653+N653</f>
        <v>2756</v>
      </c>
      <c r="R653" s="11">
        <f>L653+O653</f>
        <v>0</v>
      </c>
      <c r="S653" s="11">
        <f>M653+P653</f>
        <v>0</v>
      </c>
      <c r="T653" s="8">
        <f>I653-Q653</f>
        <v>-2756</v>
      </c>
      <c r="U653" s="18">
        <v>-4.7376117510981593E-2</v>
      </c>
      <c r="V653" s="11">
        <v>0</v>
      </c>
      <c r="W653" s="11">
        <v>0</v>
      </c>
      <c r="X653" s="11">
        <v>0</v>
      </c>
      <c r="Y653" s="11">
        <v>0</v>
      </c>
      <c r="Z653" t="s">
        <v>13</v>
      </c>
    </row>
    <row r="654" spans="1:26" x14ac:dyDescent="0.25">
      <c r="A654" s="20" t="s">
        <v>1084</v>
      </c>
      <c r="B654" s="20" t="s">
        <v>60</v>
      </c>
      <c r="C654" s="20" t="s">
        <v>1085</v>
      </c>
      <c r="D654" s="20" t="s">
        <v>216</v>
      </c>
      <c r="E654" s="13">
        <v>2440.6</v>
      </c>
      <c r="F654" s="11">
        <v>0</v>
      </c>
      <c r="G654" s="13">
        <v>2672.7</v>
      </c>
      <c r="H654" s="11">
        <v>1</v>
      </c>
      <c r="I654" s="13">
        <f>E654+G654</f>
        <v>5113.2999999999993</v>
      </c>
      <c r="J654" s="11">
        <f>F654+H654</f>
        <v>1</v>
      </c>
      <c r="K654" s="13">
        <v>14826.25</v>
      </c>
      <c r="L654" s="11">
        <v>0</v>
      </c>
      <c r="M654" s="11">
        <v>1</v>
      </c>
      <c r="N654" s="13">
        <v>6278</v>
      </c>
      <c r="O654" s="11">
        <v>0</v>
      </c>
      <c r="P654" s="11">
        <v>1</v>
      </c>
      <c r="Q654" s="13">
        <f>K654+N654</f>
        <v>21104.25</v>
      </c>
      <c r="R654" s="11">
        <f>L654+O654</f>
        <v>0</v>
      </c>
      <c r="S654" s="11">
        <f>M654+P654</f>
        <v>2</v>
      </c>
      <c r="T654" s="8">
        <f>I654-Q654</f>
        <v>-15990.95</v>
      </c>
      <c r="U654" s="18">
        <v>8.5160142806738837E-2</v>
      </c>
      <c r="V654" s="11">
        <v>0.25</v>
      </c>
      <c r="W654" s="11">
        <v>3</v>
      </c>
      <c r="X654" s="11">
        <v>9</v>
      </c>
      <c r="Y654" s="11">
        <v>0</v>
      </c>
      <c r="Z654" t="s">
        <v>13</v>
      </c>
    </row>
    <row r="655" spans="1:26" x14ac:dyDescent="0.25">
      <c r="A655" s="20" t="s">
        <v>1091</v>
      </c>
      <c r="B655" s="20" t="s">
        <v>91</v>
      </c>
      <c r="C655" s="20" t="s">
        <v>1092</v>
      </c>
      <c r="D655" s="20" t="s">
        <v>216</v>
      </c>
      <c r="E655" s="13">
        <v>0</v>
      </c>
      <c r="F655" s="11">
        <v>0</v>
      </c>
      <c r="G655" s="13">
        <v>0</v>
      </c>
      <c r="H655" s="11">
        <v>0</v>
      </c>
      <c r="I655" s="13">
        <f>E655+G655</f>
        <v>0</v>
      </c>
      <c r="J655" s="11">
        <f>F655+H655</f>
        <v>0</v>
      </c>
      <c r="K655" s="13">
        <v>0</v>
      </c>
      <c r="L655" s="11">
        <v>0</v>
      </c>
      <c r="M655" s="11">
        <v>0</v>
      </c>
      <c r="N655" s="13">
        <v>0</v>
      </c>
      <c r="O655" s="11">
        <v>0</v>
      </c>
      <c r="P655" s="11">
        <v>0</v>
      </c>
      <c r="Q655" s="13">
        <f>K655+N655</f>
        <v>0</v>
      </c>
      <c r="R655" s="11">
        <f>L655+O655</f>
        <v>0</v>
      </c>
      <c r="S655" s="11">
        <f>M655+P655</f>
        <v>0</v>
      </c>
      <c r="T655" s="8">
        <f>I655-Q655</f>
        <v>0</v>
      </c>
      <c r="U655" s="18">
        <v>-3.434000063256068E-2</v>
      </c>
      <c r="V655" s="11">
        <v>0</v>
      </c>
      <c r="W655" s="11">
        <v>0</v>
      </c>
      <c r="X655" s="11">
        <v>0</v>
      </c>
      <c r="Y655" s="11">
        <v>0</v>
      </c>
      <c r="Z655" t="s">
        <v>13</v>
      </c>
    </row>
    <row r="656" spans="1:26" x14ac:dyDescent="0.25">
      <c r="A656" s="20" t="s">
        <v>1098</v>
      </c>
      <c r="B656" s="20" t="s">
        <v>60</v>
      </c>
      <c r="C656" s="20" t="s">
        <v>1099</v>
      </c>
      <c r="D656" s="20" t="s">
        <v>216</v>
      </c>
      <c r="E656" s="13">
        <v>-1610.82</v>
      </c>
      <c r="F656" s="11">
        <v>0</v>
      </c>
      <c r="G656" s="13">
        <v>3728.35</v>
      </c>
      <c r="H656" s="11">
        <v>1</v>
      </c>
      <c r="I656" s="13">
        <f>E656+G656</f>
        <v>2117.5299999999997</v>
      </c>
      <c r="J656" s="11">
        <f>F656+H656</f>
        <v>1</v>
      </c>
      <c r="K656" s="13">
        <v>-689.27</v>
      </c>
      <c r="L656" s="11">
        <v>0</v>
      </c>
      <c r="M656" s="11">
        <v>0</v>
      </c>
      <c r="N656" s="13">
        <v>0</v>
      </c>
      <c r="O656" s="11">
        <v>0</v>
      </c>
      <c r="P656" s="11">
        <v>0</v>
      </c>
      <c r="Q656" s="13">
        <f>K656+N656</f>
        <v>-689.27</v>
      </c>
      <c r="R656" s="11">
        <f>L656+O656</f>
        <v>0</v>
      </c>
      <c r="S656" s="11">
        <f>M656+P656</f>
        <v>0</v>
      </c>
      <c r="T656" s="8">
        <f>I656-Q656</f>
        <v>2806.7999999999997</v>
      </c>
      <c r="U656" s="18">
        <v>-5.6081206205412541E-3</v>
      </c>
      <c r="V656" s="11">
        <v>0.33</v>
      </c>
      <c r="W656" s="11">
        <v>1</v>
      </c>
      <c r="X656" s="11">
        <v>2</v>
      </c>
      <c r="Y656" s="11">
        <v>0</v>
      </c>
      <c r="Z656" t="s">
        <v>13</v>
      </c>
    </row>
    <row r="657" spans="1:26" x14ac:dyDescent="0.25">
      <c r="A657" s="20" t="s">
        <v>1104</v>
      </c>
      <c r="B657" s="20" t="s">
        <v>91</v>
      </c>
      <c r="C657" s="20" t="s">
        <v>1105</v>
      </c>
      <c r="D657" s="20" t="s">
        <v>216</v>
      </c>
      <c r="E657" s="13">
        <v>0</v>
      </c>
      <c r="F657" s="11">
        <v>0</v>
      </c>
      <c r="G657" s="13">
        <v>3258</v>
      </c>
      <c r="H657" s="11">
        <v>0</v>
      </c>
      <c r="I657" s="13">
        <f>E657+G657</f>
        <v>3258</v>
      </c>
      <c r="J657" s="11">
        <f>F657+H657</f>
        <v>0</v>
      </c>
      <c r="K657" s="13">
        <v>0</v>
      </c>
      <c r="L657" s="11">
        <v>0</v>
      </c>
      <c r="M657" s="11">
        <v>0</v>
      </c>
      <c r="N657" s="13">
        <v>3187</v>
      </c>
      <c r="O657" s="11">
        <v>0</v>
      </c>
      <c r="P657" s="11">
        <v>0</v>
      </c>
      <c r="Q657" s="13">
        <f>K657+N657</f>
        <v>3187</v>
      </c>
      <c r="R657" s="11">
        <f>L657+O657</f>
        <v>0</v>
      </c>
      <c r="S657" s="11">
        <f>M657+P657</f>
        <v>0</v>
      </c>
      <c r="T657" s="8">
        <f>I657-Q657</f>
        <v>71</v>
      </c>
      <c r="U657" s="18">
        <v>-5.7573493484119394E-2</v>
      </c>
      <c r="V657" s="11">
        <v>0</v>
      </c>
      <c r="W657" s="11">
        <v>0</v>
      </c>
      <c r="X657" s="11">
        <v>0</v>
      </c>
      <c r="Y657" s="11">
        <v>0</v>
      </c>
      <c r="Z657" t="s">
        <v>13</v>
      </c>
    </row>
    <row r="658" spans="1:26" x14ac:dyDescent="0.25">
      <c r="A658" s="20" t="s">
        <v>1107</v>
      </c>
      <c r="B658" s="20" t="s">
        <v>241</v>
      </c>
      <c r="C658" s="20" t="s">
        <v>1108</v>
      </c>
      <c r="D658" s="20" t="s">
        <v>216</v>
      </c>
      <c r="E658" s="13">
        <v>6383</v>
      </c>
      <c r="F658" s="11">
        <v>0</v>
      </c>
      <c r="G658" s="13">
        <v>17566</v>
      </c>
      <c r="H658" s="11">
        <v>1</v>
      </c>
      <c r="I658" s="13">
        <f>E658+G658</f>
        <v>23949</v>
      </c>
      <c r="J658" s="11">
        <f>F658+H658</f>
        <v>1</v>
      </c>
      <c r="K658" s="13">
        <v>7895.54</v>
      </c>
      <c r="L658" s="11">
        <v>0</v>
      </c>
      <c r="M658" s="11">
        <v>1</v>
      </c>
      <c r="N658" s="13">
        <v>12155.76</v>
      </c>
      <c r="O658" s="11">
        <v>0</v>
      </c>
      <c r="P658" s="11">
        <v>4</v>
      </c>
      <c r="Q658" s="13">
        <f>K658+N658</f>
        <v>20051.3</v>
      </c>
      <c r="R658" s="11">
        <f>L658+O658</f>
        <v>0</v>
      </c>
      <c r="S658" s="11">
        <f>M658+P658</f>
        <v>5</v>
      </c>
      <c r="T658" s="8">
        <f>I658-Q658</f>
        <v>3897.7000000000007</v>
      </c>
      <c r="U658" s="18">
        <v>7.8967874590564438E-2</v>
      </c>
      <c r="V658" s="11">
        <v>0.21</v>
      </c>
      <c r="W658" s="11">
        <v>7</v>
      </c>
      <c r="X658" s="11">
        <v>26</v>
      </c>
      <c r="Y658" s="11">
        <v>14</v>
      </c>
      <c r="Z658" t="s">
        <v>13</v>
      </c>
    </row>
    <row r="659" spans="1:26" x14ac:dyDescent="0.25">
      <c r="A659" s="20" t="s">
        <v>1109</v>
      </c>
      <c r="B659" s="20" t="s">
        <v>91</v>
      </c>
      <c r="C659" s="20" t="s">
        <v>1110</v>
      </c>
      <c r="D659" s="20" t="s">
        <v>216</v>
      </c>
      <c r="E659" s="13">
        <v>0</v>
      </c>
      <c r="F659" s="11">
        <v>0</v>
      </c>
      <c r="G659" s="13">
        <v>10361</v>
      </c>
      <c r="H659" s="11">
        <v>0</v>
      </c>
      <c r="I659" s="13">
        <f>E659+G659</f>
        <v>10361</v>
      </c>
      <c r="J659" s="11">
        <f>F659+H659</f>
        <v>0</v>
      </c>
      <c r="K659" s="13">
        <v>0</v>
      </c>
      <c r="L659" s="11">
        <v>0</v>
      </c>
      <c r="M659" s="11">
        <v>0</v>
      </c>
      <c r="N659" s="13">
        <v>10184</v>
      </c>
      <c r="O659" s="11">
        <v>0</v>
      </c>
      <c r="P659" s="11">
        <v>0</v>
      </c>
      <c r="Q659" s="13">
        <f>K659+N659</f>
        <v>10184</v>
      </c>
      <c r="R659" s="11">
        <f>L659+O659</f>
        <v>0</v>
      </c>
      <c r="S659" s="11">
        <f>M659+P659</f>
        <v>0</v>
      </c>
      <c r="T659" s="8">
        <f>I659-Q659</f>
        <v>177</v>
      </c>
      <c r="U659" s="18">
        <v>1.891208270432353E-2</v>
      </c>
      <c r="V659" s="11">
        <v>0</v>
      </c>
      <c r="W659" s="11">
        <v>0</v>
      </c>
      <c r="X659" s="11">
        <v>2</v>
      </c>
      <c r="Y659" s="11">
        <v>0</v>
      </c>
      <c r="Z659" t="s">
        <v>13</v>
      </c>
    </row>
    <row r="660" spans="1:26" x14ac:dyDescent="0.25">
      <c r="A660" s="20" t="s">
        <v>241</v>
      </c>
      <c r="B660" s="20" t="s">
        <v>241</v>
      </c>
      <c r="C660" s="20" t="s">
        <v>1111</v>
      </c>
      <c r="D660" s="20" t="s">
        <v>216</v>
      </c>
      <c r="E660" s="13">
        <v>22869</v>
      </c>
      <c r="F660" s="11">
        <v>0</v>
      </c>
      <c r="G660" s="13">
        <v>15776</v>
      </c>
      <c r="H660" s="11">
        <v>0</v>
      </c>
      <c r="I660" s="13">
        <f>E660+G660</f>
        <v>38645</v>
      </c>
      <c r="J660" s="11">
        <f>F660+H660</f>
        <v>0</v>
      </c>
      <c r="K660" s="13">
        <v>23068</v>
      </c>
      <c r="L660" s="11">
        <v>0</v>
      </c>
      <c r="M660" s="11">
        <v>0</v>
      </c>
      <c r="N660" s="13">
        <v>22022.37</v>
      </c>
      <c r="O660" s="11">
        <v>1</v>
      </c>
      <c r="P660" s="11">
        <v>3</v>
      </c>
      <c r="Q660" s="13">
        <f>K660+N660</f>
        <v>45090.369999999995</v>
      </c>
      <c r="R660" s="11">
        <f>L660+O660</f>
        <v>1</v>
      </c>
      <c r="S660" s="11">
        <f>M660+P660</f>
        <v>3</v>
      </c>
      <c r="T660" s="8">
        <f>I660-Q660</f>
        <v>-6445.3699999999953</v>
      </c>
      <c r="U660" s="18">
        <v>0.20942629938830074</v>
      </c>
      <c r="V660" s="11">
        <v>0.08</v>
      </c>
      <c r="W660" s="11">
        <v>2</v>
      </c>
      <c r="X660" s="11">
        <v>22</v>
      </c>
      <c r="Y660" s="11">
        <v>22</v>
      </c>
      <c r="Z660" t="s">
        <v>13</v>
      </c>
    </row>
    <row r="661" spans="1:26" x14ac:dyDescent="0.25">
      <c r="A661" s="20" t="s">
        <v>1113</v>
      </c>
      <c r="B661" s="20" t="s">
        <v>225</v>
      </c>
      <c r="C661" s="20" t="s">
        <v>1114</v>
      </c>
      <c r="D661" s="20" t="s">
        <v>216</v>
      </c>
      <c r="E661" s="13">
        <v>3021</v>
      </c>
      <c r="F661" s="11">
        <v>1</v>
      </c>
      <c r="G661" s="13">
        <v>0</v>
      </c>
      <c r="H661" s="11">
        <v>0</v>
      </c>
      <c r="I661" s="13">
        <f>E661+G661</f>
        <v>3021</v>
      </c>
      <c r="J661" s="11">
        <f>F661+H661</f>
        <v>1</v>
      </c>
      <c r="K661" s="13">
        <v>0</v>
      </c>
      <c r="L661" s="11">
        <v>0</v>
      </c>
      <c r="M661" s="11">
        <v>0</v>
      </c>
      <c r="N661" s="13">
        <v>0</v>
      </c>
      <c r="O661" s="11">
        <v>0</v>
      </c>
      <c r="P661" s="11">
        <v>1</v>
      </c>
      <c r="Q661" s="13">
        <f>K661+N661</f>
        <v>0</v>
      </c>
      <c r="R661" s="11">
        <f>L661+O661</f>
        <v>0</v>
      </c>
      <c r="S661" s="11">
        <f>M661+P661</f>
        <v>1</v>
      </c>
      <c r="T661" s="8">
        <f>I661-Q661</f>
        <v>3021</v>
      </c>
      <c r="U661" s="18">
        <v>2.0273875964458226</v>
      </c>
      <c r="V661" s="11">
        <v>0.25</v>
      </c>
      <c r="W661" s="11">
        <v>2</v>
      </c>
      <c r="X661" s="11">
        <v>6</v>
      </c>
      <c r="Y661" s="11">
        <v>0</v>
      </c>
      <c r="Z661" t="s">
        <v>13</v>
      </c>
    </row>
    <row r="662" spans="1:26" x14ac:dyDescent="0.25">
      <c r="A662" s="20" t="s">
        <v>1115</v>
      </c>
      <c r="B662" s="20" t="s">
        <v>91</v>
      </c>
      <c r="C662" s="20" t="s">
        <v>1116</v>
      </c>
      <c r="D662" s="20" t="s">
        <v>216</v>
      </c>
      <c r="E662" s="13">
        <v>16197</v>
      </c>
      <c r="F662" s="11">
        <v>0</v>
      </c>
      <c r="G662" s="13">
        <v>9201</v>
      </c>
      <c r="H662" s="11">
        <v>0</v>
      </c>
      <c r="I662" s="13">
        <f>E662+G662</f>
        <v>25398</v>
      </c>
      <c r="J662" s="11">
        <f>F662+H662</f>
        <v>0</v>
      </c>
      <c r="K662" s="13">
        <v>15971.96</v>
      </c>
      <c r="L662" s="11">
        <v>0</v>
      </c>
      <c r="M662" s="11">
        <v>1</v>
      </c>
      <c r="N662" s="13">
        <v>6127</v>
      </c>
      <c r="O662" s="11">
        <v>1</v>
      </c>
      <c r="P662" s="11">
        <v>3</v>
      </c>
      <c r="Q662" s="13">
        <f>K662+N662</f>
        <v>22098.959999999999</v>
      </c>
      <c r="R662" s="11">
        <f>L662+O662</f>
        <v>1</v>
      </c>
      <c r="S662" s="11">
        <f>M662+P662</f>
        <v>4</v>
      </c>
      <c r="T662" s="8">
        <f>I662-Q662</f>
        <v>3299.0400000000009</v>
      </c>
      <c r="U662" s="18">
        <v>0.9724114474081782</v>
      </c>
      <c r="V662" s="11">
        <v>0.2</v>
      </c>
      <c r="W662" s="11">
        <v>3</v>
      </c>
      <c r="X662" s="11">
        <v>12</v>
      </c>
      <c r="Y662" s="11">
        <v>0</v>
      </c>
      <c r="Z662" t="s">
        <v>13</v>
      </c>
    </row>
    <row r="663" spans="1:26" x14ac:dyDescent="0.25">
      <c r="A663" s="20" t="s">
        <v>1117</v>
      </c>
      <c r="B663" s="20" t="s">
        <v>124</v>
      </c>
      <c r="C663" s="20" t="s">
        <v>1118</v>
      </c>
      <c r="D663" s="20" t="s">
        <v>216</v>
      </c>
      <c r="E663" s="13">
        <v>-1003.17</v>
      </c>
      <c r="F663" s="11">
        <v>0</v>
      </c>
      <c r="G663" s="13">
        <v>0</v>
      </c>
      <c r="H663" s="11">
        <v>0</v>
      </c>
      <c r="I663" s="13">
        <f>E663+G663</f>
        <v>-1003.17</v>
      </c>
      <c r="J663" s="11">
        <f>F663+H663</f>
        <v>0</v>
      </c>
      <c r="K663" s="13">
        <v>0</v>
      </c>
      <c r="L663" s="11">
        <v>0</v>
      </c>
      <c r="M663" s="11">
        <v>3</v>
      </c>
      <c r="N663" s="13">
        <v>0</v>
      </c>
      <c r="O663" s="11">
        <v>0</v>
      </c>
      <c r="P663" s="11">
        <v>1</v>
      </c>
      <c r="Q663" s="13">
        <f>K663+N663</f>
        <v>0</v>
      </c>
      <c r="R663" s="11">
        <f>L663+O663</f>
        <v>0</v>
      </c>
      <c r="S663" s="11">
        <f>M663+P663</f>
        <v>4</v>
      </c>
      <c r="T663" s="8">
        <f>I663-Q663</f>
        <v>-1003.17</v>
      </c>
      <c r="U663" s="18">
        <v>0.1180917705432916</v>
      </c>
      <c r="V663" s="11">
        <v>0.44</v>
      </c>
      <c r="W663" s="11">
        <v>4</v>
      </c>
      <c r="X663" s="11">
        <v>5</v>
      </c>
      <c r="Y663" s="11">
        <v>0</v>
      </c>
      <c r="Z663" t="s">
        <v>13</v>
      </c>
    </row>
    <row r="664" spans="1:26" x14ac:dyDescent="0.25">
      <c r="A664" s="20" t="s">
        <v>1120</v>
      </c>
      <c r="B664" s="20" t="s">
        <v>1120</v>
      </c>
      <c r="C664" s="20" t="s">
        <v>1121</v>
      </c>
      <c r="D664" s="20" t="s">
        <v>216</v>
      </c>
      <c r="E664" s="13">
        <v>13547</v>
      </c>
      <c r="F664" s="11">
        <v>0</v>
      </c>
      <c r="G664" s="13">
        <v>1603.5</v>
      </c>
      <c r="H664" s="11">
        <v>0</v>
      </c>
      <c r="I664" s="13">
        <f>E664+G664</f>
        <v>15150.5</v>
      </c>
      <c r="J664" s="11">
        <f>F664+H664</f>
        <v>0</v>
      </c>
      <c r="K664" s="13">
        <v>13989.72</v>
      </c>
      <c r="L664" s="11">
        <v>0</v>
      </c>
      <c r="M664" s="11">
        <v>1</v>
      </c>
      <c r="N664" s="13">
        <v>0</v>
      </c>
      <c r="O664" s="11">
        <v>0</v>
      </c>
      <c r="P664" s="11">
        <v>1</v>
      </c>
      <c r="Q664" s="13">
        <f>K664+N664</f>
        <v>13989.72</v>
      </c>
      <c r="R664" s="11">
        <f>L664+O664</f>
        <v>0</v>
      </c>
      <c r="S664" s="11">
        <f>M664+P664</f>
        <v>2</v>
      </c>
      <c r="T664" s="8">
        <f>I664-Q664</f>
        <v>1160.7800000000007</v>
      </c>
      <c r="U664" s="18">
        <v>6.6031860208368348E-2</v>
      </c>
      <c r="V664" s="11">
        <v>0.4</v>
      </c>
      <c r="W664" s="11">
        <v>2</v>
      </c>
      <c r="X664" s="11">
        <v>3</v>
      </c>
      <c r="Y664" s="11">
        <v>3</v>
      </c>
      <c r="Z664" t="s">
        <v>13</v>
      </c>
    </row>
    <row r="665" spans="1:26" x14ac:dyDescent="0.25">
      <c r="A665" s="20" t="s">
        <v>1122</v>
      </c>
      <c r="B665" s="20" t="s">
        <v>91</v>
      </c>
      <c r="C665" s="20" t="s">
        <v>1123</v>
      </c>
      <c r="D665" s="20" t="s">
        <v>216</v>
      </c>
      <c r="E665" s="13">
        <v>0</v>
      </c>
      <c r="F665" s="11">
        <v>0</v>
      </c>
      <c r="G665" s="13">
        <v>0</v>
      </c>
      <c r="H665" s="11">
        <v>0</v>
      </c>
      <c r="I665" s="13">
        <f>E665+G665</f>
        <v>0</v>
      </c>
      <c r="J665" s="11">
        <f>F665+H665</f>
        <v>0</v>
      </c>
      <c r="K665" s="13">
        <v>0</v>
      </c>
      <c r="L665" s="11">
        <v>0</v>
      </c>
      <c r="M665" s="11">
        <v>0</v>
      </c>
      <c r="N665" s="13">
        <v>0</v>
      </c>
      <c r="O665" s="11">
        <v>0</v>
      </c>
      <c r="P665" s="11">
        <v>0</v>
      </c>
      <c r="Q665" s="13">
        <f>K665+N665</f>
        <v>0</v>
      </c>
      <c r="R665" s="11">
        <f>L665+O665</f>
        <v>0</v>
      </c>
      <c r="S665" s="11">
        <f>M665+P665</f>
        <v>0</v>
      </c>
      <c r="T665" s="8">
        <f>I665-Q665</f>
        <v>0</v>
      </c>
      <c r="U665" s="18" t="s">
        <v>1803</v>
      </c>
      <c r="V665" s="11">
        <v>0</v>
      </c>
      <c r="W665" s="11">
        <v>0</v>
      </c>
      <c r="X665" s="11">
        <v>0</v>
      </c>
      <c r="Y665" s="11">
        <v>0</v>
      </c>
      <c r="Z665" t="s">
        <v>13</v>
      </c>
    </row>
    <row r="666" spans="1:26" x14ac:dyDescent="0.25">
      <c r="A666" s="20" t="s">
        <v>1690</v>
      </c>
      <c r="B666" s="20" t="s">
        <v>60</v>
      </c>
      <c r="C666" s="20" t="s">
        <v>3386</v>
      </c>
      <c r="D666" s="20" t="s">
        <v>216</v>
      </c>
      <c r="E666" s="13">
        <v>0</v>
      </c>
      <c r="F666" s="11">
        <v>0</v>
      </c>
      <c r="G666" s="13">
        <v>0</v>
      </c>
      <c r="H666" s="11">
        <v>0</v>
      </c>
      <c r="I666" s="13">
        <f>E666+G666</f>
        <v>0</v>
      </c>
      <c r="J666" s="11">
        <f>F666+H666</f>
        <v>0</v>
      </c>
      <c r="K666" s="13">
        <v>0</v>
      </c>
      <c r="L666" s="11">
        <v>0</v>
      </c>
      <c r="M666" s="11">
        <v>0</v>
      </c>
      <c r="N666" s="13">
        <v>0</v>
      </c>
      <c r="O666" s="11">
        <v>0</v>
      </c>
      <c r="P666" s="11">
        <v>0</v>
      </c>
      <c r="Q666" s="13">
        <f>K666+N666</f>
        <v>0</v>
      </c>
      <c r="R666" s="11">
        <f>L666+O666</f>
        <v>0</v>
      </c>
      <c r="S666" s="11">
        <f>M666+P666</f>
        <v>0</v>
      </c>
      <c r="T666" s="8">
        <f>I666-Q666</f>
        <v>0</v>
      </c>
      <c r="U666" s="18">
        <v>-0.19609011627906978</v>
      </c>
      <c r="V666" s="11">
        <v>0</v>
      </c>
      <c r="W666" s="11">
        <v>0</v>
      </c>
      <c r="X666" s="11">
        <v>1</v>
      </c>
      <c r="Y666" s="11">
        <v>0</v>
      </c>
      <c r="Z666" t="s">
        <v>13</v>
      </c>
    </row>
    <row r="667" spans="1:26" x14ac:dyDescent="0.25">
      <c r="A667" s="20" t="s">
        <v>1127</v>
      </c>
      <c r="B667" s="20" t="s">
        <v>91</v>
      </c>
      <c r="C667" s="20" t="s">
        <v>1128</v>
      </c>
      <c r="D667" s="20" t="s">
        <v>216</v>
      </c>
      <c r="E667" s="13">
        <v>4496</v>
      </c>
      <c r="F667" s="11">
        <v>1</v>
      </c>
      <c r="G667" s="13">
        <v>1611</v>
      </c>
      <c r="H667" s="11">
        <v>0</v>
      </c>
      <c r="I667" s="13">
        <f>E667+G667</f>
        <v>6107</v>
      </c>
      <c r="J667" s="11">
        <f>F667+H667</f>
        <v>1</v>
      </c>
      <c r="K667" s="13">
        <v>6278.59</v>
      </c>
      <c r="L667" s="11">
        <v>1</v>
      </c>
      <c r="M667" s="11">
        <v>1</v>
      </c>
      <c r="N667" s="13">
        <v>1089</v>
      </c>
      <c r="O667" s="11">
        <v>0</v>
      </c>
      <c r="P667" s="11">
        <v>3</v>
      </c>
      <c r="Q667" s="13">
        <f>K667+N667</f>
        <v>7367.59</v>
      </c>
      <c r="R667" s="11">
        <f>L667+O667</f>
        <v>1</v>
      </c>
      <c r="S667" s="11">
        <f>M667+P667</f>
        <v>4</v>
      </c>
      <c r="T667" s="8">
        <f>I667-Q667</f>
        <v>-1260.5900000000001</v>
      </c>
      <c r="U667" s="18">
        <v>0.31612626410772449</v>
      </c>
      <c r="V667" s="11">
        <v>0.23</v>
      </c>
      <c r="W667" s="11">
        <v>5</v>
      </c>
      <c r="X667" s="11">
        <v>17</v>
      </c>
      <c r="Y667" s="11">
        <v>2</v>
      </c>
      <c r="Z667" t="s">
        <v>13</v>
      </c>
    </row>
    <row r="668" spans="1:26" x14ac:dyDescent="0.25">
      <c r="A668" s="20" t="s">
        <v>1131</v>
      </c>
      <c r="B668" s="20" t="s">
        <v>60</v>
      </c>
      <c r="C668" s="20" t="s">
        <v>1132</v>
      </c>
      <c r="D668" s="20" t="s">
        <v>216</v>
      </c>
      <c r="E668" s="13">
        <v>0</v>
      </c>
      <c r="F668" s="11">
        <v>0</v>
      </c>
      <c r="G668" s="13">
        <v>0</v>
      </c>
      <c r="H668" s="11">
        <v>0</v>
      </c>
      <c r="I668" s="13">
        <f>E668+G668</f>
        <v>0</v>
      </c>
      <c r="J668" s="11">
        <f>F668+H668</f>
        <v>0</v>
      </c>
      <c r="K668" s="13">
        <v>0</v>
      </c>
      <c r="L668" s="11">
        <v>0</v>
      </c>
      <c r="M668" s="11">
        <v>0</v>
      </c>
      <c r="N668" s="13">
        <v>0</v>
      </c>
      <c r="O668" s="11">
        <v>0</v>
      </c>
      <c r="P668" s="11">
        <v>0</v>
      </c>
      <c r="Q668" s="13">
        <f>K668+N668</f>
        <v>0</v>
      </c>
      <c r="R668" s="11">
        <f>L668+O668</f>
        <v>0</v>
      </c>
      <c r="S668" s="11">
        <f>M668+P668</f>
        <v>0</v>
      </c>
      <c r="T668" s="8">
        <f>I668-Q668</f>
        <v>0</v>
      </c>
      <c r="U668" s="18">
        <v>-0.44936428538243534</v>
      </c>
      <c r="V668" s="11">
        <v>0</v>
      </c>
      <c r="W668" s="11">
        <v>0</v>
      </c>
      <c r="X668" s="11">
        <v>0</v>
      </c>
      <c r="Y668" s="11">
        <v>0</v>
      </c>
      <c r="Z668" t="s">
        <v>13</v>
      </c>
    </row>
    <row r="669" spans="1:26" x14ac:dyDescent="0.25">
      <c r="A669" s="20" t="s">
        <v>1133</v>
      </c>
      <c r="B669" s="20" t="s">
        <v>91</v>
      </c>
      <c r="C669" s="20" t="s">
        <v>1134</v>
      </c>
      <c r="D669" s="20" t="s">
        <v>216</v>
      </c>
      <c r="E669" s="13">
        <v>0</v>
      </c>
      <c r="F669" s="11">
        <v>0</v>
      </c>
      <c r="G669" s="13">
        <v>0</v>
      </c>
      <c r="H669" s="11">
        <v>0</v>
      </c>
      <c r="I669" s="13">
        <f>E669+G669</f>
        <v>0</v>
      </c>
      <c r="J669" s="11">
        <f>F669+H669</f>
        <v>0</v>
      </c>
      <c r="K669" s="13">
        <v>0</v>
      </c>
      <c r="L669" s="11">
        <v>0</v>
      </c>
      <c r="M669" s="11">
        <v>0</v>
      </c>
      <c r="N669" s="13">
        <v>0</v>
      </c>
      <c r="O669" s="11">
        <v>0</v>
      </c>
      <c r="P669" s="11">
        <v>0</v>
      </c>
      <c r="Q669" s="13">
        <f>K669+N669</f>
        <v>0</v>
      </c>
      <c r="R669" s="11">
        <f>L669+O669</f>
        <v>0</v>
      </c>
      <c r="S669" s="11">
        <f>M669+P669</f>
        <v>0</v>
      </c>
      <c r="T669" s="8">
        <f>I669-Q669</f>
        <v>0</v>
      </c>
      <c r="U669" s="18" t="s">
        <v>1803</v>
      </c>
      <c r="V669" s="11">
        <v>0</v>
      </c>
      <c r="W669" s="11">
        <v>0</v>
      </c>
      <c r="X669" s="11">
        <v>0</v>
      </c>
      <c r="Y669" s="11">
        <v>0</v>
      </c>
      <c r="Z669" t="s">
        <v>13</v>
      </c>
    </row>
    <row r="670" spans="1:26" x14ac:dyDescent="0.25">
      <c r="A670" s="20" t="s">
        <v>1135</v>
      </c>
      <c r="B670" s="20" t="s">
        <v>225</v>
      </c>
      <c r="C670" s="20" t="s">
        <v>1136</v>
      </c>
      <c r="D670" s="20" t="s">
        <v>216</v>
      </c>
      <c r="E670" s="13">
        <v>0</v>
      </c>
      <c r="F670" s="11">
        <v>0</v>
      </c>
      <c r="G670" s="13">
        <v>0</v>
      </c>
      <c r="H670" s="11">
        <v>0</v>
      </c>
      <c r="I670" s="13">
        <f>E670+G670</f>
        <v>0</v>
      </c>
      <c r="J670" s="11">
        <f>F670+H670</f>
        <v>0</v>
      </c>
      <c r="K670" s="13">
        <v>0</v>
      </c>
      <c r="L670" s="11">
        <v>0</v>
      </c>
      <c r="M670" s="11">
        <v>0</v>
      </c>
      <c r="N670" s="13">
        <v>0</v>
      </c>
      <c r="O670" s="11">
        <v>0</v>
      </c>
      <c r="P670" s="11">
        <v>0</v>
      </c>
      <c r="Q670" s="13">
        <f>K670+N670</f>
        <v>0</v>
      </c>
      <c r="R670" s="11">
        <f>L670+O670</f>
        <v>0</v>
      </c>
      <c r="S670" s="11">
        <f>M670+P670</f>
        <v>0</v>
      </c>
      <c r="T670" s="8">
        <f>I670-Q670</f>
        <v>0</v>
      </c>
      <c r="U670" s="18">
        <v>-8.3674106261110008</v>
      </c>
      <c r="V670" s="11">
        <v>0</v>
      </c>
      <c r="W670" s="11">
        <v>0</v>
      </c>
      <c r="X670" s="11">
        <v>2</v>
      </c>
      <c r="Y670" s="11">
        <v>2</v>
      </c>
      <c r="Z670" t="s">
        <v>13</v>
      </c>
    </row>
    <row r="671" spans="1:26" x14ac:dyDescent="0.25">
      <c r="A671" s="20" t="s">
        <v>1138</v>
      </c>
      <c r="B671" s="20" t="s">
        <v>1120</v>
      </c>
      <c r="C671" s="20" t="s">
        <v>1139</v>
      </c>
      <c r="D671" s="20" t="s">
        <v>216</v>
      </c>
      <c r="E671" s="13">
        <v>0</v>
      </c>
      <c r="F671" s="11">
        <v>0</v>
      </c>
      <c r="G671" s="13">
        <v>0</v>
      </c>
      <c r="H671" s="11">
        <v>0</v>
      </c>
      <c r="I671" s="13">
        <f>E671+G671</f>
        <v>0</v>
      </c>
      <c r="J671" s="11">
        <f>F671+H671</f>
        <v>0</v>
      </c>
      <c r="K671" s="13">
        <v>0</v>
      </c>
      <c r="L671" s="11">
        <v>0</v>
      </c>
      <c r="M671" s="11">
        <v>0</v>
      </c>
      <c r="N671" s="13">
        <v>0</v>
      </c>
      <c r="O671" s="11">
        <v>0</v>
      </c>
      <c r="P671" s="11">
        <v>0</v>
      </c>
      <c r="Q671" s="13">
        <f>K671+N671</f>
        <v>0</v>
      </c>
      <c r="R671" s="11">
        <f>L671+O671</f>
        <v>0</v>
      </c>
      <c r="S671" s="11">
        <f>M671+P671</f>
        <v>0</v>
      </c>
      <c r="T671" s="8">
        <f>I671-Q671</f>
        <v>0</v>
      </c>
      <c r="U671" s="18">
        <v>-4.1364191019834132E-5</v>
      </c>
      <c r="V671" s="11">
        <v>0</v>
      </c>
      <c r="W671" s="11">
        <v>0</v>
      </c>
      <c r="X671" s="11">
        <v>0</v>
      </c>
      <c r="Y671" s="11">
        <v>0</v>
      </c>
      <c r="Z671" t="s">
        <v>13</v>
      </c>
    </row>
    <row r="672" spans="1:26" x14ac:dyDescent="0.25">
      <c r="A672" s="20" t="s">
        <v>1140</v>
      </c>
      <c r="B672" s="20" t="s">
        <v>91</v>
      </c>
      <c r="C672" s="20" t="s">
        <v>1141</v>
      </c>
      <c r="D672" s="20" t="s">
        <v>216</v>
      </c>
      <c r="E672" s="13">
        <v>0</v>
      </c>
      <c r="F672" s="11">
        <v>0</v>
      </c>
      <c r="G672" s="13">
        <v>0</v>
      </c>
      <c r="H672" s="11">
        <v>0</v>
      </c>
      <c r="I672" s="13">
        <f>E672+G672</f>
        <v>0</v>
      </c>
      <c r="J672" s="11">
        <f>F672+H672</f>
        <v>0</v>
      </c>
      <c r="K672" s="13">
        <v>-945.57</v>
      </c>
      <c r="L672" s="11">
        <v>0</v>
      </c>
      <c r="M672" s="11">
        <v>0</v>
      </c>
      <c r="N672" s="13">
        <v>0</v>
      </c>
      <c r="O672" s="11">
        <v>0</v>
      </c>
      <c r="P672" s="11">
        <v>0</v>
      </c>
      <c r="Q672" s="13">
        <f>K672+N672</f>
        <v>-945.57</v>
      </c>
      <c r="R672" s="11">
        <f>L672+O672</f>
        <v>0</v>
      </c>
      <c r="S672" s="11">
        <f>M672+P672</f>
        <v>0</v>
      </c>
      <c r="T672" s="8">
        <f>I672-Q672</f>
        <v>945.57</v>
      </c>
      <c r="U672" s="18">
        <v>-7.8920721284320428E-3</v>
      </c>
      <c r="V672" s="11">
        <v>0</v>
      </c>
      <c r="W672" s="11">
        <v>0</v>
      </c>
      <c r="X672" s="11">
        <v>0</v>
      </c>
      <c r="Y672" s="11">
        <v>0</v>
      </c>
      <c r="Z672" t="s">
        <v>13</v>
      </c>
    </row>
    <row r="673" spans="1:26" x14ac:dyDescent="0.25">
      <c r="A673" s="20" t="s">
        <v>1142</v>
      </c>
      <c r="B673" s="20" t="s">
        <v>3096</v>
      </c>
      <c r="C673" s="20" t="s">
        <v>1143</v>
      </c>
      <c r="D673" s="20" t="s">
        <v>216</v>
      </c>
      <c r="E673" s="13">
        <v>0</v>
      </c>
      <c r="F673" s="11">
        <v>0</v>
      </c>
      <c r="G673" s="13">
        <v>0</v>
      </c>
      <c r="H673" s="11">
        <v>0</v>
      </c>
      <c r="I673" s="13">
        <f>E673+G673</f>
        <v>0</v>
      </c>
      <c r="J673" s="11">
        <f>F673+H673</f>
        <v>0</v>
      </c>
      <c r="K673" s="13">
        <v>0</v>
      </c>
      <c r="L673" s="11">
        <v>0</v>
      </c>
      <c r="M673" s="11">
        <v>0</v>
      </c>
      <c r="N673" s="13">
        <v>0</v>
      </c>
      <c r="O673" s="11">
        <v>0</v>
      </c>
      <c r="P673" s="11">
        <v>0</v>
      </c>
      <c r="Q673" s="13">
        <f>K673+N673</f>
        <v>0</v>
      </c>
      <c r="R673" s="11">
        <f>L673+O673</f>
        <v>0</v>
      </c>
      <c r="S673" s="11">
        <f>M673+P673</f>
        <v>0</v>
      </c>
      <c r="T673" s="8">
        <f>I673-Q673</f>
        <v>0</v>
      </c>
      <c r="U673" s="18">
        <v>-4.2373274329697133E-2</v>
      </c>
      <c r="V673" s="11">
        <v>0</v>
      </c>
      <c r="W673" s="11">
        <v>0</v>
      </c>
      <c r="X673" s="11">
        <v>0</v>
      </c>
      <c r="Y673" s="11">
        <v>0</v>
      </c>
      <c r="Z673" t="s">
        <v>13</v>
      </c>
    </row>
    <row r="674" spans="1:26" x14ac:dyDescent="0.25">
      <c r="A674" s="20" t="s">
        <v>1144</v>
      </c>
      <c r="B674" s="20" t="s">
        <v>60</v>
      </c>
      <c r="C674" s="20" t="s">
        <v>1145</v>
      </c>
      <c r="D674" s="20" t="s">
        <v>216</v>
      </c>
      <c r="E674" s="13">
        <v>0</v>
      </c>
      <c r="F674" s="11">
        <v>0</v>
      </c>
      <c r="G674" s="13">
        <v>0</v>
      </c>
      <c r="H674" s="11">
        <v>0</v>
      </c>
      <c r="I674" s="13">
        <f>E674+G674</f>
        <v>0</v>
      </c>
      <c r="J674" s="11">
        <f>F674+H674</f>
        <v>0</v>
      </c>
      <c r="K674" s="13">
        <v>0</v>
      </c>
      <c r="L674" s="11">
        <v>0</v>
      </c>
      <c r="M674" s="11">
        <v>0</v>
      </c>
      <c r="N674" s="13">
        <v>0</v>
      </c>
      <c r="O674" s="11">
        <v>0</v>
      </c>
      <c r="P674" s="11">
        <v>0</v>
      </c>
      <c r="Q674" s="13">
        <f>K674+N674</f>
        <v>0</v>
      </c>
      <c r="R674" s="11">
        <f>L674+O674</f>
        <v>0</v>
      </c>
      <c r="S674" s="11">
        <f>M674+P674</f>
        <v>0</v>
      </c>
      <c r="T674" s="8">
        <f>I674-Q674</f>
        <v>0</v>
      </c>
      <c r="U674" s="18">
        <v>-2.8461823546367788E-2</v>
      </c>
      <c r="V674" s="11">
        <v>0</v>
      </c>
      <c r="W674" s="11">
        <v>0</v>
      </c>
      <c r="X674" s="11">
        <v>0</v>
      </c>
      <c r="Y674" s="11">
        <v>0</v>
      </c>
      <c r="Z674" t="s">
        <v>13</v>
      </c>
    </row>
    <row r="675" spans="1:26" x14ac:dyDescent="0.25">
      <c r="A675" s="20" t="s">
        <v>1146</v>
      </c>
      <c r="B675" s="20" t="s">
        <v>225</v>
      </c>
      <c r="C675" s="20" t="s">
        <v>1147</v>
      </c>
      <c r="D675" s="20" t="s">
        <v>216</v>
      </c>
      <c r="E675" s="13">
        <v>0</v>
      </c>
      <c r="F675" s="11">
        <v>0</v>
      </c>
      <c r="G675" s="13">
        <v>0</v>
      </c>
      <c r="H675" s="11">
        <v>0</v>
      </c>
      <c r="I675" s="13">
        <f>E675+G675</f>
        <v>0</v>
      </c>
      <c r="J675" s="11">
        <f>F675+H675</f>
        <v>0</v>
      </c>
      <c r="K675" s="13">
        <v>0</v>
      </c>
      <c r="L675" s="11">
        <v>0</v>
      </c>
      <c r="M675" s="11">
        <v>0</v>
      </c>
      <c r="N675" s="13">
        <v>0</v>
      </c>
      <c r="O675" s="11">
        <v>0</v>
      </c>
      <c r="P675" s="11">
        <v>0</v>
      </c>
      <c r="Q675" s="13">
        <f>K675+N675</f>
        <v>0</v>
      </c>
      <c r="R675" s="11">
        <f>L675+O675</f>
        <v>0</v>
      </c>
      <c r="S675" s="11">
        <f>M675+P675</f>
        <v>0</v>
      </c>
      <c r="T675" s="8">
        <f>I675-Q675</f>
        <v>0</v>
      </c>
      <c r="U675" s="18">
        <v>-1.2723575882653174E-2</v>
      </c>
      <c r="V675" s="11">
        <v>0</v>
      </c>
      <c r="W675" s="11">
        <v>0</v>
      </c>
      <c r="X675" s="11">
        <v>5</v>
      </c>
      <c r="Y675" s="11">
        <v>0</v>
      </c>
      <c r="Z675" t="s">
        <v>13</v>
      </c>
    </row>
    <row r="676" spans="1:26" x14ac:dyDescent="0.25">
      <c r="A676" s="20" t="s">
        <v>1149</v>
      </c>
      <c r="B676" s="20" t="s">
        <v>91</v>
      </c>
      <c r="C676" s="20" t="s">
        <v>1150</v>
      </c>
      <c r="D676" s="20" t="s">
        <v>216</v>
      </c>
      <c r="E676" s="13">
        <v>0</v>
      </c>
      <c r="F676" s="11">
        <v>0</v>
      </c>
      <c r="G676" s="13">
        <v>0</v>
      </c>
      <c r="H676" s="11">
        <v>0</v>
      </c>
      <c r="I676" s="13">
        <f>E676+G676</f>
        <v>0</v>
      </c>
      <c r="J676" s="11">
        <f>F676+H676</f>
        <v>0</v>
      </c>
      <c r="K676" s="13">
        <v>0</v>
      </c>
      <c r="L676" s="11">
        <v>0</v>
      </c>
      <c r="M676" s="11">
        <v>0</v>
      </c>
      <c r="N676" s="13">
        <v>0</v>
      </c>
      <c r="O676" s="11">
        <v>0</v>
      </c>
      <c r="P676" s="11">
        <v>0</v>
      </c>
      <c r="Q676" s="13">
        <f>K676+N676</f>
        <v>0</v>
      </c>
      <c r="R676" s="11">
        <f>L676+O676</f>
        <v>0</v>
      </c>
      <c r="S676" s="11">
        <f>M676+P676</f>
        <v>0</v>
      </c>
      <c r="T676" s="8">
        <f>I676-Q676</f>
        <v>0</v>
      </c>
      <c r="U676" s="18">
        <v>6.2616770124504201E-2</v>
      </c>
      <c r="V676" s="11">
        <v>0</v>
      </c>
      <c r="W676" s="11">
        <v>0</v>
      </c>
      <c r="X676" s="11">
        <v>0</v>
      </c>
      <c r="Y676" s="11">
        <v>0</v>
      </c>
      <c r="Z676" t="s">
        <v>13</v>
      </c>
    </row>
    <row r="677" spans="1:26" x14ac:dyDescent="0.25">
      <c r="A677" s="20" t="s">
        <v>1151</v>
      </c>
      <c r="B677" s="20" t="s">
        <v>91</v>
      </c>
      <c r="C677" s="20" t="s">
        <v>1152</v>
      </c>
      <c r="D677" s="20" t="s">
        <v>216</v>
      </c>
      <c r="E677" s="13">
        <v>0</v>
      </c>
      <c r="F677" s="11">
        <v>0</v>
      </c>
      <c r="G677" s="13">
        <v>0</v>
      </c>
      <c r="H677" s="11">
        <v>0</v>
      </c>
      <c r="I677" s="13">
        <f>E677+G677</f>
        <v>0</v>
      </c>
      <c r="J677" s="11">
        <f>F677+H677</f>
        <v>0</v>
      </c>
      <c r="K677" s="13">
        <v>0</v>
      </c>
      <c r="L677" s="11">
        <v>0</v>
      </c>
      <c r="M677" s="11">
        <v>0</v>
      </c>
      <c r="N677" s="13">
        <v>0</v>
      </c>
      <c r="O677" s="11">
        <v>0</v>
      </c>
      <c r="P677" s="11">
        <v>0</v>
      </c>
      <c r="Q677" s="13">
        <f>K677+N677</f>
        <v>0</v>
      </c>
      <c r="R677" s="11">
        <f>L677+O677</f>
        <v>0</v>
      </c>
      <c r="S677" s="11">
        <f>M677+P677</f>
        <v>0</v>
      </c>
      <c r="T677" s="8">
        <f>I677-Q677</f>
        <v>0</v>
      </c>
      <c r="U677" s="18" t="s">
        <v>1803</v>
      </c>
      <c r="V677" s="11">
        <v>0</v>
      </c>
      <c r="W677" s="11">
        <v>0</v>
      </c>
      <c r="X677" s="11">
        <v>0</v>
      </c>
      <c r="Y677" s="11">
        <v>0</v>
      </c>
      <c r="Z677" t="s">
        <v>13</v>
      </c>
    </row>
    <row r="678" spans="1:26" x14ac:dyDescent="0.25">
      <c r="A678" s="20" t="s">
        <v>1154</v>
      </c>
      <c r="B678" s="20" t="s">
        <v>60</v>
      </c>
      <c r="C678" s="20" t="s">
        <v>1155</v>
      </c>
      <c r="D678" s="20" t="s">
        <v>216</v>
      </c>
      <c r="E678" s="13">
        <v>0</v>
      </c>
      <c r="F678" s="11">
        <v>0</v>
      </c>
      <c r="G678" s="13">
        <v>0</v>
      </c>
      <c r="H678" s="11">
        <v>0</v>
      </c>
      <c r="I678" s="13">
        <f>E678+G678</f>
        <v>0</v>
      </c>
      <c r="J678" s="11">
        <f>F678+H678</f>
        <v>0</v>
      </c>
      <c r="K678" s="13">
        <v>0</v>
      </c>
      <c r="L678" s="11">
        <v>0</v>
      </c>
      <c r="M678" s="11">
        <v>0</v>
      </c>
      <c r="N678" s="13">
        <v>0</v>
      </c>
      <c r="O678" s="11">
        <v>0</v>
      </c>
      <c r="P678" s="11">
        <v>0</v>
      </c>
      <c r="Q678" s="13">
        <f>K678+N678</f>
        <v>0</v>
      </c>
      <c r="R678" s="11">
        <f>L678+O678</f>
        <v>0</v>
      </c>
      <c r="S678" s="11">
        <f>M678+P678</f>
        <v>0</v>
      </c>
      <c r="T678" s="8">
        <f>I678-Q678</f>
        <v>0</v>
      </c>
      <c r="U678" s="18">
        <v>-3.7967123486182856E-2</v>
      </c>
      <c r="V678" s="11">
        <v>0</v>
      </c>
      <c r="W678" s="11">
        <v>0</v>
      </c>
      <c r="X678" s="11">
        <v>1</v>
      </c>
      <c r="Y678" s="11">
        <v>2</v>
      </c>
      <c r="Z678" t="s">
        <v>13</v>
      </c>
    </row>
    <row r="679" spans="1:26" x14ac:dyDescent="0.25">
      <c r="A679" s="20" t="s">
        <v>1156</v>
      </c>
      <c r="B679" s="20" t="s">
        <v>218</v>
      </c>
      <c r="C679" s="20" t="s">
        <v>1073</v>
      </c>
      <c r="D679" s="20" t="s">
        <v>216</v>
      </c>
      <c r="E679" s="13">
        <v>5982</v>
      </c>
      <c r="F679" s="11">
        <v>0</v>
      </c>
      <c r="G679" s="13">
        <v>0</v>
      </c>
      <c r="H679" s="11">
        <v>0</v>
      </c>
      <c r="I679" s="13">
        <f>E679+G679</f>
        <v>5982</v>
      </c>
      <c r="J679" s="11">
        <f>F679+H679</f>
        <v>0</v>
      </c>
      <c r="K679" s="13">
        <v>2487</v>
      </c>
      <c r="L679" s="11">
        <v>0</v>
      </c>
      <c r="M679" s="11">
        <v>0</v>
      </c>
      <c r="N679" s="13">
        <v>0</v>
      </c>
      <c r="O679" s="11">
        <v>0</v>
      </c>
      <c r="P679" s="11">
        <v>0</v>
      </c>
      <c r="Q679" s="13">
        <f>K679+N679</f>
        <v>2487</v>
      </c>
      <c r="R679" s="11">
        <f>L679+O679</f>
        <v>0</v>
      </c>
      <c r="S679" s="11">
        <f>M679+P679</f>
        <v>0</v>
      </c>
      <c r="T679" s="8">
        <f>I679-Q679</f>
        <v>3495</v>
      </c>
      <c r="U679" s="18">
        <v>-8.3315667097675614E-2</v>
      </c>
      <c r="V679" s="11">
        <v>0</v>
      </c>
      <c r="W679" s="11">
        <v>0</v>
      </c>
      <c r="X679" s="11">
        <v>1</v>
      </c>
      <c r="Y679" s="11">
        <v>0</v>
      </c>
      <c r="Z679" t="s">
        <v>13</v>
      </c>
    </row>
    <row r="680" spans="1:26" x14ac:dyDescent="0.25">
      <c r="A680" s="20" t="s">
        <v>1158</v>
      </c>
      <c r="B680" s="20" t="s">
        <v>83</v>
      </c>
      <c r="C680" s="20" t="s">
        <v>1103</v>
      </c>
      <c r="D680" s="20" t="s">
        <v>216</v>
      </c>
      <c r="E680" s="13">
        <v>8833.5400000000009</v>
      </c>
      <c r="F680" s="11">
        <v>1</v>
      </c>
      <c r="G680" s="13">
        <v>0</v>
      </c>
      <c r="H680" s="11">
        <v>0</v>
      </c>
      <c r="I680" s="13">
        <f>E680+G680</f>
        <v>8833.5400000000009</v>
      </c>
      <c r="J680" s="11">
        <f>F680+H680</f>
        <v>1</v>
      </c>
      <c r="K680" s="13">
        <v>9204</v>
      </c>
      <c r="L680" s="11">
        <v>1</v>
      </c>
      <c r="M680" s="11">
        <v>3</v>
      </c>
      <c r="N680" s="13">
        <v>951</v>
      </c>
      <c r="O680" s="11">
        <v>0</v>
      </c>
      <c r="P680" s="11">
        <v>1</v>
      </c>
      <c r="Q680" s="13">
        <f>K680+N680</f>
        <v>10155</v>
      </c>
      <c r="R680" s="11">
        <f>L680+O680</f>
        <v>1</v>
      </c>
      <c r="S680" s="11">
        <f>M680+P680</f>
        <v>4</v>
      </c>
      <c r="T680" s="8">
        <f>I680-Q680</f>
        <v>-1321.4599999999991</v>
      </c>
      <c r="U680" s="18">
        <v>-2.7095326862673186E-2</v>
      </c>
      <c r="V680" s="11">
        <v>0.24</v>
      </c>
      <c r="W680" s="11">
        <v>4</v>
      </c>
      <c r="X680" s="11">
        <v>13</v>
      </c>
      <c r="Y680" s="11">
        <v>7</v>
      </c>
      <c r="Z680" t="s">
        <v>13</v>
      </c>
    </row>
    <row r="681" spans="1:26" x14ac:dyDescent="0.25">
      <c r="A681" s="20" t="s">
        <v>430</v>
      </c>
      <c r="B681" s="20" t="s">
        <v>430</v>
      </c>
      <c r="C681" s="20" t="s">
        <v>431</v>
      </c>
      <c r="D681" s="20" t="s">
        <v>216</v>
      </c>
      <c r="E681" s="13">
        <v>15.07</v>
      </c>
      <c r="F681" s="11">
        <v>0</v>
      </c>
      <c r="G681" s="13">
        <v>15249.68</v>
      </c>
      <c r="H681" s="11">
        <v>1</v>
      </c>
      <c r="I681" s="13">
        <f>E681+G681</f>
        <v>15264.75</v>
      </c>
      <c r="J681" s="11">
        <f>F681+H681</f>
        <v>1</v>
      </c>
      <c r="K681" s="13">
        <v>130.03</v>
      </c>
      <c r="L681" s="11">
        <v>0</v>
      </c>
      <c r="M681" s="11">
        <v>0</v>
      </c>
      <c r="N681" s="13">
        <v>17191.349999999999</v>
      </c>
      <c r="O681" s="11">
        <v>2</v>
      </c>
      <c r="P681" s="11">
        <v>9</v>
      </c>
      <c r="Q681" s="13">
        <f>K681+N681</f>
        <v>17321.379999999997</v>
      </c>
      <c r="R681" s="11">
        <f>L681+O681</f>
        <v>2</v>
      </c>
      <c r="S681" s="11">
        <f>M681+P681</f>
        <v>9</v>
      </c>
      <c r="T681" s="8">
        <f>I681-Q681</f>
        <v>-2056.6299999999974</v>
      </c>
      <c r="U681" s="18">
        <v>0.14583126999787824</v>
      </c>
      <c r="V681" s="11">
        <v>0.28000000000000003</v>
      </c>
      <c r="W681" s="11">
        <v>8</v>
      </c>
      <c r="X681" s="11">
        <v>21</v>
      </c>
      <c r="Y681" s="11">
        <v>1</v>
      </c>
      <c r="Z681" t="s">
        <v>13</v>
      </c>
    </row>
    <row r="682" spans="1:26" x14ac:dyDescent="0.25">
      <c r="A682" s="20" t="s">
        <v>1159</v>
      </c>
      <c r="B682" s="20" t="s">
        <v>60</v>
      </c>
      <c r="C682" s="20" t="s">
        <v>1160</v>
      </c>
      <c r="D682" s="20" t="s">
        <v>216</v>
      </c>
      <c r="E682" s="13">
        <v>0</v>
      </c>
      <c r="F682" s="11">
        <v>0</v>
      </c>
      <c r="G682" s="13">
        <v>0</v>
      </c>
      <c r="H682" s="11">
        <v>0</v>
      </c>
      <c r="I682" s="13">
        <f>E682+G682</f>
        <v>0</v>
      </c>
      <c r="J682" s="11">
        <f>F682+H682</f>
        <v>0</v>
      </c>
      <c r="K682" s="13">
        <v>0</v>
      </c>
      <c r="L682" s="11">
        <v>0</v>
      </c>
      <c r="M682" s="11">
        <v>0</v>
      </c>
      <c r="N682" s="13">
        <v>0</v>
      </c>
      <c r="O682" s="11">
        <v>0</v>
      </c>
      <c r="P682" s="11">
        <v>0</v>
      </c>
      <c r="Q682" s="13">
        <f>K682+N682</f>
        <v>0</v>
      </c>
      <c r="R682" s="11">
        <f>L682+O682</f>
        <v>0</v>
      </c>
      <c r="S682" s="11">
        <f>M682+P682</f>
        <v>0</v>
      </c>
      <c r="T682" s="8">
        <f>I682-Q682</f>
        <v>0</v>
      </c>
      <c r="U682" s="18" t="s">
        <v>1803</v>
      </c>
      <c r="V682" s="11">
        <v>0</v>
      </c>
      <c r="W682" s="11">
        <v>0</v>
      </c>
      <c r="X682" s="11">
        <v>0</v>
      </c>
      <c r="Y682" s="11">
        <v>0</v>
      </c>
      <c r="Z682" t="s">
        <v>13</v>
      </c>
    </row>
    <row r="683" spans="1:26" x14ac:dyDescent="0.25">
      <c r="A683" s="20" t="s">
        <v>1161</v>
      </c>
      <c r="B683" s="20" t="s">
        <v>60</v>
      </c>
      <c r="C683" s="20" t="s">
        <v>1162</v>
      </c>
      <c r="D683" s="20" t="s">
        <v>216</v>
      </c>
      <c r="E683" s="13">
        <v>0</v>
      </c>
      <c r="F683" s="11">
        <v>0</v>
      </c>
      <c r="G683" s="13">
        <v>0</v>
      </c>
      <c r="H683" s="11">
        <v>0</v>
      </c>
      <c r="I683" s="13">
        <f>E683+G683</f>
        <v>0</v>
      </c>
      <c r="J683" s="11">
        <f>F683+H683</f>
        <v>0</v>
      </c>
      <c r="K683" s="13">
        <v>0</v>
      </c>
      <c r="L683" s="11">
        <v>0</v>
      </c>
      <c r="M683" s="11">
        <v>0</v>
      </c>
      <c r="N683" s="13">
        <v>0</v>
      </c>
      <c r="O683" s="11">
        <v>0</v>
      </c>
      <c r="P683" s="11">
        <v>0</v>
      </c>
      <c r="Q683" s="13">
        <f>K683+N683</f>
        <v>0</v>
      </c>
      <c r="R683" s="11">
        <f>L683+O683</f>
        <v>0</v>
      </c>
      <c r="S683" s="11">
        <f>M683+P683</f>
        <v>0</v>
      </c>
      <c r="T683" s="8">
        <f>I683-Q683</f>
        <v>0</v>
      </c>
      <c r="U683" s="18">
        <v>-1.0332103321033209E-2</v>
      </c>
      <c r="V683" s="11">
        <v>0</v>
      </c>
      <c r="W683" s="11">
        <v>0</v>
      </c>
      <c r="X683" s="11">
        <v>1</v>
      </c>
      <c r="Y683" s="11">
        <v>0</v>
      </c>
      <c r="Z683" t="s">
        <v>13</v>
      </c>
    </row>
    <row r="684" spans="1:26" x14ac:dyDescent="0.25">
      <c r="A684" s="20" t="s">
        <v>1163</v>
      </c>
      <c r="B684" s="20" t="s">
        <v>77</v>
      </c>
      <c r="C684" s="20" t="s">
        <v>1097</v>
      </c>
      <c r="D684" s="20" t="s">
        <v>216</v>
      </c>
      <c r="E684" s="13">
        <v>0</v>
      </c>
      <c r="F684" s="11">
        <v>0</v>
      </c>
      <c r="G684" s="13">
        <v>0</v>
      </c>
      <c r="H684" s="11">
        <v>0</v>
      </c>
      <c r="I684" s="13">
        <f>E684+G684</f>
        <v>0</v>
      </c>
      <c r="J684" s="11">
        <f>F684+H684</f>
        <v>0</v>
      </c>
      <c r="K684" s="13">
        <v>0</v>
      </c>
      <c r="L684" s="11">
        <v>0</v>
      </c>
      <c r="M684" s="11">
        <v>0</v>
      </c>
      <c r="N684" s="13">
        <v>0</v>
      </c>
      <c r="O684" s="11">
        <v>0</v>
      </c>
      <c r="P684" s="11">
        <v>0</v>
      </c>
      <c r="Q684" s="13">
        <f>K684+N684</f>
        <v>0</v>
      </c>
      <c r="R684" s="11">
        <f>L684+O684</f>
        <v>0</v>
      </c>
      <c r="S684" s="11">
        <f>M684+P684</f>
        <v>0</v>
      </c>
      <c r="T684" s="8">
        <f>I684-Q684</f>
        <v>0</v>
      </c>
      <c r="U684" s="18">
        <v>-0.12013887469250636</v>
      </c>
      <c r="V684" s="11">
        <v>0</v>
      </c>
      <c r="W684" s="11">
        <v>0</v>
      </c>
      <c r="X684" s="11">
        <v>0</v>
      </c>
      <c r="Y684" s="11">
        <v>0</v>
      </c>
      <c r="Z684" t="s">
        <v>13</v>
      </c>
    </row>
    <row r="685" spans="1:26" x14ac:dyDescent="0.25">
      <c r="A685" s="20" t="s">
        <v>1164</v>
      </c>
      <c r="B685" s="20" t="s">
        <v>124</v>
      </c>
      <c r="C685" s="20" t="s">
        <v>1165</v>
      </c>
      <c r="D685" s="20" t="s">
        <v>216</v>
      </c>
      <c r="E685" s="13">
        <v>8689</v>
      </c>
      <c r="F685" s="11">
        <v>0</v>
      </c>
      <c r="G685" s="13">
        <v>1101</v>
      </c>
      <c r="H685" s="11">
        <v>0</v>
      </c>
      <c r="I685" s="13">
        <f>E685+G685</f>
        <v>9790</v>
      </c>
      <c r="J685" s="11">
        <f>F685+H685</f>
        <v>0</v>
      </c>
      <c r="K685" s="13">
        <v>8673</v>
      </c>
      <c r="L685" s="11">
        <v>0</v>
      </c>
      <c r="M685" s="11">
        <v>0</v>
      </c>
      <c r="N685" s="13">
        <v>1101</v>
      </c>
      <c r="O685" s="11">
        <v>1</v>
      </c>
      <c r="P685" s="11">
        <v>2</v>
      </c>
      <c r="Q685" s="13">
        <f>K685+N685</f>
        <v>9774</v>
      </c>
      <c r="R685" s="11">
        <f>L685+O685</f>
        <v>1</v>
      </c>
      <c r="S685" s="11">
        <f>M685+P685</f>
        <v>2</v>
      </c>
      <c r="T685" s="8">
        <f>I685-Q685</f>
        <v>16</v>
      </c>
      <c r="U685" s="18">
        <v>1.8321574861270212E-2</v>
      </c>
      <c r="V685" s="11">
        <v>0.2</v>
      </c>
      <c r="W685" s="11">
        <v>1</v>
      </c>
      <c r="X685" s="11">
        <v>4</v>
      </c>
      <c r="Y685" s="11">
        <v>1</v>
      </c>
      <c r="Z685" t="s">
        <v>13</v>
      </c>
    </row>
    <row r="686" spans="1:26" x14ac:dyDescent="0.25">
      <c r="A686" s="20" t="s">
        <v>1166</v>
      </c>
      <c r="B686" s="20" t="s">
        <v>91</v>
      </c>
      <c r="C686" s="20" t="s">
        <v>1167</v>
      </c>
      <c r="D686" s="20" t="s">
        <v>216</v>
      </c>
      <c r="E686" s="13">
        <v>6212</v>
      </c>
      <c r="F686" s="11">
        <v>0</v>
      </c>
      <c r="G686" s="13">
        <v>2028</v>
      </c>
      <c r="H686" s="11">
        <v>1</v>
      </c>
      <c r="I686" s="13">
        <f>E686+G686</f>
        <v>8240</v>
      </c>
      <c r="J686" s="11">
        <f>F686+H686</f>
        <v>1</v>
      </c>
      <c r="K686" s="13">
        <v>0</v>
      </c>
      <c r="L686" s="11">
        <v>0</v>
      </c>
      <c r="M686" s="11">
        <v>0</v>
      </c>
      <c r="N686" s="13">
        <v>0</v>
      </c>
      <c r="O686" s="11">
        <v>0</v>
      </c>
      <c r="P686" s="11">
        <v>5</v>
      </c>
      <c r="Q686" s="13">
        <f>K686+N686</f>
        <v>0</v>
      </c>
      <c r="R686" s="11">
        <f>L686+O686</f>
        <v>0</v>
      </c>
      <c r="S686" s="11">
        <f>M686+P686</f>
        <v>5</v>
      </c>
      <c r="T686" s="8">
        <f>I686-Q686</f>
        <v>8240</v>
      </c>
      <c r="U686" s="18">
        <v>6.1253945803784661E-2</v>
      </c>
      <c r="V686" s="11">
        <v>0.38</v>
      </c>
      <c r="W686" s="11">
        <v>6</v>
      </c>
      <c r="X686" s="11">
        <v>10</v>
      </c>
      <c r="Y686" s="11">
        <v>0</v>
      </c>
      <c r="Z686" t="s">
        <v>13</v>
      </c>
    </row>
    <row r="687" spans="1:26" x14ac:dyDescent="0.25">
      <c r="A687" s="20" t="s">
        <v>519</v>
      </c>
      <c r="B687" s="20" t="s">
        <v>519</v>
      </c>
      <c r="C687" s="20" t="s">
        <v>221</v>
      </c>
      <c r="D687" s="20" t="s">
        <v>216</v>
      </c>
      <c r="E687" s="13">
        <v>6266</v>
      </c>
      <c r="F687" s="11">
        <v>0</v>
      </c>
      <c r="G687" s="13">
        <v>0</v>
      </c>
      <c r="H687" s="11">
        <v>0</v>
      </c>
      <c r="I687" s="13">
        <f>E687+G687</f>
        <v>6266</v>
      </c>
      <c r="J687" s="11">
        <f>F687+H687</f>
        <v>0</v>
      </c>
      <c r="K687" s="13">
        <v>6305</v>
      </c>
      <c r="L687" s="11">
        <v>0</v>
      </c>
      <c r="M687" s="11">
        <v>1</v>
      </c>
      <c r="N687" s="13">
        <v>0</v>
      </c>
      <c r="O687" s="11">
        <v>0</v>
      </c>
      <c r="P687" s="11">
        <v>0</v>
      </c>
      <c r="Q687" s="13">
        <f>K687+N687</f>
        <v>6305</v>
      </c>
      <c r="R687" s="11">
        <f>L687+O687</f>
        <v>0</v>
      </c>
      <c r="S687" s="11">
        <f>M687+P687</f>
        <v>1</v>
      </c>
      <c r="T687" s="8">
        <f>I687-Q687</f>
        <v>-39</v>
      </c>
      <c r="U687" s="18">
        <v>-9.6408881358283446E-2</v>
      </c>
      <c r="V687" s="11">
        <v>0.2</v>
      </c>
      <c r="W687" s="11">
        <v>1</v>
      </c>
      <c r="X687" s="11">
        <v>4</v>
      </c>
      <c r="Y687" s="11">
        <v>1</v>
      </c>
      <c r="Z687" t="s">
        <v>13</v>
      </c>
    </row>
    <row r="688" spans="1:26" x14ac:dyDescent="0.25">
      <c r="A688" s="20" t="s">
        <v>543</v>
      </c>
      <c r="B688" s="20" t="s">
        <v>60</v>
      </c>
      <c r="C688" s="20" t="s">
        <v>544</v>
      </c>
      <c r="D688" s="20" t="s">
        <v>216</v>
      </c>
      <c r="E688" s="13">
        <v>0</v>
      </c>
      <c r="F688" s="11">
        <v>0</v>
      </c>
      <c r="G688" s="13">
        <v>0</v>
      </c>
      <c r="H688" s="11">
        <v>0</v>
      </c>
      <c r="I688" s="13">
        <f>E688+G688</f>
        <v>0</v>
      </c>
      <c r="J688" s="11">
        <f>F688+H688</f>
        <v>0</v>
      </c>
      <c r="K688" s="13">
        <v>0</v>
      </c>
      <c r="L688" s="11">
        <v>0</v>
      </c>
      <c r="M688" s="11">
        <v>0</v>
      </c>
      <c r="N688" s="13">
        <v>0</v>
      </c>
      <c r="O688" s="11">
        <v>0</v>
      </c>
      <c r="P688" s="11">
        <v>0</v>
      </c>
      <c r="Q688" s="13">
        <f>K688+N688</f>
        <v>0</v>
      </c>
      <c r="R688" s="11">
        <f>L688+O688</f>
        <v>0</v>
      </c>
      <c r="S688" s="11">
        <f>M688+P688</f>
        <v>0</v>
      </c>
      <c r="T688" s="8">
        <f>I688-Q688</f>
        <v>0</v>
      </c>
      <c r="U688" s="18" t="s">
        <v>1803</v>
      </c>
      <c r="V688" s="11">
        <v>0</v>
      </c>
      <c r="W688" s="11">
        <v>0</v>
      </c>
      <c r="X688" s="11">
        <v>0</v>
      </c>
      <c r="Y688" s="11">
        <v>0</v>
      </c>
      <c r="Z688" t="s">
        <v>13</v>
      </c>
    </row>
    <row r="689" spans="1:26" x14ac:dyDescent="0.25">
      <c r="A689" s="20" t="s">
        <v>1171</v>
      </c>
      <c r="B689" s="20" t="s">
        <v>91</v>
      </c>
      <c r="C689" s="20" t="s">
        <v>1153</v>
      </c>
      <c r="D689" s="20" t="s">
        <v>216</v>
      </c>
      <c r="E689" s="13">
        <v>0</v>
      </c>
      <c r="F689" s="11">
        <v>0</v>
      </c>
      <c r="G689" s="13">
        <v>0</v>
      </c>
      <c r="H689" s="11">
        <v>0</v>
      </c>
      <c r="I689" s="13">
        <f>E689+G689</f>
        <v>0</v>
      </c>
      <c r="J689" s="11">
        <f>F689+H689</f>
        <v>0</v>
      </c>
      <c r="K689" s="13">
        <v>480</v>
      </c>
      <c r="L689" s="11">
        <v>0</v>
      </c>
      <c r="M689" s="11">
        <v>1</v>
      </c>
      <c r="N689" s="13">
        <v>1251</v>
      </c>
      <c r="O689" s="11">
        <v>0</v>
      </c>
      <c r="P689" s="11">
        <v>2</v>
      </c>
      <c r="Q689" s="13">
        <f>K689+N689</f>
        <v>1731</v>
      </c>
      <c r="R689" s="11">
        <f>L689+O689</f>
        <v>0</v>
      </c>
      <c r="S689" s="11">
        <f>M689+P689</f>
        <v>3</v>
      </c>
      <c r="T689" s="8">
        <f>I689-Q689</f>
        <v>-1731</v>
      </c>
      <c r="U689" s="18">
        <v>1.7316733349672781E-2</v>
      </c>
      <c r="V689" s="11">
        <v>0.43</v>
      </c>
      <c r="W689" s="11">
        <v>3</v>
      </c>
      <c r="X689" s="11">
        <v>4</v>
      </c>
      <c r="Y689" s="11">
        <v>1</v>
      </c>
      <c r="Z689" t="s">
        <v>13</v>
      </c>
    </row>
    <row r="690" spans="1:26" x14ac:dyDescent="0.25">
      <c r="A690" s="20" t="s">
        <v>1172</v>
      </c>
      <c r="B690" s="20" t="s">
        <v>77</v>
      </c>
      <c r="C690" s="20" t="s">
        <v>1173</v>
      </c>
      <c r="D690" s="20" t="s">
        <v>216</v>
      </c>
      <c r="E690" s="13">
        <v>5118.71</v>
      </c>
      <c r="F690" s="11">
        <v>0</v>
      </c>
      <c r="G690" s="13">
        <v>4750</v>
      </c>
      <c r="H690" s="11">
        <v>0</v>
      </c>
      <c r="I690" s="13">
        <f>E690+G690</f>
        <v>9868.7099999999991</v>
      </c>
      <c r="J690" s="11">
        <f>F690+H690</f>
        <v>0</v>
      </c>
      <c r="K690" s="13">
        <v>10961.05</v>
      </c>
      <c r="L690" s="11">
        <v>3</v>
      </c>
      <c r="M690" s="11">
        <v>7</v>
      </c>
      <c r="N690" s="13">
        <v>4550</v>
      </c>
      <c r="O690" s="11">
        <v>0</v>
      </c>
      <c r="P690" s="11">
        <v>0</v>
      </c>
      <c r="Q690" s="13">
        <f>K690+N690</f>
        <v>15511.05</v>
      </c>
      <c r="R690" s="11">
        <f>L690+O690</f>
        <v>3</v>
      </c>
      <c r="S690" s="11">
        <f>M690+P690</f>
        <v>7</v>
      </c>
      <c r="T690" s="8">
        <f>I690-Q690</f>
        <v>-5642.34</v>
      </c>
      <c r="U690" s="18">
        <v>-3.7343320720565509E-2</v>
      </c>
      <c r="V690" s="11">
        <v>0.67</v>
      </c>
      <c r="W690" s="11">
        <v>4</v>
      </c>
      <c r="X690" s="11">
        <v>2</v>
      </c>
      <c r="Y690" s="11">
        <v>2</v>
      </c>
      <c r="Z690" t="s">
        <v>13</v>
      </c>
    </row>
    <row r="691" spans="1:26" x14ac:dyDescent="0.25">
      <c r="A691" s="20" t="s">
        <v>1174</v>
      </c>
      <c r="B691" s="20" t="s">
        <v>60</v>
      </c>
      <c r="C691" s="20" t="s">
        <v>1175</v>
      </c>
      <c r="D691" s="20" t="s">
        <v>216</v>
      </c>
      <c r="E691" s="13">
        <v>0</v>
      </c>
      <c r="F691" s="11">
        <v>0</v>
      </c>
      <c r="G691" s="13">
        <v>0</v>
      </c>
      <c r="H691" s="11">
        <v>0</v>
      </c>
      <c r="I691" s="13">
        <f>E691+G691</f>
        <v>0</v>
      </c>
      <c r="J691" s="11">
        <f>F691+H691</f>
        <v>0</v>
      </c>
      <c r="K691" s="13">
        <v>0</v>
      </c>
      <c r="L691" s="11">
        <v>0</v>
      </c>
      <c r="M691" s="11">
        <v>0</v>
      </c>
      <c r="N691" s="13">
        <v>0</v>
      </c>
      <c r="O691" s="11">
        <v>0</v>
      </c>
      <c r="P691" s="11">
        <v>0</v>
      </c>
      <c r="Q691" s="13">
        <f>K691+N691</f>
        <v>0</v>
      </c>
      <c r="R691" s="11">
        <f>L691+O691</f>
        <v>0</v>
      </c>
      <c r="S691" s="11">
        <f>M691+P691</f>
        <v>0</v>
      </c>
      <c r="T691" s="8">
        <f>I691-Q691</f>
        <v>0</v>
      </c>
      <c r="U691" s="18" t="s">
        <v>1803</v>
      </c>
      <c r="V691" s="11">
        <v>0</v>
      </c>
      <c r="W691" s="11">
        <v>0</v>
      </c>
      <c r="X691" s="11">
        <v>0</v>
      </c>
      <c r="Y691" s="11">
        <v>0</v>
      </c>
      <c r="Z691" t="s">
        <v>13</v>
      </c>
    </row>
    <row r="692" spans="1:26" x14ac:dyDescent="0.25">
      <c r="A692" s="20" t="s">
        <v>1176</v>
      </c>
      <c r="B692" s="20" t="s">
        <v>430</v>
      </c>
      <c r="C692" s="20" t="s">
        <v>431</v>
      </c>
      <c r="D692" s="20" t="s">
        <v>216</v>
      </c>
      <c r="E692" s="13">
        <v>0</v>
      </c>
      <c r="F692" s="11">
        <v>0</v>
      </c>
      <c r="G692" s="13">
        <v>0</v>
      </c>
      <c r="H692" s="11">
        <v>0</v>
      </c>
      <c r="I692" s="13">
        <f>E692+G692</f>
        <v>0</v>
      </c>
      <c r="J692" s="11">
        <f>F692+H692</f>
        <v>0</v>
      </c>
      <c r="K692" s="13">
        <v>0</v>
      </c>
      <c r="L692" s="11">
        <v>0</v>
      </c>
      <c r="M692" s="11">
        <v>0</v>
      </c>
      <c r="N692" s="13">
        <v>0</v>
      </c>
      <c r="O692" s="11">
        <v>0</v>
      </c>
      <c r="P692" s="11">
        <v>0</v>
      </c>
      <c r="Q692" s="13">
        <f>K692+N692</f>
        <v>0</v>
      </c>
      <c r="R692" s="11">
        <f>L692+O692</f>
        <v>0</v>
      </c>
      <c r="S692" s="11">
        <f>M692+P692</f>
        <v>0</v>
      </c>
      <c r="T692" s="8">
        <f>I692-Q692</f>
        <v>0</v>
      </c>
      <c r="U692" s="18">
        <v>-0.15036156007150936</v>
      </c>
      <c r="V692" s="11">
        <v>0</v>
      </c>
      <c r="W692" s="11">
        <v>0</v>
      </c>
      <c r="X692" s="11">
        <v>1</v>
      </c>
      <c r="Y692" s="11">
        <v>0</v>
      </c>
      <c r="Z692" t="s">
        <v>13</v>
      </c>
    </row>
    <row r="693" spans="1:26" x14ac:dyDescent="0.25">
      <c r="A693" s="20" t="s">
        <v>1532</v>
      </c>
      <c r="B693" s="20" t="s">
        <v>91</v>
      </c>
      <c r="C693" s="20" t="s">
        <v>1533</v>
      </c>
      <c r="D693" s="20" t="s">
        <v>216</v>
      </c>
      <c r="E693" s="13">
        <v>0</v>
      </c>
      <c r="F693" s="11">
        <v>0</v>
      </c>
      <c r="G693" s="13">
        <v>0</v>
      </c>
      <c r="H693" s="11">
        <v>0</v>
      </c>
      <c r="I693" s="13">
        <f>E693+G693</f>
        <v>0</v>
      </c>
      <c r="J693" s="11">
        <f>F693+H693</f>
        <v>0</v>
      </c>
      <c r="K693" s="13">
        <v>0</v>
      </c>
      <c r="L693" s="11">
        <v>0</v>
      </c>
      <c r="M693" s="11">
        <v>0</v>
      </c>
      <c r="N693" s="13">
        <v>0</v>
      </c>
      <c r="O693" s="11">
        <v>0</v>
      </c>
      <c r="P693" s="11">
        <v>0</v>
      </c>
      <c r="Q693" s="13">
        <f>K693+N693</f>
        <v>0</v>
      </c>
      <c r="R693" s="11">
        <f>L693+O693</f>
        <v>0</v>
      </c>
      <c r="S693" s="11">
        <f>M693+P693</f>
        <v>0</v>
      </c>
      <c r="T693" s="8">
        <f>I693-Q693</f>
        <v>0</v>
      </c>
      <c r="U693" s="18">
        <v>0.67377648536660284</v>
      </c>
      <c r="V693" s="11">
        <v>0</v>
      </c>
      <c r="W693" s="11">
        <v>0</v>
      </c>
      <c r="X693" s="11">
        <v>1</v>
      </c>
      <c r="Y693" s="11">
        <v>1</v>
      </c>
      <c r="Z693" t="s">
        <v>13</v>
      </c>
    </row>
    <row r="694" spans="1:26" x14ac:dyDescent="0.25">
      <c r="A694" s="20" t="s">
        <v>1180</v>
      </c>
      <c r="B694" s="20" t="s">
        <v>124</v>
      </c>
      <c r="C694" s="20" t="s">
        <v>1181</v>
      </c>
      <c r="D694" s="20" t="s">
        <v>216</v>
      </c>
      <c r="E694" s="13">
        <v>0</v>
      </c>
      <c r="F694" s="11">
        <v>0</v>
      </c>
      <c r="G694" s="13">
        <v>0</v>
      </c>
      <c r="H694" s="11">
        <v>0</v>
      </c>
      <c r="I694" s="13">
        <f>E694+G694</f>
        <v>0</v>
      </c>
      <c r="J694" s="11">
        <f>F694+H694</f>
        <v>0</v>
      </c>
      <c r="K694" s="13">
        <v>0</v>
      </c>
      <c r="L694" s="11">
        <v>0</v>
      </c>
      <c r="M694" s="11">
        <v>0</v>
      </c>
      <c r="N694" s="13">
        <v>0</v>
      </c>
      <c r="O694" s="11">
        <v>0</v>
      </c>
      <c r="P694" s="11">
        <v>0</v>
      </c>
      <c r="Q694" s="13">
        <f>K694+N694</f>
        <v>0</v>
      </c>
      <c r="R694" s="11">
        <f>L694+O694</f>
        <v>0</v>
      </c>
      <c r="S694" s="11">
        <f>M694+P694</f>
        <v>0</v>
      </c>
      <c r="T694" s="8">
        <f>I694-Q694</f>
        <v>0</v>
      </c>
      <c r="U694" s="18">
        <v>-0.10099130576094906</v>
      </c>
      <c r="V694" s="11">
        <v>0</v>
      </c>
      <c r="W694" s="11">
        <v>0</v>
      </c>
      <c r="X694" s="11">
        <v>3</v>
      </c>
      <c r="Y694" s="11">
        <v>0</v>
      </c>
      <c r="Z694" t="s">
        <v>13</v>
      </c>
    </row>
    <row r="695" spans="1:26" x14ac:dyDescent="0.25">
      <c r="A695" s="20" t="s">
        <v>1182</v>
      </c>
      <c r="B695" s="20" t="s">
        <v>218</v>
      </c>
      <c r="C695" s="20" t="s">
        <v>399</v>
      </c>
      <c r="D695" s="20" t="s">
        <v>216</v>
      </c>
      <c r="E695" s="13">
        <v>0</v>
      </c>
      <c r="F695" s="11">
        <v>0</v>
      </c>
      <c r="G695" s="13">
        <v>0</v>
      </c>
      <c r="H695" s="11">
        <v>0</v>
      </c>
      <c r="I695" s="13">
        <f>E695+G695</f>
        <v>0</v>
      </c>
      <c r="J695" s="11">
        <f>F695+H695</f>
        <v>0</v>
      </c>
      <c r="K695" s="13">
        <v>0</v>
      </c>
      <c r="L695" s="11">
        <v>0</v>
      </c>
      <c r="M695" s="11">
        <v>0</v>
      </c>
      <c r="N695" s="13">
        <v>0</v>
      </c>
      <c r="O695" s="11">
        <v>0</v>
      </c>
      <c r="P695" s="11">
        <v>1</v>
      </c>
      <c r="Q695" s="13">
        <f>K695+N695</f>
        <v>0</v>
      </c>
      <c r="R695" s="11">
        <f>L695+O695</f>
        <v>0</v>
      </c>
      <c r="S695" s="11">
        <f>M695+P695</f>
        <v>1</v>
      </c>
      <c r="T695" s="8">
        <f>I695-Q695</f>
        <v>0</v>
      </c>
      <c r="U695" s="18">
        <v>-9.8815253776914677E-2</v>
      </c>
      <c r="V695" s="11">
        <v>0.25</v>
      </c>
      <c r="W695" s="11">
        <v>1</v>
      </c>
      <c r="X695" s="11">
        <v>3</v>
      </c>
      <c r="Y695" s="11">
        <v>3</v>
      </c>
      <c r="Z695" t="s">
        <v>13</v>
      </c>
    </row>
    <row r="696" spans="1:26" x14ac:dyDescent="0.25">
      <c r="A696" s="20" t="s">
        <v>1183</v>
      </c>
      <c r="B696" s="20" t="s">
        <v>218</v>
      </c>
      <c r="C696" s="20" t="s">
        <v>399</v>
      </c>
      <c r="D696" s="20" t="s">
        <v>216</v>
      </c>
      <c r="E696" s="13">
        <v>0</v>
      </c>
      <c r="F696" s="11">
        <v>0</v>
      </c>
      <c r="G696" s="13">
        <v>0</v>
      </c>
      <c r="H696" s="11">
        <v>0</v>
      </c>
      <c r="I696" s="13">
        <f>E696+G696</f>
        <v>0</v>
      </c>
      <c r="J696" s="11">
        <f>F696+H696</f>
        <v>0</v>
      </c>
      <c r="K696" s="13">
        <v>0</v>
      </c>
      <c r="L696" s="11">
        <v>0</v>
      </c>
      <c r="M696" s="11">
        <v>0</v>
      </c>
      <c r="N696" s="13">
        <v>0</v>
      </c>
      <c r="O696" s="11">
        <v>0</v>
      </c>
      <c r="P696" s="11">
        <v>0</v>
      </c>
      <c r="Q696" s="13">
        <f>K696+N696</f>
        <v>0</v>
      </c>
      <c r="R696" s="11">
        <f>L696+O696</f>
        <v>0</v>
      </c>
      <c r="S696" s="11">
        <f>M696+P696</f>
        <v>0</v>
      </c>
      <c r="T696" s="8">
        <f>I696-Q696</f>
        <v>0</v>
      </c>
      <c r="U696" s="18">
        <v>0.27906735917061176</v>
      </c>
      <c r="V696" s="11">
        <v>0</v>
      </c>
      <c r="W696" s="11">
        <v>0</v>
      </c>
      <c r="X696" s="11">
        <v>1</v>
      </c>
      <c r="Y696" s="11">
        <v>0</v>
      </c>
      <c r="Z696" t="s">
        <v>13</v>
      </c>
    </row>
    <row r="697" spans="1:26" x14ac:dyDescent="0.25">
      <c r="A697" s="20" t="s">
        <v>1129</v>
      </c>
      <c r="B697" s="20" t="s">
        <v>1129</v>
      </c>
      <c r="C697" s="20" t="s">
        <v>1130</v>
      </c>
      <c r="D697" s="20" t="s">
        <v>216</v>
      </c>
      <c r="E697" s="13">
        <v>0</v>
      </c>
      <c r="F697" s="11">
        <v>0</v>
      </c>
      <c r="G697" s="13">
        <v>0</v>
      </c>
      <c r="H697" s="11">
        <v>0</v>
      </c>
      <c r="I697" s="13">
        <f>E697+G697</f>
        <v>0</v>
      </c>
      <c r="J697" s="11">
        <f>F697+H697</f>
        <v>0</v>
      </c>
      <c r="K697" s="13">
        <v>0</v>
      </c>
      <c r="L697" s="11">
        <v>0</v>
      </c>
      <c r="M697" s="11">
        <v>0</v>
      </c>
      <c r="N697" s="13">
        <v>0</v>
      </c>
      <c r="O697" s="11">
        <v>0</v>
      </c>
      <c r="P697" s="11">
        <v>0</v>
      </c>
      <c r="Q697" s="13">
        <f>K697+N697</f>
        <v>0</v>
      </c>
      <c r="R697" s="11">
        <f>L697+O697</f>
        <v>0</v>
      </c>
      <c r="S697" s="11">
        <f>M697+P697</f>
        <v>0</v>
      </c>
      <c r="T697" s="8">
        <f>I697-Q697</f>
        <v>0</v>
      </c>
      <c r="U697" s="18">
        <v>-0.13182672715979457</v>
      </c>
      <c r="V697" s="11">
        <v>0</v>
      </c>
      <c r="W697" s="11">
        <v>0</v>
      </c>
      <c r="X697" s="11">
        <v>0</v>
      </c>
      <c r="Y697" s="11">
        <v>0</v>
      </c>
      <c r="Z697" t="s">
        <v>13</v>
      </c>
    </row>
    <row r="698" spans="1:26" x14ac:dyDescent="0.25">
      <c r="A698" s="20" t="s">
        <v>1185</v>
      </c>
      <c r="B698" s="20" t="s">
        <v>225</v>
      </c>
      <c r="C698" s="20" t="s">
        <v>1186</v>
      </c>
      <c r="D698" s="20" t="s">
        <v>216</v>
      </c>
      <c r="E698" s="13">
        <v>0</v>
      </c>
      <c r="F698" s="11">
        <v>0</v>
      </c>
      <c r="G698" s="13">
        <v>0</v>
      </c>
      <c r="H698" s="11">
        <v>0</v>
      </c>
      <c r="I698" s="13">
        <f>E698+G698</f>
        <v>0</v>
      </c>
      <c r="J698" s="11">
        <f>F698+H698</f>
        <v>0</v>
      </c>
      <c r="K698" s="13">
        <v>0</v>
      </c>
      <c r="L698" s="11">
        <v>0</v>
      </c>
      <c r="M698" s="11">
        <v>1</v>
      </c>
      <c r="N698" s="13">
        <v>3669</v>
      </c>
      <c r="O698" s="11">
        <v>0</v>
      </c>
      <c r="P698" s="11">
        <v>2</v>
      </c>
      <c r="Q698" s="13">
        <f>K698+N698</f>
        <v>3669</v>
      </c>
      <c r="R698" s="11">
        <f>L698+O698</f>
        <v>0</v>
      </c>
      <c r="S698" s="11">
        <f>M698+P698</f>
        <v>3</v>
      </c>
      <c r="T698" s="8">
        <f>I698-Q698</f>
        <v>-3669</v>
      </c>
      <c r="U698" s="18">
        <v>-9.3092343363174075E-3</v>
      </c>
      <c r="V698" s="11">
        <v>0.5</v>
      </c>
      <c r="W698" s="11">
        <v>3</v>
      </c>
      <c r="X698" s="11">
        <v>3</v>
      </c>
      <c r="Y698" s="11">
        <v>0</v>
      </c>
      <c r="Z698" t="s">
        <v>13</v>
      </c>
    </row>
    <row r="699" spans="1:26" x14ac:dyDescent="0.25">
      <c r="A699" s="20" t="s">
        <v>1189</v>
      </c>
      <c r="B699" s="20" t="s">
        <v>257</v>
      </c>
      <c r="C699" s="20" t="s">
        <v>1190</v>
      </c>
      <c r="D699" s="20" t="s">
        <v>216</v>
      </c>
      <c r="E699" s="13">
        <v>0</v>
      </c>
      <c r="F699" s="11">
        <v>0</v>
      </c>
      <c r="G699" s="13">
        <v>0</v>
      </c>
      <c r="H699" s="11">
        <v>0</v>
      </c>
      <c r="I699" s="13">
        <f>E699+G699</f>
        <v>0</v>
      </c>
      <c r="J699" s="11">
        <f>F699+H699</f>
        <v>0</v>
      </c>
      <c r="K699" s="13">
        <v>0</v>
      </c>
      <c r="L699" s="11">
        <v>0</v>
      </c>
      <c r="M699" s="11">
        <v>0</v>
      </c>
      <c r="N699" s="13">
        <v>0</v>
      </c>
      <c r="O699" s="11">
        <v>0</v>
      </c>
      <c r="P699" s="11">
        <v>0</v>
      </c>
      <c r="Q699" s="13">
        <f>K699+N699</f>
        <v>0</v>
      </c>
      <c r="R699" s="11">
        <f>L699+O699</f>
        <v>0</v>
      </c>
      <c r="S699" s="11">
        <f>M699+P699</f>
        <v>0</v>
      </c>
      <c r="T699" s="8">
        <f>I699-Q699</f>
        <v>0</v>
      </c>
      <c r="U699" s="18">
        <v>-1.5899663153208919E-2</v>
      </c>
      <c r="V699" s="11">
        <v>0</v>
      </c>
      <c r="W699" s="11">
        <v>0</v>
      </c>
      <c r="X699" s="11">
        <v>0</v>
      </c>
      <c r="Y699" s="11">
        <v>0</v>
      </c>
      <c r="Z699" t="s">
        <v>13</v>
      </c>
    </row>
    <row r="700" spans="1:26" x14ac:dyDescent="0.25">
      <c r="A700" s="20" t="s">
        <v>566</v>
      </c>
      <c r="B700" s="20" t="s">
        <v>519</v>
      </c>
      <c r="C700" s="20" t="s">
        <v>221</v>
      </c>
      <c r="D700" s="20" t="s">
        <v>216</v>
      </c>
      <c r="E700" s="13">
        <v>16565</v>
      </c>
      <c r="F700" s="11">
        <v>0</v>
      </c>
      <c r="G700" s="13">
        <v>4679</v>
      </c>
      <c r="H700" s="11">
        <v>0</v>
      </c>
      <c r="I700" s="13">
        <f>E700+G700</f>
        <v>21244</v>
      </c>
      <c r="J700" s="11">
        <f>F700+H700</f>
        <v>0</v>
      </c>
      <c r="K700" s="13">
        <v>17030</v>
      </c>
      <c r="L700" s="11">
        <v>0</v>
      </c>
      <c r="M700" s="11">
        <v>0</v>
      </c>
      <c r="N700" s="13">
        <v>4534</v>
      </c>
      <c r="O700" s="11">
        <v>0</v>
      </c>
      <c r="P700" s="11">
        <v>0</v>
      </c>
      <c r="Q700" s="13">
        <f>K700+N700</f>
        <v>21564</v>
      </c>
      <c r="R700" s="11">
        <f>L700+O700</f>
        <v>0</v>
      </c>
      <c r="S700" s="11">
        <f>M700+P700</f>
        <v>0</v>
      </c>
      <c r="T700" s="8">
        <f>I700-Q700</f>
        <v>-320</v>
      </c>
      <c r="U700" s="18">
        <v>6.2522749506739556E-2</v>
      </c>
      <c r="V700" s="11">
        <v>0</v>
      </c>
      <c r="W700" s="11">
        <v>0</v>
      </c>
      <c r="X700" s="11">
        <v>0</v>
      </c>
      <c r="Y700" s="11">
        <v>1</v>
      </c>
      <c r="Z700" t="s">
        <v>13</v>
      </c>
    </row>
    <row r="701" spans="1:26" x14ac:dyDescent="0.25">
      <c r="A701" s="20" t="s">
        <v>1191</v>
      </c>
      <c r="B701" s="20" t="s">
        <v>3096</v>
      </c>
      <c r="C701" s="20" t="s">
        <v>1192</v>
      </c>
      <c r="D701" s="20" t="s">
        <v>216</v>
      </c>
      <c r="E701" s="13">
        <v>0</v>
      </c>
      <c r="F701" s="11">
        <v>0</v>
      </c>
      <c r="G701" s="13">
        <v>5867</v>
      </c>
      <c r="H701" s="11">
        <v>0</v>
      </c>
      <c r="I701" s="13">
        <f>E701+G701</f>
        <v>5867</v>
      </c>
      <c r="J701" s="11">
        <f>F701+H701</f>
        <v>0</v>
      </c>
      <c r="K701" s="13">
        <v>0</v>
      </c>
      <c r="L701" s="11">
        <v>0</v>
      </c>
      <c r="M701" s="11">
        <v>0</v>
      </c>
      <c r="N701" s="13">
        <v>5687.88</v>
      </c>
      <c r="O701" s="11">
        <v>1</v>
      </c>
      <c r="P701" s="11">
        <v>1</v>
      </c>
      <c r="Q701" s="13">
        <f>K701+N701</f>
        <v>5687.88</v>
      </c>
      <c r="R701" s="11">
        <f>L701+O701</f>
        <v>1</v>
      </c>
      <c r="S701" s="11">
        <f>M701+P701</f>
        <v>1</v>
      </c>
      <c r="T701" s="8">
        <f>I701-Q701</f>
        <v>179.11999999999989</v>
      </c>
      <c r="U701" s="18">
        <v>3.5093969623493072E-2</v>
      </c>
      <c r="V701" s="11">
        <v>0</v>
      </c>
      <c r="W701" s="11">
        <v>0</v>
      </c>
      <c r="X701" s="11">
        <v>0</v>
      </c>
      <c r="Y701" s="11">
        <v>0</v>
      </c>
      <c r="Z701" t="s">
        <v>13</v>
      </c>
    </row>
    <row r="702" spans="1:26" x14ac:dyDescent="0.25">
      <c r="A702" s="20" t="s">
        <v>1195</v>
      </c>
      <c r="B702" s="20" t="s">
        <v>241</v>
      </c>
      <c r="C702" s="20" t="s">
        <v>1196</v>
      </c>
      <c r="D702" s="20" t="s">
        <v>216</v>
      </c>
      <c r="E702" s="13">
        <v>1321</v>
      </c>
      <c r="F702" s="11">
        <v>0</v>
      </c>
      <c r="G702" s="13">
        <v>0</v>
      </c>
      <c r="H702" s="11">
        <v>0</v>
      </c>
      <c r="I702" s="13">
        <f>E702+G702</f>
        <v>1321</v>
      </c>
      <c r="J702" s="11">
        <f>F702+H702</f>
        <v>0</v>
      </c>
      <c r="K702" s="13">
        <v>2121</v>
      </c>
      <c r="L702" s="11">
        <v>0</v>
      </c>
      <c r="M702" s="11">
        <v>0</v>
      </c>
      <c r="N702" s="13">
        <v>0</v>
      </c>
      <c r="O702" s="11">
        <v>0</v>
      </c>
      <c r="P702" s="11">
        <v>1</v>
      </c>
      <c r="Q702" s="13">
        <f>K702+N702</f>
        <v>2121</v>
      </c>
      <c r="R702" s="11">
        <f>L702+O702</f>
        <v>0</v>
      </c>
      <c r="S702" s="11">
        <f>M702+P702</f>
        <v>1</v>
      </c>
      <c r="T702" s="8">
        <f>I702-Q702</f>
        <v>-800</v>
      </c>
      <c r="U702" s="18">
        <v>-4.1659506388581633E-3</v>
      </c>
      <c r="V702" s="11">
        <v>0.5</v>
      </c>
      <c r="W702" s="11">
        <v>1</v>
      </c>
      <c r="X702" s="11">
        <v>1</v>
      </c>
      <c r="Y702" s="11">
        <v>0</v>
      </c>
      <c r="Z702" t="s">
        <v>13</v>
      </c>
    </row>
    <row r="703" spans="1:26" x14ac:dyDescent="0.25">
      <c r="A703" s="20" t="s">
        <v>3096</v>
      </c>
      <c r="B703" s="20" t="s">
        <v>3096</v>
      </c>
      <c r="C703" s="20" t="s">
        <v>2025</v>
      </c>
      <c r="D703" s="20" t="s">
        <v>216</v>
      </c>
      <c r="E703" s="13">
        <v>0</v>
      </c>
      <c r="F703" s="11">
        <v>0</v>
      </c>
      <c r="G703" s="13">
        <v>0</v>
      </c>
      <c r="H703" s="11">
        <v>0</v>
      </c>
      <c r="I703" s="13">
        <f>E703+G703</f>
        <v>0</v>
      </c>
      <c r="J703" s="11">
        <f>F703+H703</f>
        <v>0</v>
      </c>
      <c r="K703" s="13">
        <v>0</v>
      </c>
      <c r="L703" s="11">
        <v>0</v>
      </c>
      <c r="M703" s="11">
        <v>0</v>
      </c>
      <c r="N703" s="13">
        <v>0</v>
      </c>
      <c r="O703" s="11">
        <v>0</v>
      </c>
      <c r="P703" s="11">
        <v>0</v>
      </c>
      <c r="Q703" s="13">
        <f>K703+N703</f>
        <v>0</v>
      </c>
      <c r="R703" s="11">
        <f>L703+O703</f>
        <v>0</v>
      </c>
      <c r="S703" s="11">
        <f>M703+P703</f>
        <v>0</v>
      </c>
      <c r="T703" s="8">
        <f>I703-Q703</f>
        <v>0</v>
      </c>
      <c r="U703" s="18">
        <v>3.5047570170936793E-2</v>
      </c>
      <c r="V703" s="11">
        <v>0</v>
      </c>
      <c r="W703" s="11">
        <v>0</v>
      </c>
      <c r="X703" s="11">
        <v>0</v>
      </c>
      <c r="Y703" s="11">
        <v>0</v>
      </c>
      <c r="Z703" t="s">
        <v>13</v>
      </c>
    </row>
    <row r="704" spans="1:26" x14ac:dyDescent="0.25">
      <c r="A704" s="20" t="s">
        <v>1811</v>
      </c>
      <c r="B704" s="20" t="s">
        <v>77</v>
      </c>
      <c r="C704" s="20" t="s">
        <v>1812</v>
      </c>
      <c r="D704" s="20" t="s">
        <v>216</v>
      </c>
      <c r="E704" s="13">
        <v>0</v>
      </c>
      <c r="F704" s="11">
        <v>0</v>
      </c>
      <c r="G704" s="13">
        <v>0</v>
      </c>
      <c r="H704" s="11">
        <v>0</v>
      </c>
      <c r="I704" s="13">
        <f>E704+G704</f>
        <v>0</v>
      </c>
      <c r="J704" s="11">
        <f>F704+H704</f>
        <v>0</v>
      </c>
      <c r="K704" s="13">
        <v>0</v>
      </c>
      <c r="L704" s="11">
        <v>0</v>
      </c>
      <c r="M704" s="11">
        <v>0</v>
      </c>
      <c r="N704" s="13">
        <v>0</v>
      </c>
      <c r="O704" s="11">
        <v>0</v>
      </c>
      <c r="P704" s="11">
        <v>0</v>
      </c>
      <c r="Q704" s="13">
        <f>K704+N704</f>
        <v>0</v>
      </c>
      <c r="R704" s="11">
        <f>L704+O704</f>
        <v>0</v>
      </c>
      <c r="S704" s="11">
        <f>M704+P704</f>
        <v>0</v>
      </c>
      <c r="T704" s="8">
        <f>I704-Q704</f>
        <v>0</v>
      </c>
      <c r="U704" s="18">
        <v>-2.0417896888485124E-2</v>
      </c>
      <c r="V704" s="11">
        <v>0</v>
      </c>
      <c r="W704" s="11">
        <v>0</v>
      </c>
      <c r="X704" s="11">
        <v>0</v>
      </c>
      <c r="Y704" s="11">
        <v>0</v>
      </c>
      <c r="Z704" t="s">
        <v>13</v>
      </c>
    </row>
    <row r="705" spans="1:26" x14ac:dyDescent="0.25">
      <c r="A705" s="20" t="s">
        <v>3037</v>
      </c>
      <c r="B705" s="20" t="s">
        <v>60</v>
      </c>
      <c r="C705" s="20" t="s">
        <v>3038</v>
      </c>
      <c r="D705" s="20" t="s">
        <v>216</v>
      </c>
      <c r="E705" s="13">
        <v>11790</v>
      </c>
      <c r="F705" s="11">
        <v>0</v>
      </c>
      <c r="G705" s="13">
        <v>0</v>
      </c>
      <c r="H705" s="11">
        <v>0</v>
      </c>
      <c r="I705" s="13">
        <f>E705+G705</f>
        <v>11790</v>
      </c>
      <c r="J705" s="11">
        <f>F705+H705</f>
        <v>0</v>
      </c>
      <c r="K705" s="13">
        <v>11848</v>
      </c>
      <c r="L705" s="11">
        <v>0</v>
      </c>
      <c r="M705" s="11">
        <v>0</v>
      </c>
      <c r="N705" s="13">
        <v>0</v>
      </c>
      <c r="O705" s="11">
        <v>0</v>
      </c>
      <c r="P705" s="11">
        <v>0</v>
      </c>
      <c r="Q705" s="13">
        <f>K705+N705</f>
        <v>11848</v>
      </c>
      <c r="R705" s="11">
        <f>L705+O705</f>
        <v>0</v>
      </c>
      <c r="S705" s="11">
        <f>M705+P705</f>
        <v>0</v>
      </c>
      <c r="T705" s="8">
        <f>I705-Q705</f>
        <v>-58</v>
      </c>
      <c r="U705" s="18">
        <v>0.26998403711043456</v>
      </c>
      <c r="V705" s="11">
        <v>0</v>
      </c>
      <c r="W705" s="11">
        <v>0</v>
      </c>
      <c r="X705" s="11">
        <v>0</v>
      </c>
      <c r="Y705" s="11">
        <v>0</v>
      </c>
      <c r="Z705" t="s">
        <v>13</v>
      </c>
    </row>
    <row r="706" spans="1:26" x14ac:dyDescent="0.25">
      <c r="A706" s="20" t="s">
        <v>3112</v>
      </c>
      <c r="B706" s="20" t="s">
        <v>260</v>
      </c>
      <c r="C706" s="20" t="s">
        <v>286</v>
      </c>
      <c r="D706" s="20" t="s">
        <v>216</v>
      </c>
      <c r="E706" s="13">
        <v>0</v>
      </c>
      <c r="F706" s="11">
        <v>0</v>
      </c>
      <c r="G706" s="13">
        <v>0</v>
      </c>
      <c r="H706" s="11">
        <v>0</v>
      </c>
      <c r="I706" s="13">
        <f>E706+G706</f>
        <v>0</v>
      </c>
      <c r="J706" s="11">
        <f>F706+H706</f>
        <v>0</v>
      </c>
      <c r="K706" s="13">
        <v>0</v>
      </c>
      <c r="L706" s="11">
        <v>0</v>
      </c>
      <c r="M706" s="11">
        <v>0</v>
      </c>
      <c r="N706" s="13">
        <v>0</v>
      </c>
      <c r="O706" s="11">
        <v>0</v>
      </c>
      <c r="P706" s="11">
        <v>0</v>
      </c>
      <c r="Q706" s="13">
        <f>K706+N706</f>
        <v>0</v>
      </c>
      <c r="R706" s="11">
        <f>L706+O706</f>
        <v>0</v>
      </c>
      <c r="S706" s="11">
        <f>M706+P706</f>
        <v>0</v>
      </c>
      <c r="T706" s="8">
        <f>I706-Q706</f>
        <v>0</v>
      </c>
      <c r="U706" s="18">
        <v>-0.23855937796550911</v>
      </c>
      <c r="V706" s="11">
        <v>0</v>
      </c>
      <c r="W706" s="11">
        <v>0</v>
      </c>
      <c r="X706" s="11">
        <v>0</v>
      </c>
      <c r="Y706" s="11">
        <v>0</v>
      </c>
      <c r="Z706" t="s">
        <v>13</v>
      </c>
    </row>
    <row r="707" spans="1:26" x14ac:dyDescent="0.25">
      <c r="A707" s="20" t="s">
        <v>3176</v>
      </c>
      <c r="B707" s="20" t="s">
        <v>3096</v>
      </c>
      <c r="C707" s="20" t="s">
        <v>3177</v>
      </c>
      <c r="D707" s="20" t="s">
        <v>216</v>
      </c>
      <c r="E707" s="13">
        <v>0</v>
      </c>
      <c r="F707" s="11">
        <v>0</v>
      </c>
      <c r="G707" s="13">
        <v>0</v>
      </c>
      <c r="H707" s="11">
        <v>0</v>
      </c>
      <c r="I707" s="13">
        <f>E707+G707</f>
        <v>0</v>
      </c>
      <c r="J707" s="11">
        <f>F707+H707</f>
        <v>0</v>
      </c>
      <c r="K707" s="13">
        <v>0</v>
      </c>
      <c r="L707" s="11">
        <v>0</v>
      </c>
      <c r="M707" s="11">
        <v>2</v>
      </c>
      <c r="N707" s="13">
        <v>0</v>
      </c>
      <c r="O707" s="11">
        <v>0</v>
      </c>
      <c r="P707" s="11">
        <v>0</v>
      </c>
      <c r="Q707" s="13">
        <f>K707+N707</f>
        <v>0</v>
      </c>
      <c r="R707" s="11">
        <f>L707+O707</f>
        <v>0</v>
      </c>
      <c r="S707" s="11">
        <f>M707+P707</f>
        <v>2</v>
      </c>
      <c r="T707" s="8">
        <f>I707-Q707</f>
        <v>0</v>
      </c>
      <c r="U707" s="18">
        <v>9.2566407256549563E-2</v>
      </c>
      <c r="V707" s="11">
        <v>0.33</v>
      </c>
      <c r="W707" s="11">
        <v>2</v>
      </c>
      <c r="X707" s="11">
        <v>4</v>
      </c>
      <c r="Y707" s="11">
        <v>3</v>
      </c>
      <c r="Z707" t="s">
        <v>13</v>
      </c>
    </row>
    <row r="708" spans="1:26" x14ac:dyDescent="0.25">
      <c r="A708" s="20" t="s">
        <v>3178</v>
      </c>
      <c r="B708" s="20" t="s">
        <v>3096</v>
      </c>
      <c r="C708" s="20" t="s">
        <v>3179</v>
      </c>
      <c r="D708" s="20" t="s">
        <v>216</v>
      </c>
      <c r="E708" s="13">
        <v>0</v>
      </c>
      <c r="F708" s="11">
        <v>0</v>
      </c>
      <c r="G708" s="13">
        <v>5664.5</v>
      </c>
      <c r="H708" s="11">
        <v>2</v>
      </c>
      <c r="I708" s="13">
        <f>E708+G708</f>
        <v>5664.5</v>
      </c>
      <c r="J708" s="11">
        <f>F708+H708</f>
        <v>2</v>
      </c>
      <c r="K708" s="13">
        <v>0</v>
      </c>
      <c r="L708" s="11">
        <v>0</v>
      </c>
      <c r="M708" s="11">
        <v>3</v>
      </c>
      <c r="N708" s="13">
        <v>0</v>
      </c>
      <c r="O708" s="11">
        <v>0</v>
      </c>
      <c r="P708" s="11">
        <v>5</v>
      </c>
      <c r="Q708" s="13">
        <f>K708+N708</f>
        <v>0</v>
      </c>
      <c r="R708" s="11">
        <f>L708+O708</f>
        <v>0</v>
      </c>
      <c r="S708" s="11">
        <f>M708+P708</f>
        <v>8</v>
      </c>
      <c r="T708" s="8">
        <f>I708-Q708</f>
        <v>5664.5</v>
      </c>
      <c r="U708" s="18">
        <v>0.11582334280668763</v>
      </c>
      <c r="V708" s="11">
        <v>0.53</v>
      </c>
      <c r="W708" s="11">
        <v>10</v>
      </c>
      <c r="X708" s="11">
        <v>9</v>
      </c>
      <c r="Y708" s="11">
        <v>2</v>
      </c>
      <c r="Z708" t="s">
        <v>13</v>
      </c>
    </row>
    <row r="709" spans="1:26" x14ac:dyDescent="0.25">
      <c r="A709" s="20" t="s">
        <v>3180</v>
      </c>
      <c r="B709" s="20" t="s">
        <v>202</v>
      </c>
      <c r="C709" s="20" t="s">
        <v>203</v>
      </c>
      <c r="D709" s="20" t="s">
        <v>216</v>
      </c>
      <c r="E709" s="13">
        <v>5673</v>
      </c>
      <c r="F709" s="11">
        <v>0</v>
      </c>
      <c r="G709" s="13">
        <v>1501</v>
      </c>
      <c r="H709" s="11">
        <v>1</v>
      </c>
      <c r="I709" s="13">
        <f>E709+G709</f>
        <v>7174</v>
      </c>
      <c r="J709" s="11">
        <f>F709+H709</f>
        <v>1</v>
      </c>
      <c r="K709" s="13">
        <v>5729</v>
      </c>
      <c r="L709" s="11">
        <v>0</v>
      </c>
      <c r="M709" s="11">
        <v>0</v>
      </c>
      <c r="N709" s="13">
        <v>-2700</v>
      </c>
      <c r="O709" s="11">
        <v>0</v>
      </c>
      <c r="P709" s="11">
        <v>1</v>
      </c>
      <c r="Q709" s="13">
        <f>K709+N709</f>
        <v>3029</v>
      </c>
      <c r="R709" s="11">
        <f>L709+O709</f>
        <v>0</v>
      </c>
      <c r="S709" s="11">
        <f>M709+P709</f>
        <v>1</v>
      </c>
      <c r="T709" s="8">
        <f>I709-Q709</f>
        <v>4145</v>
      </c>
      <c r="U709" s="18">
        <v>7.7993158434929558E-2</v>
      </c>
      <c r="V709" s="11">
        <v>0.4</v>
      </c>
      <c r="W709" s="11">
        <v>2</v>
      </c>
      <c r="X709" s="11">
        <v>3</v>
      </c>
      <c r="Y709" s="11">
        <v>1</v>
      </c>
      <c r="Z709" t="s">
        <v>13</v>
      </c>
    </row>
    <row r="710" spans="1:26" x14ac:dyDescent="0.25">
      <c r="A710" s="20" t="s">
        <v>3201</v>
      </c>
      <c r="B710" s="20" t="s">
        <v>60</v>
      </c>
      <c r="C710" s="20" t="s">
        <v>3202</v>
      </c>
      <c r="D710" s="20" t="s">
        <v>216</v>
      </c>
      <c r="E710" s="13">
        <v>0</v>
      </c>
      <c r="F710" s="11">
        <v>0</v>
      </c>
      <c r="G710" s="13">
        <v>0</v>
      </c>
      <c r="H710" s="11">
        <v>0</v>
      </c>
      <c r="I710" s="13">
        <f>E710+G710</f>
        <v>0</v>
      </c>
      <c r="J710" s="11">
        <f>F710+H710</f>
        <v>0</v>
      </c>
      <c r="K710" s="13">
        <v>0</v>
      </c>
      <c r="L710" s="11">
        <v>0</v>
      </c>
      <c r="M710" s="11">
        <v>0</v>
      </c>
      <c r="N710" s="13">
        <v>0</v>
      </c>
      <c r="O710" s="11">
        <v>0</v>
      </c>
      <c r="P710" s="11">
        <v>0</v>
      </c>
      <c r="Q710" s="13">
        <f>K710+N710</f>
        <v>0</v>
      </c>
      <c r="R710" s="11">
        <f>L710+O710</f>
        <v>0</v>
      </c>
      <c r="S710" s="11">
        <f>M710+P710</f>
        <v>0</v>
      </c>
      <c r="T710" s="8">
        <f>I710-Q710</f>
        <v>0</v>
      </c>
      <c r="U710" s="18">
        <v>9.5912585997571837E-4</v>
      </c>
      <c r="V710" s="11">
        <v>0</v>
      </c>
      <c r="W710" s="11">
        <v>0</v>
      </c>
      <c r="X710" s="11">
        <v>0</v>
      </c>
      <c r="Y710" s="11">
        <v>0</v>
      </c>
      <c r="Z710" t="s">
        <v>13</v>
      </c>
    </row>
    <row r="711" spans="1:26" x14ac:dyDescent="0.25">
      <c r="A711" s="20" t="s">
        <v>3222</v>
      </c>
      <c r="B711" s="20" t="s">
        <v>3340</v>
      </c>
      <c r="C711" s="20" t="s">
        <v>3223</v>
      </c>
      <c r="D711" s="20" t="s">
        <v>216</v>
      </c>
      <c r="E711" s="13">
        <v>5348.98</v>
      </c>
      <c r="F711" s="11">
        <v>0</v>
      </c>
      <c r="G711" s="13">
        <v>0</v>
      </c>
      <c r="H711" s="11">
        <v>0</v>
      </c>
      <c r="I711" s="13">
        <f>E711+G711</f>
        <v>5348.98</v>
      </c>
      <c r="J711" s="11">
        <f>F711+H711</f>
        <v>0</v>
      </c>
      <c r="K711" s="13">
        <v>0</v>
      </c>
      <c r="L711" s="11">
        <v>0</v>
      </c>
      <c r="M711" s="11">
        <v>0</v>
      </c>
      <c r="N711" s="13">
        <v>0</v>
      </c>
      <c r="O711" s="11">
        <v>0</v>
      </c>
      <c r="P711" s="11">
        <v>0</v>
      </c>
      <c r="Q711" s="13">
        <f>K711+N711</f>
        <v>0</v>
      </c>
      <c r="R711" s="11">
        <f>L711+O711</f>
        <v>0</v>
      </c>
      <c r="S711" s="11">
        <f>M711+P711</f>
        <v>0</v>
      </c>
      <c r="T711" s="8">
        <f>I711-Q711</f>
        <v>5348.98</v>
      </c>
      <c r="U711" s="18">
        <v>0.16142718365381073</v>
      </c>
      <c r="V711" s="11">
        <v>0</v>
      </c>
      <c r="W711" s="11">
        <v>0</v>
      </c>
      <c r="X711" s="11">
        <v>0</v>
      </c>
      <c r="Y711" s="11">
        <v>0</v>
      </c>
      <c r="Z711" t="s">
        <v>13</v>
      </c>
    </row>
    <row r="712" spans="1:26" x14ac:dyDescent="0.25">
      <c r="A712" s="20" t="s">
        <v>3237</v>
      </c>
      <c r="B712" s="20" t="s">
        <v>77</v>
      </c>
      <c r="C712" s="20" t="s">
        <v>3238</v>
      </c>
      <c r="D712" s="20" t="s">
        <v>216</v>
      </c>
      <c r="E712" s="13">
        <v>0</v>
      </c>
      <c r="F712" s="11">
        <v>0</v>
      </c>
      <c r="G712" s="13">
        <v>0</v>
      </c>
      <c r="H712" s="11">
        <v>0</v>
      </c>
      <c r="I712" s="13">
        <f>E712+G712</f>
        <v>0</v>
      </c>
      <c r="J712" s="11">
        <f>F712+H712</f>
        <v>0</v>
      </c>
      <c r="K712" s="13">
        <v>0</v>
      </c>
      <c r="L712" s="11">
        <v>0</v>
      </c>
      <c r="M712" s="11">
        <v>0</v>
      </c>
      <c r="N712" s="13">
        <v>0</v>
      </c>
      <c r="O712" s="11">
        <v>0</v>
      </c>
      <c r="P712" s="11">
        <v>0</v>
      </c>
      <c r="Q712" s="13">
        <f>K712+N712</f>
        <v>0</v>
      </c>
      <c r="R712" s="11">
        <f>L712+O712</f>
        <v>0</v>
      </c>
      <c r="S712" s="11">
        <f>M712+P712</f>
        <v>0</v>
      </c>
      <c r="T712" s="8">
        <f>I712-Q712</f>
        <v>0</v>
      </c>
      <c r="U712" s="18" t="s">
        <v>1803</v>
      </c>
      <c r="V712" s="11">
        <v>0</v>
      </c>
      <c r="W712" s="11">
        <v>0</v>
      </c>
      <c r="X712" s="11">
        <v>0</v>
      </c>
      <c r="Y712" s="11">
        <v>0</v>
      </c>
      <c r="Z712" t="s">
        <v>13</v>
      </c>
    </row>
    <row r="713" spans="1:26" x14ac:dyDescent="0.25">
      <c r="A713" s="20" t="s">
        <v>3239</v>
      </c>
      <c r="B713" s="20" t="s">
        <v>91</v>
      </c>
      <c r="C713" s="20" t="s">
        <v>3240</v>
      </c>
      <c r="D713" s="20" t="s">
        <v>216</v>
      </c>
      <c r="E713" s="13">
        <v>0</v>
      </c>
      <c r="F713" s="11">
        <v>0</v>
      </c>
      <c r="G713" s="13">
        <v>0</v>
      </c>
      <c r="H713" s="11">
        <v>0</v>
      </c>
      <c r="I713" s="13">
        <f>E713+G713</f>
        <v>0</v>
      </c>
      <c r="J713" s="11">
        <f>F713+H713</f>
        <v>0</v>
      </c>
      <c r="K713" s="13">
        <v>0</v>
      </c>
      <c r="L713" s="11">
        <v>0</v>
      </c>
      <c r="M713" s="11">
        <v>0</v>
      </c>
      <c r="N713" s="13">
        <v>0</v>
      </c>
      <c r="O713" s="11">
        <v>0</v>
      </c>
      <c r="P713" s="11">
        <v>0</v>
      </c>
      <c r="Q713" s="13">
        <f>K713+N713</f>
        <v>0</v>
      </c>
      <c r="R713" s="11">
        <f>L713+O713</f>
        <v>0</v>
      </c>
      <c r="S713" s="11">
        <f>M713+P713</f>
        <v>0</v>
      </c>
      <c r="T713" s="8">
        <f>I713-Q713</f>
        <v>0</v>
      </c>
      <c r="U713" s="18">
        <v>1.0108921350770466E-3</v>
      </c>
      <c r="V713" s="11">
        <v>0</v>
      </c>
      <c r="W713" s="11">
        <v>0</v>
      </c>
      <c r="X713" s="11">
        <v>2</v>
      </c>
      <c r="Y713" s="11">
        <v>1</v>
      </c>
      <c r="Z713" t="s">
        <v>13</v>
      </c>
    </row>
    <row r="714" spans="1:26" x14ac:dyDescent="0.25">
      <c r="A714" s="20" t="s">
        <v>3241</v>
      </c>
      <c r="B714" s="20" t="s">
        <v>91</v>
      </c>
      <c r="C714" s="20" t="s">
        <v>3242</v>
      </c>
      <c r="D714" s="20" t="s">
        <v>216</v>
      </c>
      <c r="E714" s="13">
        <v>4727</v>
      </c>
      <c r="F714" s="11">
        <v>0</v>
      </c>
      <c r="G714" s="13">
        <v>0</v>
      </c>
      <c r="H714" s="11">
        <v>0</v>
      </c>
      <c r="I714" s="13">
        <f>E714+G714</f>
        <v>4727</v>
      </c>
      <c r="J714" s="11">
        <f>F714+H714</f>
        <v>0</v>
      </c>
      <c r="K714" s="13">
        <v>4461</v>
      </c>
      <c r="L714" s="11">
        <v>0</v>
      </c>
      <c r="M714" s="11">
        <v>3</v>
      </c>
      <c r="N714" s="13">
        <v>0</v>
      </c>
      <c r="O714" s="11">
        <v>0</v>
      </c>
      <c r="P714" s="11">
        <v>2</v>
      </c>
      <c r="Q714" s="13">
        <f>K714+N714</f>
        <v>4461</v>
      </c>
      <c r="R714" s="11">
        <f>L714+O714</f>
        <v>0</v>
      </c>
      <c r="S714" s="11">
        <f>M714+P714</f>
        <v>5</v>
      </c>
      <c r="T714" s="8">
        <f>I714-Q714</f>
        <v>266</v>
      </c>
      <c r="U714" s="18">
        <v>5.7572944925669209E-2</v>
      </c>
      <c r="V714" s="11">
        <v>0.33</v>
      </c>
      <c r="W714" s="11">
        <v>5</v>
      </c>
      <c r="X714" s="11">
        <v>10</v>
      </c>
      <c r="Y714" s="11">
        <v>2</v>
      </c>
      <c r="Z714" t="s">
        <v>13</v>
      </c>
    </row>
    <row r="715" spans="1:26" x14ac:dyDescent="0.25">
      <c r="A715" s="20" t="s">
        <v>3256</v>
      </c>
      <c r="B715" s="20" t="s">
        <v>257</v>
      </c>
      <c r="C715" s="20" t="s">
        <v>1169</v>
      </c>
      <c r="D715" s="20" t="s">
        <v>216</v>
      </c>
      <c r="E715" s="13">
        <v>0</v>
      </c>
      <c r="F715" s="11">
        <v>0</v>
      </c>
      <c r="G715" s="13">
        <v>0</v>
      </c>
      <c r="H715" s="11">
        <v>0</v>
      </c>
      <c r="I715" s="13">
        <f>E715+G715</f>
        <v>0</v>
      </c>
      <c r="J715" s="11">
        <f>F715+H715</f>
        <v>0</v>
      </c>
      <c r="K715" s="13">
        <v>0</v>
      </c>
      <c r="L715" s="11">
        <v>0</v>
      </c>
      <c r="M715" s="11">
        <v>0</v>
      </c>
      <c r="N715" s="13">
        <v>0</v>
      </c>
      <c r="O715" s="11">
        <v>0</v>
      </c>
      <c r="P715" s="11">
        <v>0</v>
      </c>
      <c r="Q715" s="13">
        <f>K715+N715</f>
        <v>0</v>
      </c>
      <c r="R715" s="11">
        <f>L715+O715</f>
        <v>0</v>
      </c>
      <c r="S715" s="11">
        <f>M715+P715</f>
        <v>0</v>
      </c>
      <c r="T715" s="8">
        <f>I715-Q715</f>
        <v>0</v>
      </c>
      <c r="U715" s="18">
        <v>-4.9932081784029018E-2</v>
      </c>
      <c r="V715" s="11">
        <v>0</v>
      </c>
      <c r="W715" s="11">
        <v>0</v>
      </c>
      <c r="X715" s="11">
        <v>3</v>
      </c>
      <c r="Y715" s="11">
        <v>1</v>
      </c>
      <c r="Z715" t="s">
        <v>13</v>
      </c>
    </row>
    <row r="716" spans="1:26" x14ac:dyDescent="0.25">
      <c r="A716" s="20" t="s">
        <v>3311</v>
      </c>
      <c r="B716" s="20" t="s">
        <v>60</v>
      </c>
      <c r="C716" s="20" t="s">
        <v>3312</v>
      </c>
      <c r="D716" s="20" t="s">
        <v>216</v>
      </c>
      <c r="E716" s="13">
        <v>0</v>
      </c>
      <c r="F716" s="11">
        <v>0</v>
      </c>
      <c r="G716" s="13">
        <v>14319</v>
      </c>
      <c r="H716" s="11">
        <v>0</v>
      </c>
      <c r="I716" s="13">
        <f>E716+G716</f>
        <v>14319</v>
      </c>
      <c r="J716" s="11">
        <f>F716+H716</f>
        <v>0</v>
      </c>
      <c r="K716" s="13">
        <v>142.68</v>
      </c>
      <c r="L716" s="11">
        <v>0</v>
      </c>
      <c r="M716" s="11">
        <v>0</v>
      </c>
      <c r="N716" s="13">
        <v>11980</v>
      </c>
      <c r="O716" s="11">
        <v>0</v>
      </c>
      <c r="P716" s="11">
        <v>3</v>
      </c>
      <c r="Q716" s="13">
        <f>K716+N716</f>
        <v>12122.68</v>
      </c>
      <c r="R716" s="11">
        <f>L716+O716</f>
        <v>0</v>
      </c>
      <c r="S716" s="11">
        <f>M716+P716</f>
        <v>3</v>
      </c>
      <c r="T716" s="8">
        <f>I716-Q716</f>
        <v>2196.3199999999997</v>
      </c>
      <c r="U716" s="18">
        <v>8.9177852828398838E-2</v>
      </c>
      <c r="V716" s="11">
        <v>0.2</v>
      </c>
      <c r="W716" s="11">
        <v>3</v>
      </c>
      <c r="X716" s="11">
        <v>12</v>
      </c>
      <c r="Y716" s="11">
        <v>3</v>
      </c>
      <c r="Z716" t="s">
        <v>13</v>
      </c>
    </row>
    <row r="717" spans="1:26" x14ac:dyDescent="0.25">
      <c r="A717" s="20" t="s">
        <v>3403</v>
      </c>
      <c r="B717" s="20" t="s">
        <v>60</v>
      </c>
      <c r="C717" s="20" t="s">
        <v>3404</v>
      </c>
      <c r="D717" s="20" t="s">
        <v>216</v>
      </c>
      <c r="E717" s="13">
        <v>1663</v>
      </c>
      <c r="F717" s="11">
        <v>0</v>
      </c>
      <c r="G717" s="13">
        <v>-605.04999999999995</v>
      </c>
      <c r="H717" s="11">
        <v>0</v>
      </c>
      <c r="I717" s="13">
        <f>E717+G717</f>
        <v>1057.95</v>
      </c>
      <c r="J717" s="11">
        <f>F717+H717</f>
        <v>0</v>
      </c>
      <c r="K717" s="13">
        <v>1663</v>
      </c>
      <c r="L717" s="11">
        <v>1</v>
      </c>
      <c r="M717" s="11">
        <v>1</v>
      </c>
      <c r="N717" s="13">
        <v>0</v>
      </c>
      <c r="O717" s="11">
        <v>0</v>
      </c>
      <c r="P717" s="11">
        <v>10</v>
      </c>
      <c r="Q717" s="13">
        <f>K717+N717</f>
        <v>1663</v>
      </c>
      <c r="R717" s="11">
        <f>L717+O717</f>
        <v>1</v>
      </c>
      <c r="S717" s="11">
        <f>M717+P717</f>
        <v>11</v>
      </c>
      <c r="T717" s="8">
        <f>I717-Q717</f>
        <v>-605.04999999999995</v>
      </c>
      <c r="U717" s="18">
        <v>4.038174924728466</v>
      </c>
      <c r="V717" s="11">
        <v>0.25</v>
      </c>
      <c r="W717" s="11">
        <v>10</v>
      </c>
      <c r="X717" s="11">
        <v>30</v>
      </c>
      <c r="Y717" s="11">
        <v>0</v>
      </c>
      <c r="Z717" t="s">
        <v>13</v>
      </c>
    </row>
    <row r="718" spans="1:26" x14ac:dyDescent="0.25">
      <c r="A718" s="20" t="s">
        <v>3405</v>
      </c>
      <c r="B718" s="20" t="s">
        <v>104</v>
      </c>
      <c r="C718" s="20" t="s">
        <v>3406</v>
      </c>
      <c r="D718" s="20" t="s">
        <v>216</v>
      </c>
      <c r="E718" s="13">
        <v>0</v>
      </c>
      <c r="F718" s="11">
        <v>0</v>
      </c>
      <c r="G718" s="13">
        <v>0</v>
      </c>
      <c r="H718" s="11">
        <v>0</v>
      </c>
      <c r="I718" s="13">
        <f>E718+G718</f>
        <v>0</v>
      </c>
      <c r="J718" s="11">
        <f>F718+H718</f>
        <v>0</v>
      </c>
      <c r="K718" s="13">
        <v>0</v>
      </c>
      <c r="L718" s="11">
        <v>0</v>
      </c>
      <c r="M718" s="11">
        <v>0</v>
      </c>
      <c r="N718" s="13">
        <v>0</v>
      </c>
      <c r="O718" s="11">
        <v>0</v>
      </c>
      <c r="P718" s="11">
        <v>0</v>
      </c>
      <c r="Q718" s="13">
        <f>K718+N718</f>
        <v>0</v>
      </c>
      <c r="R718" s="11">
        <f>L718+O718</f>
        <v>0</v>
      </c>
      <c r="S718" s="11">
        <f>M718+P718</f>
        <v>0</v>
      </c>
      <c r="T718" s="8">
        <f>I718-Q718</f>
        <v>0</v>
      </c>
      <c r="U718" s="18" t="s">
        <v>1803</v>
      </c>
      <c r="V718" s="11">
        <v>0</v>
      </c>
      <c r="W718" s="11">
        <v>0</v>
      </c>
      <c r="X718" s="11">
        <v>0</v>
      </c>
      <c r="Y718" s="11">
        <v>0</v>
      </c>
      <c r="Z718" t="s">
        <v>13</v>
      </c>
    </row>
    <row r="719" spans="1:26" x14ac:dyDescent="0.25">
      <c r="A719" s="20" t="s">
        <v>3573</v>
      </c>
      <c r="B719" s="20" t="s">
        <v>60</v>
      </c>
      <c r="C719" s="20" t="s">
        <v>3574</v>
      </c>
      <c r="D719" s="20" t="s">
        <v>216</v>
      </c>
      <c r="E719" s="13">
        <v>0</v>
      </c>
      <c r="F719" s="11">
        <v>0</v>
      </c>
      <c r="G719" s="13">
        <v>0</v>
      </c>
      <c r="H719" s="11">
        <v>0</v>
      </c>
      <c r="I719" s="13">
        <f>E719+G719</f>
        <v>0</v>
      </c>
      <c r="J719" s="11">
        <f>F719+H719</f>
        <v>0</v>
      </c>
      <c r="K719" s="13">
        <v>0</v>
      </c>
      <c r="L719" s="11">
        <v>0</v>
      </c>
      <c r="M719" s="11">
        <v>1</v>
      </c>
      <c r="N719" s="13">
        <v>0</v>
      </c>
      <c r="O719" s="11">
        <v>0</v>
      </c>
      <c r="P719" s="11">
        <v>1</v>
      </c>
      <c r="Q719" s="13">
        <f>K719+N719</f>
        <v>0</v>
      </c>
      <c r="R719" s="11">
        <f>L719+O719</f>
        <v>0</v>
      </c>
      <c r="S719" s="11">
        <f>M719+P719</f>
        <v>2</v>
      </c>
      <c r="T719" s="8">
        <f>I719-Q719</f>
        <v>0</v>
      </c>
      <c r="U719" s="18">
        <v>5.1001829237186228E-2</v>
      </c>
      <c r="V719" s="11">
        <v>0.4</v>
      </c>
      <c r="W719" s="11">
        <v>2</v>
      </c>
      <c r="X719" s="11">
        <v>3</v>
      </c>
      <c r="Y719" s="11">
        <v>0</v>
      </c>
      <c r="Z719" t="s">
        <v>13</v>
      </c>
    </row>
    <row r="720" spans="1:26" x14ac:dyDescent="0.25">
      <c r="A720" s="20" t="s">
        <v>3575</v>
      </c>
      <c r="B720" s="20" t="s">
        <v>241</v>
      </c>
      <c r="C720" s="20" t="s">
        <v>1247</v>
      </c>
      <c r="D720" s="20" t="s">
        <v>216</v>
      </c>
      <c r="E720" s="13">
        <v>0</v>
      </c>
      <c r="F720" s="11">
        <v>0</v>
      </c>
      <c r="G720" s="13">
        <v>0</v>
      </c>
      <c r="H720" s="11">
        <v>0</v>
      </c>
      <c r="I720" s="13">
        <f>E720+G720</f>
        <v>0</v>
      </c>
      <c r="J720" s="11">
        <f>F720+H720</f>
        <v>0</v>
      </c>
      <c r="K720" s="13">
        <v>0</v>
      </c>
      <c r="L720" s="11">
        <v>0</v>
      </c>
      <c r="M720" s="11">
        <v>0</v>
      </c>
      <c r="N720" s="13">
        <v>0</v>
      </c>
      <c r="O720" s="11">
        <v>0</v>
      </c>
      <c r="P720" s="11">
        <v>1</v>
      </c>
      <c r="Q720" s="13">
        <f>K720+N720</f>
        <v>0</v>
      </c>
      <c r="R720" s="11">
        <f>L720+O720</f>
        <v>0</v>
      </c>
      <c r="S720" s="11">
        <f>M720+P720</f>
        <v>1</v>
      </c>
      <c r="T720" s="8">
        <f>I720-Q720</f>
        <v>0</v>
      </c>
      <c r="U720" s="18">
        <v>8.0714641664051984E-2</v>
      </c>
      <c r="V720" s="11">
        <v>0.33</v>
      </c>
      <c r="W720" s="11">
        <v>1</v>
      </c>
      <c r="X720" s="11">
        <v>2</v>
      </c>
      <c r="Y720" s="11">
        <v>0</v>
      </c>
      <c r="Z720" t="s">
        <v>13</v>
      </c>
    </row>
    <row r="721" spans="1:26" x14ac:dyDescent="0.25">
      <c r="A721" s="20" t="s">
        <v>3587</v>
      </c>
      <c r="B721" s="20" t="s">
        <v>241</v>
      </c>
      <c r="C721" s="20" t="s">
        <v>1102</v>
      </c>
      <c r="D721" s="20" t="s">
        <v>216</v>
      </c>
      <c r="E721" s="13">
        <v>0</v>
      </c>
      <c r="F721" s="11">
        <v>0</v>
      </c>
      <c r="G721" s="13">
        <v>0</v>
      </c>
      <c r="H721" s="11">
        <v>0</v>
      </c>
      <c r="I721" s="13">
        <f>E721+G721</f>
        <v>0</v>
      </c>
      <c r="J721" s="11">
        <f>F721+H721</f>
        <v>0</v>
      </c>
      <c r="K721" s="13">
        <v>0</v>
      </c>
      <c r="L721" s="11">
        <v>0</v>
      </c>
      <c r="M721" s="11">
        <v>0</v>
      </c>
      <c r="N721" s="13">
        <v>0</v>
      </c>
      <c r="O721" s="11">
        <v>0</v>
      </c>
      <c r="P721" s="11">
        <v>0</v>
      </c>
      <c r="Q721" s="13">
        <f>K721+N721</f>
        <v>0</v>
      </c>
      <c r="R721" s="11">
        <f>L721+O721</f>
        <v>0</v>
      </c>
      <c r="S721" s="11">
        <f>M721+P721</f>
        <v>0</v>
      </c>
      <c r="T721" s="8">
        <f>I721-Q721</f>
        <v>0</v>
      </c>
      <c r="U721" s="18">
        <v>-6.0282788771326614E-3</v>
      </c>
      <c r="V721" s="11">
        <v>0</v>
      </c>
      <c r="W721" s="11">
        <v>0</v>
      </c>
      <c r="X721" s="11">
        <v>0</v>
      </c>
      <c r="Y721" s="11">
        <v>0</v>
      </c>
      <c r="Z721" t="s">
        <v>13</v>
      </c>
    </row>
    <row r="722" spans="1:26" x14ac:dyDescent="0.25">
      <c r="A722" s="20" t="s">
        <v>1070</v>
      </c>
      <c r="B722" s="20" t="s">
        <v>1070</v>
      </c>
      <c r="C722" s="20" t="s">
        <v>1198</v>
      </c>
      <c r="D722" s="20" t="s">
        <v>216</v>
      </c>
      <c r="E722" s="13">
        <v>50408</v>
      </c>
      <c r="F722" s="11">
        <v>0</v>
      </c>
      <c r="G722" s="13">
        <v>11779</v>
      </c>
      <c r="H722" s="11">
        <v>0</v>
      </c>
      <c r="I722" s="13">
        <f>E722+G722</f>
        <v>62187</v>
      </c>
      <c r="J722" s="11">
        <f>F722+H722</f>
        <v>0</v>
      </c>
      <c r="K722" s="13">
        <v>60672.19</v>
      </c>
      <c r="L722" s="11">
        <v>0</v>
      </c>
      <c r="M722" s="11">
        <v>1</v>
      </c>
      <c r="N722" s="13">
        <v>11466</v>
      </c>
      <c r="O722" s="11">
        <v>1</v>
      </c>
      <c r="P722" s="11">
        <v>3</v>
      </c>
      <c r="Q722" s="13">
        <f>K722+N722</f>
        <v>72138.19</v>
      </c>
      <c r="R722" s="11">
        <f>L722+O722</f>
        <v>1</v>
      </c>
      <c r="S722" s="11">
        <f>M722+P722</f>
        <v>4</v>
      </c>
      <c r="T722" s="8">
        <f>I722-Q722</f>
        <v>-9951.1900000000023</v>
      </c>
      <c r="U722" s="18">
        <v>0.13968531137720872</v>
      </c>
      <c r="V722" s="11">
        <v>0.3</v>
      </c>
      <c r="W722" s="11">
        <v>3</v>
      </c>
      <c r="X722" s="11">
        <v>7</v>
      </c>
      <c r="Y722" s="11">
        <v>1</v>
      </c>
      <c r="Z722" t="s">
        <v>13</v>
      </c>
    </row>
    <row r="723" spans="1:26" x14ac:dyDescent="0.25">
      <c r="A723" s="20" t="s">
        <v>1200</v>
      </c>
      <c r="B723" s="20" t="s">
        <v>1088</v>
      </c>
      <c r="C723" s="20" t="s">
        <v>1201</v>
      </c>
      <c r="D723" s="20" t="s">
        <v>216</v>
      </c>
      <c r="E723" s="13">
        <v>8504</v>
      </c>
      <c r="F723" s="11">
        <v>0</v>
      </c>
      <c r="G723" s="13">
        <v>5835</v>
      </c>
      <c r="H723" s="11">
        <v>0</v>
      </c>
      <c r="I723" s="13">
        <f>E723+G723</f>
        <v>14339</v>
      </c>
      <c r="J723" s="11">
        <f>F723+H723</f>
        <v>0</v>
      </c>
      <c r="K723" s="13">
        <v>7920</v>
      </c>
      <c r="L723" s="11">
        <v>0</v>
      </c>
      <c r="M723" s="11">
        <v>0</v>
      </c>
      <c r="N723" s="13">
        <v>5334</v>
      </c>
      <c r="O723" s="11">
        <v>1</v>
      </c>
      <c r="P723" s="11">
        <v>4</v>
      </c>
      <c r="Q723" s="13">
        <f>K723+N723</f>
        <v>13254</v>
      </c>
      <c r="R723" s="11">
        <f>L723+O723</f>
        <v>1</v>
      </c>
      <c r="S723" s="11">
        <f>M723+P723</f>
        <v>4</v>
      </c>
      <c r="T723" s="8">
        <f>I723-Q723</f>
        <v>1085</v>
      </c>
      <c r="U723" s="18">
        <v>3.1292491402839402</v>
      </c>
      <c r="V723" s="11">
        <v>0.25</v>
      </c>
      <c r="W723" s="11">
        <v>3</v>
      </c>
      <c r="X723" s="11">
        <v>9</v>
      </c>
      <c r="Y723" s="11">
        <v>1</v>
      </c>
      <c r="Z723" t="s">
        <v>39</v>
      </c>
    </row>
    <row r="724" spans="1:26" x14ac:dyDescent="0.25">
      <c r="A724" s="20" t="s">
        <v>1207</v>
      </c>
      <c r="B724" s="20" t="s">
        <v>1088</v>
      </c>
      <c r="C724" s="20" t="s">
        <v>1208</v>
      </c>
      <c r="D724" s="20" t="s">
        <v>216</v>
      </c>
      <c r="E724" s="13">
        <v>5239</v>
      </c>
      <c r="F724" s="11">
        <v>0</v>
      </c>
      <c r="G724" s="13">
        <v>5285</v>
      </c>
      <c r="H724" s="11">
        <v>0</v>
      </c>
      <c r="I724" s="13">
        <f>E724+G724</f>
        <v>10524</v>
      </c>
      <c r="J724" s="11">
        <f>F724+H724</f>
        <v>0</v>
      </c>
      <c r="K724" s="13">
        <v>5029</v>
      </c>
      <c r="L724" s="11">
        <v>0</v>
      </c>
      <c r="M724" s="11">
        <v>0</v>
      </c>
      <c r="N724" s="13">
        <v>6313.5</v>
      </c>
      <c r="O724" s="11">
        <v>1</v>
      </c>
      <c r="P724" s="11">
        <v>2</v>
      </c>
      <c r="Q724" s="13">
        <f>K724+N724</f>
        <v>11342.5</v>
      </c>
      <c r="R724" s="11">
        <f>L724+O724</f>
        <v>1</v>
      </c>
      <c r="S724" s="11">
        <f>M724+P724</f>
        <v>2</v>
      </c>
      <c r="T724" s="8">
        <f>I724-Q724</f>
        <v>-818.5</v>
      </c>
      <c r="U724" s="18">
        <v>5.0026423332459859E-2</v>
      </c>
      <c r="V724" s="11">
        <v>0.33</v>
      </c>
      <c r="W724" s="11">
        <v>1</v>
      </c>
      <c r="X724" s="11">
        <v>2</v>
      </c>
      <c r="Y724" s="11">
        <v>2</v>
      </c>
      <c r="Z724" t="s">
        <v>39</v>
      </c>
    </row>
    <row r="725" spans="1:26" x14ac:dyDescent="0.25">
      <c r="A725" s="20" t="s">
        <v>1211</v>
      </c>
      <c r="B725" s="20" t="s">
        <v>60</v>
      </c>
      <c r="C725" s="20" t="s">
        <v>1212</v>
      </c>
      <c r="D725" s="20" t="s">
        <v>216</v>
      </c>
      <c r="E725" s="13">
        <v>8726.58</v>
      </c>
      <c r="F725" s="11">
        <v>0</v>
      </c>
      <c r="G725" s="13">
        <v>756</v>
      </c>
      <c r="H725" s="11">
        <v>1</v>
      </c>
      <c r="I725" s="13">
        <f>E725+G725</f>
        <v>9482.58</v>
      </c>
      <c r="J725" s="11">
        <f>F725+H725</f>
        <v>1</v>
      </c>
      <c r="K725" s="13">
        <v>9215</v>
      </c>
      <c r="L725" s="11">
        <v>0</v>
      </c>
      <c r="M725" s="11">
        <v>1</v>
      </c>
      <c r="N725" s="13">
        <v>0</v>
      </c>
      <c r="O725" s="11">
        <v>0</v>
      </c>
      <c r="P725" s="11">
        <v>2</v>
      </c>
      <c r="Q725" s="13">
        <f>K725+N725</f>
        <v>9215</v>
      </c>
      <c r="R725" s="11">
        <f>L725+O725</f>
        <v>0</v>
      </c>
      <c r="S725" s="11">
        <f>M725+P725</f>
        <v>3</v>
      </c>
      <c r="T725" s="8">
        <f>I725-Q725</f>
        <v>267.57999999999993</v>
      </c>
      <c r="U725" s="18">
        <v>0.11573069009885949</v>
      </c>
      <c r="V725" s="11">
        <v>0.22</v>
      </c>
      <c r="W725" s="11">
        <v>4</v>
      </c>
      <c r="X725" s="11">
        <v>14</v>
      </c>
      <c r="Y725" s="11">
        <v>7</v>
      </c>
      <c r="Z725" t="s">
        <v>39</v>
      </c>
    </row>
    <row r="726" spans="1:26" x14ac:dyDescent="0.25">
      <c r="A726" s="20" t="s">
        <v>1215</v>
      </c>
      <c r="B726" s="20" t="s">
        <v>60</v>
      </c>
      <c r="C726" s="20" t="s">
        <v>1216</v>
      </c>
      <c r="D726" s="20" t="s">
        <v>216</v>
      </c>
      <c r="E726" s="13">
        <v>1406</v>
      </c>
      <c r="F726" s="11">
        <v>0</v>
      </c>
      <c r="G726" s="13">
        <v>19375</v>
      </c>
      <c r="H726" s="11">
        <v>1</v>
      </c>
      <c r="I726" s="13">
        <f>E726+G726</f>
        <v>20781</v>
      </c>
      <c r="J726" s="11">
        <f>F726+H726</f>
        <v>1</v>
      </c>
      <c r="K726" s="13">
        <v>-655.95</v>
      </c>
      <c r="L726" s="11">
        <v>0</v>
      </c>
      <c r="M726" s="11">
        <v>0</v>
      </c>
      <c r="N726" s="13">
        <v>13057</v>
      </c>
      <c r="O726" s="11">
        <v>0</v>
      </c>
      <c r="P726" s="11">
        <v>0</v>
      </c>
      <c r="Q726" s="13">
        <f>K726+N726</f>
        <v>12401.05</v>
      </c>
      <c r="R726" s="11">
        <f>L726+O726</f>
        <v>0</v>
      </c>
      <c r="S726" s="11">
        <f>M726+P726</f>
        <v>0</v>
      </c>
      <c r="T726" s="8">
        <f>I726-Q726</f>
        <v>8379.9500000000007</v>
      </c>
      <c r="U726" s="18">
        <v>0.45069590196115228</v>
      </c>
      <c r="V726" s="11">
        <v>0.25</v>
      </c>
      <c r="W726" s="11">
        <v>1</v>
      </c>
      <c r="X726" s="11">
        <v>3</v>
      </c>
      <c r="Y726" s="11">
        <v>3</v>
      </c>
      <c r="Z726" t="s">
        <v>39</v>
      </c>
    </row>
    <row r="727" spans="1:26" x14ac:dyDescent="0.25">
      <c r="A727" s="20" t="s">
        <v>1217</v>
      </c>
      <c r="B727" s="20" t="s">
        <v>1088</v>
      </c>
      <c r="C727" s="20" t="s">
        <v>1218</v>
      </c>
      <c r="D727" s="20" t="s">
        <v>216</v>
      </c>
      <c r="E727" s="13">
        <v>4913</v>
      </c>
      <c r="F727" s="11">
        <v>0</v>
      </c>
      <c r="G727" s="13">
        <v>0</v>
      </c>
      <c r="H727" s="11">
        <v>0</v>
      </c>
      <c r="I727" s="13">
        <f>E727+G727</f>
        <v>4913</v>
      </c>
      <c r="J727" s="11">
        <f>F727+H727</f>
        <v>0</v>
      </c>
      <c r="K727" s="13">
        <v>2293</v>
      </c>
      <c r="L727" s="11">
        <v>0</v>
      </c>
      <c r="M727" s="11">
        <v>1</v>
      </c>
      <c r="N727" s="13">
        <v>0</v>
      </c>
      <c r="O727" s="11">
        <v>0</v>
      </c>
      <c r="P727" s="11">
        <v>2</v>
      </c>
      <c r="Q727" s="13">
        <f>K727+N727</f>
        <v>2293</v>
      </c>
      <c r="R727" s="11">
        <f>L727+O727</f>
        <v>0</v>
      </c>
      <c r="S727" s="11">
        <f>M727+P727</f>
        <v>3</v>
      </c>
      <c r="T727" s="8">
        <f>I727-Q727</f>
        <v>2620</v>
      </c>
      <c r="U727" s="18">
        <v>0.15148362428421855</v>
      </c>
      <c r="V727" s="11">
        <v>0.2</v>
      </c>
      <c r="W727" s="11">
        <v>3</v>
      </c>
      <c r="X727" s="11">
        <v>12</v>
      </c>
      <c r="Y727" s="11">
        <v>10</v>
      </c>
      <c r="Z727" t="s">
        <v>39</v>
      </c>
    </row>
    <row r="728" spans="1:26" x14ac:dyDescent="0.25">
      <c r="A728" s="20" t="s">
        <v>1220</v>
      </c>
      <c r="B728" s="20" t="s">
        <v>60</v>
      </c>
      <c r="C728" s="20" t="s">
        <v>1221</v>
      </c>
      <c r="D728" s="20" t="s">
        <v>216</v>
      </c>
      <c r="E728" s="13">
        <v>0</v>
      </c>
      <c r="F728" s="11">
        <v>0</v>
      </c>
      <c r="G728" s="13">
        <v>0</v>
      </c>
      <c r="H728" s="11">
        <v>0</v>
      </c>
      <c r="I728" s="13">
        <f>E728+G728</f>
        <v>0</v>
      </c>
      <c r="J728" s="11">
        <f>F728+H728</f>
        <v>0</v>
      </c>
      <c r="K728" s="13">
        <v>0</v>
      </c>
      <c r="L728" s="11">
        <v>0</v>
      </c>
      <c r="M728" s="11">
        <v>0</v>
      </c>
      <c r="N728" s="13">
        <v>0</v>
      </c>
      <c r="O728" s="11">
        <v>0</v>
      </c>
      <c r="P728" s="11">
        <v>0</v>
      </c>
      <c r="Q728" s="13">
        <f>K728+N728</f>
        <v>0</v>
      </c>
      <c r="R728" s="11">
        <f>L728+O728</f>
        <v>0</v>
      </c>
      <c r="S728" s="11">
        <f>M728+P728</f>
        <v>0</v>
      </c>
      <c r="T728" s="8">
        <f>I728-Q728</f>
        <v>0</v>
      </c>
      <c r="U728" s="18">
        <v>-1.8414938166992105</v>
      </c>
      <c r="V728" s="11">
        <v>0</v>
      </c>
      <c r="W728" s="11">
        <v>0</v>
      </c>
      <c r="X728" s="11">
        <v>0</v>
      </c>
      <c r="Y728" s="11">
        <v>1</v>
      </c>
      <c r="Z728" t="s">
        <v>39</v>
      </c>
    </row>
    <row r="729" spans="1:26" x14ac:dyDescent="0.25">
      <c r="A729" s="20" t="s">
        <v>1222</v>
      </c>
      <c r="B729" s="20" t="s">
        <v>60</v>
      </c>
      <c r="C729" s="20" t="s">
        <v>1223</v>
      </c>
      <c r="D729" s="20" t="s">
        <v>216</v>
      </c>
      <c r="E729" s="13">
        <v>397.69</v>
      </c>
      <c r="F729" s="11">
        <v>0</v>
      </c>
      <c r="G729" s="13">
        <v>0</v>
      </c>
      <c r="H729" s="11">
        <v>0</v>
      </c>
      <c r="I729" s="13">
        <f>E729+G729</f>
        <v>397.69</v>
      </c>
      <c r="J729" s="11">
        <f>F729+H729</f>
        <v>0</v>
      </c>
      <c r="K729" s="13">
        <v>1514.4</v>
      </c>
      <c r="L729" s="11">
        <v>0</v>
      </c>
      <c r="M729" s="11">
        <v>0</v>
      </c>
      <c r="N729" s="13">
        <v>0</v>
      </c>
      <c r="O729" s="11">
        <v>0</v>
      </c>
      <c r="P729" s="11">
        <v>0</v>
      </c>
      <c r="Q729" s="13">
        <f>K729+N729</f>
        <v>1514.4</v>
      </c>
      <c r="R729" s="11">
        <f>L729+O729</f>
        <v>0</v>
      </c>
      <c r="S729" s="11">
        <f>M729+P729</f>
        <v>0</v>
      </c>
      <c r="T729" s="8">
        <f>I729-Q729</f>
        <v>-1116.71</v>
      </c>
      <c r="U729" s="18">
        <v>0.20261489291685014</v>
      </c>
      <c r="V729" s="11">
        <v>0</v>
      </c>
      <c r="W729" s="11">
        <v>0</v>
      </c>
      <c r="X729" s="11">
        <v>2</v>
      </c>
      <c r="Y729" s="11">
        <v>0</v>
      </c>
      <c r="Z729" t="s">
        <v>39</v>
      </c>
    </row>
    <row r="730" spans="1:26" x14ac:dyDescent="0.25">
      <c r="A730" s="20" t="s">
        <v>1199</v>
      </c>
      <c r="B730" s="20" t="s">
        <v>1199</v>
      </c>
      <c r="C730" s="20" t="s">
        <v>1224</v>
      </c>
      <c r="D730" s="20" t="s">
        <v>216</v>
      </c>
      <c r="E730" s="13">
        <v>8784.3700000000008</v>
      </c>
      <c r="F730" s="11">
        <v>0</v>
      </c>
      <c r="G730" s="13">
        <v>19065</v>
      </c>
      <c r="H730" s="11">
        <v>0</v>
      </c>
      <c r="I730" s="13">
        <f>E730+G730</f>
        <v>27849.370000000003</v>
      </c>
      <c r="J730" s="11">
        <f>F730+H730</f>
        <v>0</v>
      </c>
      <c r="K730" s="13">
        <v>6225</v>
      </c>
      <c r="L730" s="11">
        <v>0</v>
      </c>
      <c r="M730" s="11">
        <v>1</v>
      </c>
      <c r="N730" s="13">
        <v>4275.4399999999996</v>
      </c>
      <c r="O730" s="11">
        <v>0</v>
      </c>
      <c r="P730" s="11">
        <v>3</v>
      </c>
      <c r="Q730" s="13">
        <f>K730+N730</f>
        <v>10500.439999999999</v>
      </c>
      <c r="R730" s="11">
        <f>L730+O730</f>
        <v>0</v>
      </c>
      <c r="S730" s="11">
        <f>M730+P730</f>
        <v>4</v>
      </c>
      <c r="T730" s="8">
        <f>I730-Q730</f>
        <v>17348.930000000004</v>
      </c>
      <c r="U730" s="18">
        <v>2.5913344282066601E-2</v>
      </c>
      <c r="V730" s="11">
        <v>0.13</v>
      </c>
      <c r="W730" s="11">
        <v>4</v>
      </c>
      <c r="X730" s="11">
        <v>27</v>
      </c>
      <c r="Y730" s="11">
        <v>32</v>
      </c>
      <c r="Z730" t="s">
        <v>39</v>
      </c>
    </row>
    <row r="731" spans="1:26" x14ac:dyDescent="0.25">
      <c r="A731" s="20" t="s">
        <v>1219</v>
      </c>
      <c r="B731" s="20" t="s">
        <v>1219</v>
      </c>
      <c r="C731" s="20" t="s">
        <v>1225</v>
      </c>
      <c r="D731" s="20" t="s">
        <v>216</v>
      </c>
      <c r="E731" s="13">
        <v>654</v>
      </c>
      <c r="F731" s="11">
        <v>0</v>
      </c>
      <c r="G731" s="13">
        <v>0</v>
      </c>
      <c r="H731" s="11">
        <v>0</v>
      </c>
      <c r="I731" s="13">
        <f>E731+G731</f>
        <v>654</v>
      </c>
      <c r="J731" s="11">
        <f>F731+H731</f>
        <v>0</v>
      </c>
      <c r="K731" s="13">
        <v>646</v>
      </c>
      <c r="L731" s="11">
        <v>0</v>
      </c>
      <c r="M731" s="11">
        <v>0</v>
      </c>
      <c r="N731" s="13">
        <v>0</v>
      </c>
      <c r="O731" s="11">
        <v>0</v>
      </c>
      <c r="P731" s="11">
        <v>0</v>
      </c>
      <c r="Q731" s="13">
        <f>K731+N731</f>
        <v>646</v>
      </c>
      <c r="R731" s="11">
        <f>L731+O731</f>
        <v>0</v>
      </c>
      <c r="S731" s="11">
        <f>M731+P731</f>
        <v>0</v>
      </c>
      <c r="T731" s="8">
        <f>I731-Q731</f>
        <v>8</v>
      </c>
      <c r="U731" s="18">
        <v>0.18455863901729647</v>
      </c>
      <c r="V731" s="11">
        <v>0</v>
      </c>
      <c r="W731" s="11">
        <v>0</v>
      </c>
      <c r="X731" s="11">
        <v>0</v>
      </c>
      <c r="Y731" s="11">
        <v>0</v>
      </c>
      <c r="Z731" t="s">
        <v>39</v>
      </c>
    </row>
    <row r="732" spans="1:26" x14ac:dyDescent="0.25">
      <c r="A732" s="20" t="s">
        <v>1088</v>
      </c>
      <c r="B732" s="20" t="s">
        <v>1088</v>
      </c>
      <c r="C732" s="20" t="s">
        <v>1230</v>
      </c>
      <c r="D732" s="20" t="s">
        <v>216</v>
      </c>
      <c r="E732" s="13">
        <v>0</v>
      </c>
      <c r="F732" s="11">
        <v>0</v>
      </c>
      <c r="G732" s="13">
        <v>0</v>
      </c>
      <c r="H732" s="11">
        <v>0</v>
      </c>
      <c r="I732" s="13">
        <f>E732+G732</f>
        <v>0</v>
      </c>
      <c r="J732" s="11">
        <f>F732+H732</f>
        <v>0</v>
      </c>
      <c r="K732" s="13">
        <v>0</v>
      </c>
      <c r="L732" s="11">
        <v>0</v>
      </c>
      <c r="M732" s="11">
        <v>0</v>
      </c>
      <c r="N732" s="13">
        <v>0</v>
      </c>
      <c r="O732" s="11">
        <v>0</v>
      </c>
      <c r="P732" s="11">
        <v>0</v>
      </c>
      <c r="Q732" s="13">
        <f>K732+N732</f>
        <v>0</v>
      </c>
      <c r="R732" s="11">
        <f>L732+O732</f>
        <v>0</v>
      </c>
      <c r="S732" s="11">
        <f>M732+P732</f>
        <v>0</v>
      </c>
      <c r="T732" s="8">
        <f>I732-Q732</f>
        <v>0</v>
      </c>
      <c r="U732" s="18" t="s">
        <v>1803</v>
      </c>
      <c r="V732" s="11">
        <v>0</v>
      </c>
      <c r="W732" s="11">
        <v>0</v>
      </c>
      <c r="X732" s="11">
        <v>0</v>
      </c>
      <c r="Y732" s="11">
        <v>0</v>
      </c>
      <c r="Z732" t="s">
        <v>39</v>
      </c>
    </row>
    <row r="733" spans="1:26" x14ac:dyDescent="0.25">
      <c r="A733" s="20" t="s">
        <v>1232</v>
      </c>
      <c r="B733" s="20" t="s">
        <v>60</v>
      </c>
      <c r="C733" s="20" t="s">
        <v>1233</v>
      </c>
      <c r="D733" s="20" t="s">
        <v>216</v>
      </c>
      <c r="E733" s="13">
        <v>2851</v>
      </c>
      <c r="F733" s="11">
        <v>0</v>
      </c>
      <c r="G733" s="13">
        <v>0</v>
      </c>
      <c r="H733" s="11">
        <v>0</v>
      </c>
      <c r="I733" s="13">
        <f>E733+G733</f>
        <v>2851</v>
      </c>
      <c r="J733" s="11">
        <f>F733+H733</f>
        <v>0</v>
      </c>
      <c r="K733" s="13">
        <v>0</v>
      </c>
      <c r="L733" s="11">
        <v>0</v>
      </c>
      <c r="M733" s="11">
        <v>1</v>
      </c>
      <c r="N733" s="13">
        <v>0</v>
      </c>
      <c r="O733" s="11">
        <v>0</v>
      </c>
      <c r="P733" s="11">
        <v>0</v>
      </c>
      <c r="Q733" s="13">
        <f>K733+N733</f>
        <v>0</v>
      </c>
      <c r="R733" s="11">
        <f>L733+O733</f>
        <v>0</v>
      </c>
      <c r="S733" s="11">
        <f>M733+P733</f>
        <v>1</v>
      </c>
      <c r="T733" s="8">
        <f>I733-Q733</f>
        <v>2851</v>
      </c>
      <c r="U733" s="18">
        <v>5.284947008334033E-3</v>
      </c>
      <c r="V733" s="11">
        <v>0.5</v>
      </c>
      <c r="W733" s="11">
        <v>1</v>
      </c>
      <c r="X733" s="11">
        <v>1</v>
      </c>
      <c r="Y733" s="11">
        <v>0</v>
      </c>
      <c r="Z733" t="s">
        <v>39</v>
      </c>
    </row>
    <row r="734" spans="1:26" x14ac:dyDescent="0.25">
      <c r="A734" s="20" t="s">
        <v>1234</v>
      </c>
      <c r="B734" s="20" t="s">
        <v>477</v>
      </c>
      <c r="C734" s="20" t="s">
        <v>1235</v>
      </c>
      <c r="D734" s="20" t="s">
        <v>216</v>
      </c>
      <c r="E734" s="13">
        <v>47858.77</v>
      </c>
      <c r="F734" s="11">
        <v>0</v>
      </c>
      <c r="G734" s="13">
        <v>38885.78</v>
      </c>
      <c r="H734" s="11">
        <v>1</v>
      </c>
      <c r="I734" s="13">
        <f>E734+G734</f>
        <v>86744.549999999988</v>
      </c>
      <c r="J734" s="11">
        <f>F734+H734</f>
        <v>1</v>
      </c>
      <c r="K734" s="13">
        <v>46727.3</v>
      </c>
      <c r="L734" s="11">
        <v>0</v>
      </c>
      <c r="M734" s="11">
        <v>0</v>
      </c>
      <c r="N734" s="13">
        <v>48937</v>
      </c>
      <c r="O734" s="11">
        <v>0</v>
      </c>
      <c r="P734" s="11">
        <v>3</v>
      </c>
      <c r="Q734" s="13">
        <f>K734+N734</f>
        <v>95664.3</v>
      </c>
      <c r="R734" s="11">
        <f>L734+O734</f>
        <v>0</v>
      </c>
      <c r="S734" s="11">
        <f>M734+P734</f>
        <v>3</v>
      </c>
      <c r="T734" s="8">
        <f>I734-Q734</f>
        <v>-8919.7500000000146</v>
      </c>
      <c r="U734" s="18">
        <v>0.14254774207871015</v>
      </c>
      <c r="V734" s="11">
        <v>0.13</v>
      </c>
      <c r="W734" s="11">
        <v>4</v>
      </c>
      <c r="X734" s="11">
        <v>26</v>
      </c>
      <c r="Y734" s="11">
        <v>24</v>
      </c>
      <c r="Z734" t="s">
        <v>39</v>
      </c>
    </row>
    <row r="735" spans="1:26" x14ac:dyDescent="0.25">
      <c r="A735" s="20" t="s">
        <v>1238</v>
      </c>
      <c r="B735" s="20" t="s">
        <v>91</v>
      </c>
      <c r="C735" s="20" t="s">
        <v>1226</v>
      </c>
      <c r="D735" s="20" t="s">
        <v>216</v>
      </c>
      <c r="E735" s="13">
        <v>0</v>
      </c>
      <c r="F735" s="11">
        <v>0</v>
      </c>
      <c r="G735" s="13">
        <v>1576</v>
      </c>
      <c r="H735" s="11">
        <v>0</v>
      </c>
      <c r="I735" s="13">
        <f>E735+G735</f>
        <v>1576</v>
      </c>
      <c r="J735" s="11">
        <f>F735+H735</f>
        <v>0</v>
      </c>
      <c r="K735" s="13">
        <v>0</v>
      </c>
      <c r="L735" s="11">
        <v>0</v>
      </c>
      <c r="M735" s="11">
        <v>0</v>
      </c>
      <c r="N735" s="13">
        <v>1448</v>
      </c>
      <c r="O735" s="11">
        <v>0</v>
      </c>
      <c r="P735" s="11">
        <v>0</v>
      </c>
      <c r="Q735" s="13">
        <f>K735+N735</f>
        <v>1448</v>
      </c>
      <c r="R735" s="11">
        <f>L735+O735</f>
        <v>0</v>
      </c>
      <c r="S735" s="11">
        <f>M735+P735</f>
        <v>0</v>
      </c>
      <c r="T735" s="8">
        <f>I735-Q735</f>
        <v>128</v>
      </c>
      <c r="U735" s="18">
        <v>-0.19397286830566363</v>
      </c>
      <c r="V735" s="11">
        <v>0</v>
      </c>
      <c r="W735" s="11">
        <v>0</v>
      </c>
      <c r="X735" s="11">
        <v>3</v>
      </c>
      <c r="Y735" s="11">
        <v>6</v>
      </c>
      <c r="Z735" t="s">
        <v>39</v>
      </c>
    </row>
    <row r="736" spans="1:26" x14ac:dyDescent="0.25">
      <c r="A736" s="20" t="s">
        <v>1241</v>
      </c>
      <c r="B736" s="20" t="s">
        <v>1179</v>
      </c>
      <c r="C736" s="20" t="s">
        <v>1203</v>
      </c>
      <c r="D736" s="20" t="s">
        <v>216</v>
      </c>
      <c r="E736" s="13">
        <v>16874.25</v>
      </c>
      <c r="F736" s="11">
        <v>0</v>
      </c>
      <c r="G736" s="13">
        <v>-17682.580000000002</v>
      </c>
      <c r="H736" s="11">
        <v>0</v>
      </c>
      <c r="I736" s="13">
        <f>E736+G736</f>
        <v>-808.33000000000175</v>
      </c>
      <c r="J736" s="11">
        <f>F736+H736</f>
        <v>0</v>
      </c>
      <c r="K736" s="13">
        <v>15504</v>
      </c>
      <c r="L736" s="11">
        <v>0</v>
      </c>
      <c r="M736" s="11">
        <v>1</v>
      </c>
      <c r="N736" s="13">
        <v>22274</v>
      </c>
      <c r="O736" s="11">
        <v>0</v>
      </c>
      <c r="P736" s="11">
        <v>0</v>
      </c>
      <c r="Q736" s="13">
        <f>K736+N736</f>
        <v>37778</v>
      </c>
      <c r="R736" s="11">
        <f>L736+O736</f>
        <v>0</v>
      </c>
      <c r="S736" s="11">
        <f>M736+P736</f>
        <v>1</v>
      </c>
      <c r="T736" s="8">
        <f>I736-Q736</f>
        <v>-38586.33</v>
      </c>
      <c r="U736" s="18">
        <v>0.3538447835674709</v>
      </c>
      <c r="V736" s="11">
        <v>0.17</v>
      </c>
      <c r="W736" s="11">
        <v>1</v>
      </c>
      <c r="X736" s="11">
        <v>5</v>
      </c>
      <c r="Y736" s="11">
        <v>0</v>
      </c>
      <c r="Z736" t="s">
        <v>39</v>
      </c>
    </row>
    <row r="737" spans="1:26" x14ac:dyDescent="0.25">
      <c r="A737" s="20" t="s">
        <v>1179</v>
      </c>
      <c r="B737" s="20" t="s">
        <v>1179</v>
      </c>
      <c r="C737" s="20" t="s">
        <v>1242</v>
      </c>
      <c r="D737" s="20" t="s">
        <v>216</v>
      </c>
      <c r="E737" s="13">
        <v>4441</v>
      </c>
      <c r="F737" s="11">
        <v>0</v>
      </c>
      <c r="G737" s="13">
        <v>0</v>
      </c>
      <c r="H737" s="11">
        <v>0</v>
      </c>
      <c r="I737" s="13">
        <f>E737+G737</f>
        <v>4441</v>
      </c>
      <c r="J737" s="11">
        <f>F737+H737</f>
        <v>0</v>
      </c>
      <c r="K737" s="13">
        <v>4036</v>
      </c>
      <c r="L737" s="11">
        <v>0</v>
      </c>
      <c r="M737" s="11">
        <v>0</v>
      </c>
      <c r="N737" s="13">
        <v>3000</v>
      </c>
      <c r="O737" s="11">
        <v>0</v>
      </c>
      <c r="P737" s="11">
        <v>0</v>
      </c>
      <c r="Q737" s="13">
        <f>K737+N737</f>
        <v>7036</v>
      </c>
      <c r="R737" s="11">
        <f>L737+O737</f>
        <v>0</v>
      </c>
      <c r="S737" s="11">
        <f>M737+P737</f>
        <v>0</v>
      </c>
      <c r="T737" s="8">
        <f>I737-Q737</f>
        <v>-2595</v>
      </c>
      <c r="U737" s="18">
        <v>-4.8229068440835696E-3</v>
      </c>
      <c r="V737" s="11">
        <v>0</v>
      </c>
      <c r="W737" s="11">
        <v>0</v>
      </c>
      <c r="X737" s="11">
        <v>0</v>
      </c>
      <c r="Y737" s="11">
        <v>0</v>
      </c>
      <c r="Z737" t="s">
        <v>39</v>
      </c>
    </row>
    <row r="738" spans="1:26" x14ac:dyDescent="0.25">
      <c r="A738" s="20" t="s">
        <v>1205</v>
      </c>
      <c r="B738" s="20" t="s">
        <v>1205</v>
      </c>
      <c r="C738" s="20" t="s">
        <v>1243</v>
      </c>
      <c r="D738" s="20" t="s">
        <v>216</v>
      </c>
      <c r="E738" s="13">
        <v>0</v>
      </c>
      <c r="F738" s="11">
        <v>0</v>
      </c>
      <c r="G738" s="13">
        <v>0</v>
      </c>
      <c r="H738" s="11">
        <v>0</v>
      </c>
      <c r="I738" s="13">
        <f>E738+G738</f>
        <v>0</v>
      </c>
      <c r="J738" s="11">
        <f>F738+H738</f>
        <v>0</v>
      </c>
      <c r="K738" s="13">
        <v>0</v>
      </c>
      <c r="L738" s="11">
        <v>0</v>
      </c>
      <c r="M738" s="11">
        <v>0</v>
      </c>
      <c r="N738" s="13">
        <v>0</v>
      </c>
      <c r="O738" s="11">
        <v>0</v>
      </c>
      <c r="P738" s="11">
        <v>0</v>
      </c>
      <c r="Q738" s="13">
        <f>K738+N738</f>
        <v>0</v>
      </c>
      <c r="R738" s="11">
        <f>L738+O738</f>
        <v>0</v>
      </c>
      <c r="S738" s="11">
        <f>M738+P738</f>
        <v>0</v>
      </c>
      <c r="T738" s="8">
        <f>I738-Q738</f>
        <v>0</v>
      </c>
      <c r="U738" s="18" t="s">
        <v>1803</v>
      </c>
      <c r="V738" s="11">
        <v>0</v>
      </c>
      <c r="W738" s="11">
        <v>0</v>
      </c>
      <c r="X738" s="11">
        <v>0</v>
      </c>
      <c r="Y738" s="11">
        <v>0</v>
      </c>
      <c r="Z738" t="s">
        <v>39</v>
      </c>
    </row>
    <row r="739" spans="1:26" x14ac:dyDescent="0.25">
      <c r="A739" s="20" t="s">
        <v>1244</v>
      </c>
      <c r="B739" s="20" t="s">
        <v>60</v>
      </c>
      <c r="C739" s="20" t="s">
        <v>1245</v>
      </c>
      <c r="D739" s="20" t="s">
        <v>216</v>
      </c>
      <c r="E739" s="13">
        <v>0</v>
      </c>
      <c r="F739" s="11">
        <v>0</v>
      </c>
      <c r="G739" s="13">
        <v>0</v>
      </c>
      <c r="H739" s="11">
        <v>0</v>
      </c>
      <c r="I739" s="13">
        <f>E739+G739</f>
        <v>0</v>
      </c>
      <c r="J739" s="11">
        <f>F739+H739</f>
        <v>0</v>
      </c>
      <c r="K739" s="13">
        <v>0</v>
      </c>
      <c r="L739" s="11">
        <v>0</v>
      </c>
      <c r="M739" s="11">
        <v>0</v>
      </c>
      <c r="N739" s="13">
        <v>0</v>
      </c>
      <c r="O739" s="11">
        <v>0</v>
      </c>
      <c r="P739" s="11">
        <v>0</v>
      </c>
      <c r="Q739" s="13">
        <f>K739+N739</f>
        <v>0</v>
      </c>
      <c r="R739" s="11">
        <f>L739+O739</f>
        <v>0</v>
      </c>
      <c r="S739" s="11">
        <f>M739+P739</f>
        <v>0</v>
      </c>
      <c r="T739" s="8">
        <f>I739-Q739</f>
        <v>0</v>
      </c>
      <c r="U739" s="18">
        <v>5.1900963306018941E-4</v>
      </c>
      <c r="V739" s="11">
        <v>0</v>
      </c>
      <c r="W739" s="11">
        <v>0</v>
      </c>
      <c r="X739" s="11">
        <v>0</v>
      </c>
      <c r="Y739" s="11">
        <v>0</v>
      </c>
      <c r="Z739" t="s">
        <v>39</v>
      </c>
    </row>
    <row r="740" spans="1:26" x14ac:dyDescent="0.25">
      <c r="A740" s="20" t="s">
        <v>1538</v>
      </c>
      <c r="B740" s="20" t="s">
        <v>477</v>
      </c>
      <c r="C740" s="20" t="s">
        <v>1235</v>
      </c>
      <c r="D740" s="20" t="s">
        <v>215</v>
      </c>
      <c r="E740" s="13">
        <v>0</v>
      </c>
      <c r="F740" s="11">
        <v>0</v>
      </c>
      <c r="G740" s="13">
        <v>0</v>
      </c>
      <c r="H740" s="11">
        <v>0</v>
      </c>
      <c r="I740" s="13">
        <f>E740+G740</f>
        <v>0</v>
      </c>
      <c r="J740" s="11">
        <f>F740+H740</f>
        <v>0</v>
      </c>
      <c r="K740" s="13">
        <v>0</v>
      </c>
      <c r="L740" s="11">
        <v>0</v>
      </c>
      <c r="M740" s="11">
        <v>0</v>
      </c>
      <c r="N740" s="13">
        <v>2546</v>
      </c>
      <c r="O740" s="11">
        <v>0</v>
      </c>
      <c r="P740" s="11">
        <v>1</v>
      </c>
      <c r="Q740" s="13">
        <f>K740+N740</f>
        <v>2546</v>
      </c>
      <c r="R740" s="11">
        <f>L740+O740</f>
        <v>0</v>
      </c>
      <c r="S740" s="11">
        <f>M740+P740</f>
        <v>1</v>
      </c>
      <c r="T740" s="8">
        <f>I740-Q740</f>
        <v>-2546</v>
      </c>
      <c r="U740" s="18" t="s">
        <v>1803</v>
      </c>
      <c r="V740" s="11">
        <v>0.12</v>
      </c>
      <c r="W740" s="11">
        <v>1</v>
      </c>
      <c r="X740" s="11">
        <v>7</v>
      </c>
      <c r="Y740" s="11">
        <v>0</v>
      </c>
      <c r="Z740" t="s">
        <v>39</v>
      </c>
    </row>
    <row r="741" spans="1:26" x14ac:dyDescent="0.25">
      <c r="A741" s="20" t="s">
        <v>1248</v>
      </c>
      <c r="B741" s="20" t="s">
        <v>1199</v>
      </c>
      <c r="C741" s="20" t="s">
        <v>1224</v>
      </c>
      <c r="D741" s="20" t="s">
        <v>215</v>
      </c>
      <c r="E741" s="13">
        <v>-4208.54</v>
      </c>
      <c r="F741" s="11">
        <v>0</v>
      </c>
      <c r="G741" s="13">
        <v>2771.39</v>
      </c>
      <c r="H741" s="11">
        <v>0</v>
      </c>
      <c r="I741" s="13">
        <f>E741+G741</f>
        <v>-1437.15</v>
      </c>
      <c r="J741" s="11">
        <f>F741+H741</f>
        <v>0</v>
      </c>
      <c r="K741" s="13">
        <v>1033</v>
      </c>
      <c r="L741" s="11">
        <v>0</v>
      </c>
      <c r="M741" s="11">
        <v>0</v>
      </c>
      <c r="N741" s="13">
        <v>16864.41</v>
      </c>
      <c r="O741" s="11">
        <v>2</v>
      </c>
      <c r="P741" s="11">
        <v>2</v>
      </c>
      <c r="Q741" s="13">
        <f>K741+N741</f>
        <v>17897.41</v>
      </c>
      <c r="R741" s="11">
        <f>L741+O741</f>
        <v>2</v>
      </c>
      <c r="S741" s="11">
        <f>M741+P741</f>
        <v>2</v>
      </c>
      <c r="T741" s="8">
        <f>I741-Q741</f>
        <v>-19334.560000000001</v>
      </c>
      <c r="U741" s="18" t="s">
        <v>1803</v>
      </c>
      <c r="V741" s="11">
        <v>0</v>
      </c>
      <c r="W741" s="11">
        <v>0</v>
      </c>
      <c r="X741" s="11">
        <v>2</v>
      </c>
      <c r="Y741" s="11">
        <v>5</v>
      </c>
      <c r="Z741" t="s">
        <v>39</v>
      </c>
    </row>
    <row r="742" spans="1:26" x14ac:dyDescent="0.25">
      <c r="A742" s="20" t="s">
        <v>1249</v>
      </c>
      <c r="B742" s="20" t="s">
        <v>241</v>
      </c>
      <c r="C742" s="20" t="s">
        <v>1247</v>
      </c>
      <c r="D742" s="20" t="s">
        <v>216</v>
      </c>
      <c r="E742" s="13">
        <v>0</v>
      </c>
      <c r="F742" s="11">
        <v>0</v>
      </c>
      <c r="G742" s="13">
        <v>788.25</v>
      </c>
      <c r="H742" s="11">
        <v>1</v>
      </c>
      <c r="I742" s="13">
        <f>E742+G742</f>
        <v>788.25</v>
      </c>
      <c r="J742" s="11">
        <f>F742+H742</f>
        <v>1</v>
      </c>
      <c r="K742" s="13">
        <v>0</v>
      </c>
      <c r="L742" s="11">
        <v>0</v>
      </c>
      <c r="M742" s="11">
        <v>0</v>
      </c>
      <c r="N742" s="13">
        <v>0</v>
      </c>
      <c r="O742" s="11">
        <v>0</v>
      </c>
      <c r="P742" s="11">
        <v>0</v>
      </c>
      <c r="Q742" s="13">
        <f>K742+N742</f>
        <v>0</v>
      </c>
      <c r="R742" s="11">
        <f>L742+O742</f>
        <v>0</v>
      </c>
      <c r="S742" s="11">
        <f>M742+P742</f>
        <v>0</v>
      </c>
      <c r="T742" s="8">
        <f>I742-Q742</f>
        <v>788.25</v>
      </c>
      <c r="U742" s="18">
        <v>7.0224756960794582E-2</v>
      </c>
      <c r="V742" s="11">
        <v>0.33</v>
      </c>
      <c r="W742" s="11">
        <v>1</v>
      </c>
      <c r="X742" s="11">
        <v>2</v>
      </c>
      <c r="Y742" s="11">
        <v>0</v>
      </c>
      <c r="Z742" t="s">
        <v>39</v>
      </c>
    </row>
    <row r="743" spans="1:26" x14ac:dyDescent="0.25">
      <c r="A743" s="20" t="s">
        <v>1250</v>
      </c>
      <c r="B743" s="20" t="s">
        <v>58</v>
      </c>
      <c r="C743" s="20" t="s">
        <v>1237</v>
      </c>
      <c r="D743" s="20" t="s">
        <v>216</v>
      </c>
      <c r="E743" s="13">
        <v>0</v>
      </c>
      <c r="F743" s="11">
        <v>0</v>
      </c>
      <c r="G743" s="13">
        <v>0</v>
      </c>
      <c r="H743" s="11">
        <v>0</v>
      </c>
      <c r="I743" s="13">
        <f>E743+G743</f>
        <v>0</v>
      </c>
      <c r="J743" s="11">
        <f>F743+H743</f>
        <v>0</v>
      </c>
      <c r="K743" s="13">
        <v>0</v>
      </c>
      <c r="L743" s="11">
        <v>0</v>
      </c>
      <c r="M743" s="11">
        <v>0</v>
      </c>
      <c r="N743" s="13">
        <v>0</v>
      </c>
      <c r="O743" s="11">
        <v>0</v>
      </c>
      <c r="P743" s="11">
        <v>0</v>
      </c>
      <c r="Q743" s="13">
        <f>K743+N743</f>
        <v>0</v>
      </c>
      <c r="R743" s="11">
        <f>L743+O743</f>
        <v>0</v>
      </c>
      <c r="S743" s="11">
        <f>M743+P743</f>
        <v>0</v>
      </c>
      <c r="T743" s="8">
        <f>I743-Q743</f>
        <v>0</v>
      </c>
      <c r="U743" s="18">
        <v>-0.53991846627420981</v>
      </c>
      <c r="V743" s="11">
        <v>0</v>
      </c>
      <c r="W743" s="11">
        <v>0</v>
      </c>
      <c r="X743" s="11">
        <v>0</v>
      </c>
      <c r="Y743" s="11">
        <v>0</v>
      </c>
      <c r="Z743" t="s">
        <v>39</v>
      </c>
    </row>
    <row r="744" spans="1:26" x14ac:dyDescent="0.25">
      <c r="A744" s="20" t="s">
        <v>2097</v>
      </c>
      <c r="B744" s="20" t="s">
        <v>2097</v>
      </c>
      <c r="C744" s="20" t="s">
        <v>1054</v>
      </c>
      <c r="D744" s="20" t="s">
        <v>216</v>
      </c>
      <c r="E744" s="13">
        <v>11159.96</v>
      </c>
      <c r="F744" s="11">
        <v>0</v>
      </c>
      <c r="G744" s="13">
        <v>12988</v>
      </c>
      <c r="H744" s="11">
        <v>0</v>
      </c>
      <c r="I744" s="13">
        <f>E744+G744</f>
        <v>24147.96</v>
      </c>
      <c r="J744" s="11">
        <f>F744+H744</f>
        <v>0</v>
      </c>
      <c r="K744" s="13">
        <v>11980</v>
      </c>
      <c r="L744" s="11">
        <v>0</v>
      </c>
      <c r="M744" s="11">
        <v>0</v>
      </c>
      <c r="N744" s="13">
        <v>11487</v>
      </c>
      <c r="O744" s="11">
        <v>0</v>
      </c>
      <c r="P744" s="11">
        <v>0</v>
      </c>
      <c r="Q744" s="13">
        <f>K744+N744</f>
        <v>23467</v>
      </c>
      <c r="R744" s="11">
        <f>L744+O744</f>
        <v>0</v>
      </c>
      <c r="S744" s="11">
        <f>M744+P744</f>
        <v>0</v>
      </c>
      <c r="T744" s="8">
        <f>I744-Q744</f>
        <v>680.95999999999913</v>
      </c>
      <c r="U744" s="18">
        <v>-8.3362169339114625E-3</v>
      </c>
      <c r="V744" s="11">
        <v>0</v>
      </c>
      <c r="W744" s="11">
        <v>0</v>
      </c>
      <c r="X744" s="11">
        <v>3</v>
      </c>
      <c r="Y744" s="11">
        <v>0</v>
      </c>
      <c r="Z744" t="s">
        <v>39</v>
      </c>
    </row>
    <row r="745" spans="1:26" x14ac:dyDescent="0.25">
      <c r="A745" s="20" t="s">
        <v>3040</v>
      </c>
      <c r="B745" s="20" t="s">
        <v>77</v>
      </c>
      <c r="C745" s="20" t="s">
        <v>3039</v>
      </c>
      <c r="D745" s="20" t="s">
        <v>216</v>
      </c>
      <c r="E745" s="13">
        <v>0</v>
      </c>
      <c r="F745" s="11">
        <v>0</v>
      </c>
      <c r="G745" s="13">
        <v>0</v>
      </c>
      <c r="H745" s="11">
        <v>0</v>
      </c>
      <c r="I745" s="13">
        <f>E745+G745</f>
        <v>0</v>
      </c>
      <c r="J745" s="11">
        <f>F745+H745</f>
        <v>0</v>
      </c>
      <c r="K745" s="13">
        <v>0</v>
      </c>
      <c r="L745" s="11">
        <v>0</v>
      </c>
      <c r="M745" s="11">
        <v>0</v>
      </c>
      <c r="N745" s="13">
        <v>0</v>
      </c>
      <c r="O745" s="11">
        <v>0</v>
      </c>
      <c r="P745" s="11">
        <v>0</v>
      </c>
      <c r="Q745" s="13">
        <f>K745+N745</f>
        <v>0</v>
      </c>
      <c r="R745" s="11">
        <f>L745+O745</f>
        <v>0</v>
      </c>
      <c r="S745" s="11">
        <f>M745+P745</f>
        <v>0</v>
      </c>
      <c r="T745" s="8">
        <f>I745-Q745</f>
        <v>0</v>
      </c>
      <c r="U745" s="18">
        <v>-1.7929892337148329E-2</v>
      </c>
      <c r="V745" s="11">
        <v>0</v>
      </c>
      <c r="W745" s="11">
        <v>0</v>
      </c>
      <c r="X745" s="11">
        <v>0</v>
      </c>
      <c r="Y745" s="11">
        <v>0</v>
      </c>
      <c r="Z745" t="s">
        <v>39</v>
      </c>
    </row>
    <row r="746" spans="1:26" x14ac:dyDescent="0.25">
      <c r="A746" s="20" t="s">
        <v>3181</v>
      </c>
      <c r="B746" s="20" t="s">
        <v>1096</v>
      </c>
      <c r="C746" s="20" t="s">
        <v>1214</v>
      </c>
      <c r="D746" s="20" t="s">
        <v>216</v>
      </c>
      <c r="E746" s="13">
        <v>6857</v>
      </c>
      <c r="F746" s="11">
        <v>0</v>
      </c>
      <c r="G746" s="13">
        <v>-2348</v>
      </c>
      <c r="H746" s="11">
        <v>0</v>
      </c>
      <c r="I746" s="13">
        <f>E746+G746</f>
        <v>4509</v>
      </c>
      <c r="J746" s="11">
        <f>F746+H746</f>
        <v>0</v>
      </c>
      <c r="K746" s="13">
        <v>9960</v>
      </c>
      <c r="L746" s="11">
        <v>0</v>
      </c>
      <c r="M746" s="11">
        <v>2</v>
      </c>
      <c r="N746" s="13">
        <v>18581</v>
      </c>
      <c r="O746" s="11">
        <v>2</v>
      </c>
      <c r="P746" s="11">
        <v>7</v>
      </c>
      <c r="Q746" s="13">
        <f>K746+N746</f>
        <v>28541</v>
      </c>
      <c r="R746" s="11">
        <f>L746+O746</f>
        <v>2</v>
      </c>
      <c r="S746" s="11">
        <f>M746+P746</f>
        <v>9</v>
      </c>
      <c r="T746" s="8">
        <f>I746-Q746</f>
        <v>-24032</v>
      </c>
      <c r="U746" s="18">
        <v>0.32822608189083624</v>
      </c>
      <c r="V746" s="11">
        <v>0.3</v>
      </c>
      <c r="W746" s="11">
        <v>7</v>
      </c>
      <c r="X746" s="11">
        <v>16</v>
      </c>
      <c r="Y746" s="11">
        <v>1</v>
      </c>
      <c r="Z746" t="s">
        <v>39</v>
      </c>
    </row>
    <row r="747" spans="1:26" x14ac:dyDescent="0.25">
      <c r="A747" s="20" t="s">
        <v>3243</v>
      </c>
      <c r="B747" s="20" t="s">
        <v>1199</v>
      </c>
      <c r="C747" s="20" t="s">
        <v>1224</v>
      </c>
      <c r="D747" s="20" t="s">
        <v>215</v>
      </c>
      <c r="E747" s="13">
        <v>0</v>
      </c>
      <c r="F747" s="11">
        <v>0</v>
      </c>
      <c r="G747" s="13">
        <v>0</v>
      </c>
      <c r="H747" s="11">
        <v>0</v>
      </c>
      <c r="I747" s="13">
        <f>E747+G747</f>
        <v>0</v>
      </c>
      <c r="J747" s="11">
        <f>F747+H747</f>
        <v>0</v>
      </c>
      <c r="K747" s="13">
        <v>7951</v>
      </c>
      <c r="L747" s="11">
        <v>1</v>
      </c>
      <c r="M747" s="11">
        <v>1</v>
      </c>
      <c r="N747" s="13">
        <v>8927.27</v>
      </c>
      <c r="O747" s="11">
        <v>0</v>
      </c>
      <c r="P747" s="11">
        <v>1</v>
      </c>
      <c r="Q747" s="13">
        <f>K747+N747</f>
        <v>16878.27</v>
      </c>
      <c r="R747" s="11">
        <f>L747+O747</f>
        <v>1</v>
      </c>
      <c r="S747" s="11">
        <f>M747+P747</f>
        <v>2</v>
      </c>
      <c r="T747" s="8">
        <f>I747-Q747</f>
        <v>-16878.27</v>
      </c>
      <c r="U747" s="18" t="s">
        <v>1803</v>
      </c>
      <c r="V747" s="11">
        <v>0</v>
      </c>
      <c r="W747" s="11">
        <v>0</v>
      </c>
      <c r="X747" s="11">
        <v>4</v>
      </c>
      <c r="Y747" s="11">
        <v>0</v>
      </c>
      <c r="Z747" t="s">
        <v>39</v>
      </c>
    </row>
    <row r="748" spans="1:26" x14ac:dyDescent="0.25">
      <c r="A748" s="20" t="s">
        <v>3313</v>
      </c>
      <c r="B748" s="20" t="s">
        <v>3203</v>
      </c>
      <c r="C748" s="20" t="s">
        <v>3011</v>
      </c>
      <c r="D748" s="20" t="s">
        <v>216</v>
      </c>
      <c r="E748" s="13">
        <v>250</v>
      </c>
      <c r="F748" s="11">
        <v>0</v>
      </c>
      <c r="G748" s="13">
        <v>-1525.29</v>
      </c>
      <c r="H748" s="11">
        <v>0</v>
      </c>
      <c r="I748" s="13">
        <f>E748+G748</f>
        <v>-1275.29</v>
      </c>
      <c r="J748" s="11">
        <f>F748+H748</f>
        <v>0</v>
      </c>
      <c r="K748" s="13">
        <v>250</v>
      </c>
      <c r="L748" s="11">
        <v>0</v>
      </c>
      <c r="M748" s="11">
        <v>0</v>
      </c>
      <c r="N748" s="13">
        <v>0</v>
      </c>
      <c r="O748" s="11">
        <v>0</v>
      </c>
      <c r="P748" s="11">
        <v>0</v>
      </c>
      <c r="Q748" s="13">
        <f>K748+N748</f>
        <v>250</v>
      </c>
      <c r="R748" s="11">
        <f>L748+O748</f>
        <v>0</v>
      </c>
      <c r="S748" s="11">
        <f>M748+P748</f>
        <v>0</v>
      </c>
      <c r="T748" s="8">
        <f>I748-Q748</f>
        <v>-1525.29</v>
      </c>
      <c r="U748" s="18">
        <v>3.1927879139886685E-2</v>
      </c>
      <c r="V748" s="11">
        <v>0</v>
      </c>
      <c r="W748" s="11">
        <v>0</v>
      </c>
      <c r="X748" s="11">
        <v>0</v>
      </c>
      <c r="Y748" s="11">
        <v>2</v>
      </c>
      <c r="Z748" t="s">
        <v>39</v>
      </c>
    </row>
    <row r="749" spans="1:26" x14ac:dyDescent="0.25">
      <c r="A749" s="20" t="s">
        <v>1256</v>
      </c>
      <c r="B749" s="20" t="s">
        <v>60</v>
      </c>
      <c r="C749" s="20" t="s">
        <v>1257</v>
      </c>
      <c r="D749" s="20" t="s">
        <v>216</v>
      </c>
      <c r="E749" s="13">
        <v>0</v>
      </c>
      <c r="F749" s="11">
        <v>0</v>
      </c>
      <c r="G749" s="13">
        <v>0</v>
      </c>
      <c r="H749" s="11">
        <v>0</v>
      </c>
      <c r="I749" s="13">
        <f>E749+G749</f>
        <v>0</v>
      </c>
      <c r="J749" s="11">
        <f>F749+H749</f>
        <v>0</v>
      </c>
      <c r="K749" s="13">
        <v>0</v>
      </c>
      <c r="L749" s="11">
        <v>0</v>
      </c>
      <c r="M749" s="11">
        <v>0</v>
      </c>
      <c r="N749" s="13">
        <v>0</v>
      </c>
      <c r="O749" s="11">
        <v>0</v>
      </c>
      <c r="P749" s="11">
        <v>0</v>
      </c>
      <c r="Q749" s="13">
        <f>K749+N749</f>
        <v>0</v>
      </c>
      <c r="R749" s="11">
        <f>L749+O749</f>
        <v>0</v>
      </c>
      <c r="S749" s="11">
        <f>M749+P749</f>
        <v>0</v>
      </c>
      <c r="T749" s="8">
        <f>I749-Q749</f>
        <v>0</v>
      </c>
      <c r="U749" s="18">
        <v>-1.3895974792879524E-2</v>
      </c>
      <c r="V749" s="11">
        <v>0</v>
      </c>
      <c r="W749" s="11">
        <v>0</v>
      </c>
      <c r="X749" s="11">
        <v>1</v>
      </c>
      <c r="Y749" s="11">
        <v>2</v>
      </c>
      <c r="Z749" t="s">
        <v>56</v>
      </c>
    </row>
    <row r="750" spans="1:26" x14ac:dyDescent="0.25">
      <c r="A750" s="20" t="s">
        <v>1251</v>
      </c>
      <c r="B750" s="20" t="s">
        <v>1251</v>
      </c>
      <c r="C750" s="20" t="s">
        <v>1252</v>
      </c>
      <c r="D750" s="20" t="s">
        <v>216</v>
      </c>
      <c r="E750" s="13">
        <v>9482</v>
      </c>
      <c r="F750" s="11">
        <v>0</v>
      </c>
      <c r="G750" s="13">
        <v>6656</v>
      </c>
      <c r="H750" s="11">
        <v>1</v>
      </c>
      <c r="I750" s="13">
        <f>E750+G750</f>
        <v>16138</v>
      </c>
      <c r="J750" s="11">
        <f>F750+H750</f>
        <v>1</v>
      </c>
      <c r="K750" s="13">
        <v>7864</v>
      </c>
      <c r="L750" s="11">
        <v>0</v>
      </c>
      <c r="M750" s="11">
        <v>0</v>
      </c>
      <c r="N750" s="13">
        <v>0</v>
      </c>
      <c r="O750" s="11">
        <v>0</v>
      </c>
      <c r="P750" s="11">
        <v>0</v>
      </c>
      <c r="Q750" s="13">
        <f>K750+N750</f>
        <v>7864</v>
      </c>
      <c r="R750" s="11">
        <f>L750+O750</f>
        <v>0</v>
      </c>
      <c r="S750" s="11">
        <f>M750+P750</f>
        <v>0</v>
      </c>
      <c r="T750" s="8">
        <f>I750-Q750</f>
        <v>8274</v>
      </c>
      <c r="U750" s="18">
        <v>0.17185393264624627</v>
      </c>
      <c r="V750" s="11">
        <v>0.25</v>
      </c>
      <c r="W750" s="11">
        <v>1</v>
      </c>
      <c r="X750" s="11">
        <v>3</v>
      </c>
      <c r="Y750" s="11">
        <v>0</v>
      </c>
      <c r="Z750" t="s">
        <v>56</v>
      </c>
    </row>
    <row r="751" spans="1:26" x14ac:dyDescent="0.25">
      <c r="A751" s="20" t="s">
        <v>1258</v>
      </c>
      <c r="B751" s="20" t="s">
        <v>124</v>
      </c>
      <c r="C751" s="20" t="s">
        <v>1259</v>
      </c>
      <c r="D751" s="20" t="s">
        <v>216</v>
      </c>
      <c r="E751" s="13">
        <v>0</v>
      </c>
      <c r="F751" s="11">
        <v>0</v>
      </c>
      <c r="G751" s="13">
        <v>25446</v>
      </c>
      <c r="H751" s="11">
        <v>0</v>
      </c>
      <c r="I751" s="13">
        <f>E751+G751</f>
        <v>25446</v>
      </c>
      <c r="J751" s="11">
        <f>F751+H751</f>
        <v>0</v>
      </c>
      <c r="K751" s="13">
        <v>0</v>
      </c>
      <c r="L751" s="11">
        <v>0</v>
      </c>
      <c r="M751" s="11">
        <v>0</v>
      </c>
      <c r="N751" s="13">
        <v>23367</v>
      </c>
      <c r="O751" s="11">
        <v>0</v>
      </c>
      <c r="P751" s="11">
        <v>0</v>
      </c>
      <c r="Q751" s="13">
        <f>K751+N751</f>
        <v>23367</v>
      </c>
      <c r="R751" s="11">
        <f>L751+O751</f>
        <v>0</v>
      </c>
      <c r="S751" s="11">
        <f>M751+P751</f>
        <v>0</v>
      </c>
      <c r="T751" s="8">
        <f>I751-Q751</f>
        <v>2079</v>
      </c>
      <c r="U751" s="18">
        <v>7.8188743039338121E-2</v>
      </c>
      <c r="V751" s="11">
        <v>0</v>
      </c>
      <c r="W751" s="11">
        <v>0</v>
      </c>
      <c r="X751" s="11">
        <v>1</v>
      </c>
      <c r="Y751" s="11">
        <v>0</v>
      </c>
      <c r="Z751" t="s">
        <v>56</v>
      </c>
    </row>
    <row r="752" spans="1:26" x14ac:dyDescent="0.25">
      <c r="A752" s="20" t="s">
        <v>1262</v>
      </c>
      <c r="B752" s="20" t="s">
        <v>60</v>
      </c>
      <c r="C752" s="20" t="s">
        <v>1263</v>
      </c>
      <c r="D752" s="20" t="s">
        <v>216</v>
      </c>
      <c r="E752" s="13">
        <v>5432</v>
      </c>
      <c r="F752" s="11">
        <v>0</v>
      </c>
      <c r="G752" s="13">
        <v>0</v>
      </c>
      <c r="H752" s="11">
        <v>0</v>
      </c>
      <c r="I752" s="13">
        <f>E752+G752</f>
        <v>5432</v>
      </c>
      <c r="J752" s="11">
        <f>F752+H752</f>
        <v>0</v>
      </c>
      <c r="K752" s="13">
        <v>4919</v>
      </c>
      <c r="L752" s="11">
        <v>0</v>
      </c>
      <c r="M752" s="11">
        <v>0</v>
      </c>
      <c r="N752" s="13">
        <v>0</v>
      </c>
      <c r="O752" s="11">
        <v>0</v>
      </c>
      <c r="P752" s="11">
        <v>0</v>
      </c>
      <c r="Q752" s="13">
        <f>K752+N752</f>
        <v>4919</v>
      </c>
      <c r="R752" s="11">
        <f>L752+O752</f>
        <v>0</v>
      </c>
      <c r="S752" s="11">
        <f>M752+P752</f>
        <v>0</v>
      </c>
      <c r="T752" s="8">
        <f>I752-Q752</f>
        <v>513</v>
      </c>
      <c r="U752" s="18">
        <v>0.63374654938608344</v>
      </c>
      <c r="V752" s="11">
        <v>0</v>
      </c>
      <c r="W752" s="11">
        <v>0</v>
      </c>
      <c r="X752" s="11">
        <v>1</v>
      </c>
      <c r="Y752" s="11">
        <v>0</v>
      </c>
      <c r="Z752" t="s">
        <v>56</v>
      </c>
    </row>
    <row r="753" spans="1:26" x14ac:dyDescent="0.25">
      <c r="A753" s="20" t="s">
        <v>1264</v>
      </c>
      <c r="B753" s="20" t="s">
        <v>124</v>
      </c>
      <c r="C753" s="20" t="s">
        <v>470</v>
      </c>
      <c r="D753" s="20" t="s">
        <v>216</v>
      </c>
      <c r="E753" s="13">
        <v>0</v>
      </c>
      <c r="F753" s="11">
        <v>0</v>
      </c>
      <c r="G753" s="13">
        <v>20894</v>
      </c>
      <c r="H753" s="11">
        <v>0</v>
      </c>
      <c r="I753" s="13">
        <f>E753+G753</f>
        <v>20894</v>
      </c>
      <c r="J753" s="11">
        <f>F753+H753</f>
        <v>0</v>
      </c>
      <c r="K753" s="13">
        <v>0</v>
      </c>
      <c r="L753" s="11">
        <v>0</v>
      </c>
      <c r="M753" s="11">
        <v>0</v>
      </c>
      <c r="N753" s="13">
        <v>19071.5</v>
      </c>
      <c r="O753" s="11">
        <v>1</v>
      </c>
      <c r="P753" s="11">
        <v>2</v>
      </c>
      <c r="Q753" s="13">
        <f>K753+N753</f>
        <v>19071.5</v>
      </c>
      <c r="R753" s="11">
        <f>L753+O753</f>
        <v>1</v>
      </c>
      <c r="S753" s="11">
        <f>M753+P753</f>
        <v>2</v>
      </c>
      <c r="T753" s="8">
        <f>I753-Q753</f>
        <v>1822.5</v>
      </c>
      <c r="U753" s="18">
        <v>0.93016715004620121</v>
      </c>
      <c r="V753" s="11">
        <v>0.33</v>
      </c>
      <c r="W753" s="11">
        <v>1</v>
      </c>
      <c r="X753" s="11">
        <v>2</v>
      </c>
      <c r="Y753" s="11">
        <v>0</v>
      </c>
      <c r="Z753" t="s">
        <v>56</v>
      </c>
    </row>
    <row r="754" spans="1:26" x14ac:dyDescent="0.25">
      <c r="A754" s="20" t="s">
        <v>1267</v>
      </c>
      <c r="B754" s="20" t="s">
        <v>60</v>
      </c>
      <c r="C754" s="20" t="s">
        <v>3097</v>
      </c>
      <c r="D754" s="20" t="s">
        <v>216</v>
      </c>
      <c r="E754" s="13">
        <v>0</v>
      </c>
      <c r="F754" s="11">
        <v>0</v>
      </c>
      <c r="G754" s="13">
        <v>0</v>
      </c>
      <c r="H754" s="11">
        <v>0</v>
      </c>
      <c r="I754" s="13">
        <f>E754+G754</f>
        <v>0</v>
      </c>
      <c r="J754" s="11">
        <f>F754+H754</f>
        <v>0</v>
      </c>
      <c r="K754" s="13">
        <v>0</v>
      </c>
      <c r="L754" s="11">
        <v>0</v>
      </c>
      <c r="M754" s="11">
        <v>0</v>
      </c>
      <c r="N754" s="13">
        <v>0</v>
      </c>
      <c r="O754" s="11">
        <v>0</v>
      </c>
      <c r="P754" s="11">
        <v>0</v>
      </c>
      <c r="Q754" s="13">
        <f>K754+N754</f>
        <v>0</v>
      </c>
      <c r="R754" s="11">
        <f>L754+O754</f>
        <v>0</v>
      </c>
      <c r="S754" s="11">
        <f>M754+P754</f>
        <v>0</v>
      </c>
      <c r="T754" s="8">
        <f>I754-Q754</f>
        <v>0</v>
      </c>
      <c r="U754" s="18">
        <v>-0.3968773202526869</v>
      </c>
      <c r="V754" s="11">
        <v>0</v>
      </c>
      <c r="W754" s="11">
        <v>0</v>
      </c>
      <c r="X754" s="11">
        <v>0</v>
      </c>
      <c r="Y754" s="11">
        <v>0</v>
      </c>
      <c r="Z754" t="s">
        <v>56</v>
      </c>
    </row>
    <row r="755" spans="1:26" x14ac:dyDescent="0.25">
      <c r="A755" s="20" t="s">
        <v>1270</v>
      </c>
      <c r="B755" s="20" t="s">
        <v>91</v>
      </c>
      <c r="C755" s="20" t="s">
        <v>1271</v>
      </c>
      <c r="D755" s="20" t="s">
        <v>216</v>
      </c>
      <c r="E755" s="13">
        <v>0</v>
      </c>
      <c r="F755" s="11">
        <v>0</v>
      </c>
      <c r="G755" s="13">
        <v>0</v>
      </c>
      <c r="H755" s="11">
        <v>0</v>
      </c>
      <c r="I755" s="13">
        <f>E755+G755</f>
        <v>0</v>
      </c>
      <c r="J755" s="11">
        <f>F755+H755</f>
        <v>0</v>
      </c>
      <c r="K755" s="13">
        <v>0</v>
      </c>
      <c r="L755" s="11">
        <v>0</v>
      </c>
      <c r="M755" s="11">
        <v>0</v>
      </c>
      <c r="N755" s="13">
        <v>0</v>
      </c>
      <c r="O755" s="11">
        <v>0</v>
      </c>
      <c r="P755" s="11">
        <v>0</v>
      </c>
      <c r="Q755" s="13">
        <f>K755+N755</f>
        <v>0</v>
      </c>
      <c r="R755" s="11">
        <f>L755+O755</f>
        <v>0</v>
      </c>
      <c r="S755" s="11">
        <f>M755+P755</f>
        <v>0</v>
      </c>
      <c r="T755" s="8">
        <f>I755-Q755</f>
        <v>0</v>
      </c>
      <c r="U755" s="18">
        <v>-3.9919685744524953</v>
      </c>
      <c r="V755" s="11">
        <v>0</v>
      </c>
      <c r="W755" s="11">
        <v>0</v>
      </c>
      <c r="X755" s="11">
        <v>0</v>
      </c>
      <c r="Y755" s="11">
        <v>0</v>
      </c>
      <c r="Z755" t="s">
        <v>56</v>
      </c>
    </row>
    <row r="756" spans="1:26" x14ac:dyDescent="0.25">
      <c r="A756" s="20" t="s">
        <v>1266</v>
      </c>
      <c r="B756" s="20" t="s">
        <v>1266</v>
      </c>
      <c r="C756" s="20" t="s">
        <v>1273</v>
      </c>
      <c r="D756" s="20" t="s">
        <v>216</v>
      </c>
      <c r="E756" s="13">
        <v>17267</v>
      </c>
      <c r="F756" s="11">
        <v>1</v>
      </c>
      <c r="G756" s="13">
        <v>11376</v>
      </c>
      <c r="H756" s="11">
        <v>0</v>
      </c>
      <c r="I756" s="13">
        <f>E756+G756</f>
        <v>28643</v>
      </c>
      <c r="J756" s="11">
        <f>F756+H756</f>
        <v>1</v>
      </c>
      <c r="K756" s="13">
        <v>6259</v>
      </c>
      <c r="L756" s="11">
        <v>0</v>
      </c>
      <c r="M756" s="11">
        <v>1</v>
      </c>
      <c r="N756" s="13">
        <v>3050</v>
      </c>
      <c r="O756" s="11">
        <v>0</v>
      </c>
      <c r="P756" s="11">
        <v>4</v>
      </c>
      <c r="Q756" s="13">
        <f>K756+N756</f>
        <v>9309</v>
      </c>
      <c r="R756" s="11">
        <f>L756+O756</f>
        <v>0</v>
      </c>
      <c r="S756" s="11">
        <f>M756+P756</f>
        <v>5</v>
      </c>
      <c r="T756" s="8">
        <f>I756-Q756</f>
        <v>19334</v>
      </c>
      <c r="U756" s="18">
        <v>8.3349517476327781E-2</v>
      </c>
      <c r="V756" s="11">
        <v>0.35</v>
      </c>
      <c r="W756" s="11">
        <v>6</v>
      </c>
      <c r="X756" s="11">
        <v>11</v>
      </c>
      <c r="Y756" s="11">
        <v>2</v>
      </c>
      <c r="Z756" t="s">
        <v>56</v>
      </c>
    </row>
    <row r="757" spans="1:26" x14ac:dyDescent="0.25">
      <c r="A757" s="20" t="s">
        <v>1274</v>
      </c>
      <c r="B757" s="20" t="s">
        <v>58</v>
      </c>
      <c r="C757" s="20" t="s">
        <v>1054</v>
      </c>
      <c r="D757" s="20" t="s">
        <v>216</v>
      </c>
      <c r="E757" s="13">
        <v>0</v>
      </c>
      <c r="F757" s="11">
        <v>0</v>
      </c>
      <c r="G757" s="13">
        <v>0</v>
      </c>
      <c r="H757" s="11">
        <v>0</v>
      </c>
      <c r="I757" s="13">
        <f>E757+G757</f>
        <v>0</v>
      </c>
      <c r="J757" s="11">
        <f>F757+H757</f>
        <v>0</v>
      </c>
      <c r="K757" s="13">
        <v>0</v>
      </c>
      <c r="L757" s="11">
        <v>0</v>
      </c>
      <c r="M757" s="11">
        <v>0</v>
      </c>
      <c r="N757" s="13">
        <v>0</v>
      </c>
      <c r="O757" s="11">
        <v>0</v>
      </c>
      <c r="P757" s="11">
        <v>0</v>
      </c>
      <c r="Q757" s="13">
        <f>K757+N757</f>
        <v>0</v>
      </c>
      <c r="R757" s="11">
        <f>L757+O757</f>
        <v>0</v>
      </c>
      <c r="S757" s="11">
        <f>M757+P757</f>
        <v>0</v>
      </c>
      <c r="T757" s="8">
        <f>I757-Q757</f>
        <v>0</v>
      </c>
      <c r="U757" s="18">
        <v>-0.14658742306420128</v>
      </c>
      <c r="V757" s="11">
        <v>0</v>
      </c>
      <c r="W757" s="11">
        <v>0</v>
      </c>
      <c r="X757" s="11">
        <v>0</v>
      </c>
      <c r="Y757" s="11">
        <v>0</v>
      </c>
      <c r="Z757" t="s">
        <v>56</v>
      </c>
    </row>
    <row r="758" spans="1:26" x14ac:dyDescent="0.25">
      <c r="A758" s="20" t="s">
        <v>1275</v>
      </c>
      <c r="B758" s="20" t="s">
        <v>1275</v>
      </c>
      <c r="C758" s="20" t="s">
        <v>1276</v>
      </c>
      <c r="D758" s="20" t="s">
        <v>216</v>
      </c>
      <c r="E758" s="13">
        <v>10090</v>
      </c>
      <c r="F758" s="11">
        <v>0</v>
      </c>
      <c r="G758" s="13">
        <v>0</v>
      </c>
      <c r="H758" s="11">
        <v>0</v>
      </c>
      <c r="I758" s="13">
        <f>E758+G758</f>
        <v>10090</v>
      </c>
      <c r="J758" s="11">
        <f>F758+H758</f>
        <v>0</v>
      </c>
      <c r="K758" s="13">
        <v>17391</v>
      </c>
      <c r="L758" s="11">
        <v>1</v>
      </c>
      <c r="M758" s="11">
        <v>1</v>
      </c>
      <c r="N758" s="13">
        <v>0</v>
      </c>
      <c r="O758" s="11">
        <v>0</v>
      </c>
      <c r="P758" s="11">
        <v>0</v>
      </c>
      <c r="Q758" s="13">
        <f>K758+N758</f>
        <v>17391</v>
      </c>
      <c r="R758" s="11">
        <f>L758+O758</f>
        <v>1</v>
      </c>
      <c r="S758" s="11">
        <f>M758+P758</f>
        <v>1</v>
      </c>
      <c r="T758" s="8">
        <f>I758-Q758</f>
        <v>-7301</v>
      </c>
      <c r="U758" s="18">
        <v>-2.5329328427260728E-2</v>
      </c>
      <c r="V758" s="11">
        <v>0</v>
      </c>
      <c r="W758" s="11">
        <v>0</v>
      </c>
      <c r="X758" s="11">
        <v>1</v>
      </c>
      <c r="Y758" s="11">
        <v>1</v>
      </c>
      <c r="Z758" t="s">
        <v>56</v>
      </c>
    </row>
    <row r="759" spans="1:26" x14ac:dyDescent="0.25">
      <c r="A759" s="20" t="s">
        <v>1277</v>
      </c>
      <c r="B759" s="20" t="s">
        <v>60</v>
      </c>
      <c r="C759" s="20" t="s">
        <v>1278</v>
      </c>
      <c r="D759" s="20" t="s">
        <v>216</v>
      </c>
      <c r="E759" s="13">
        <v>13083</v>
      </c>
      <c r="F759" s="11">
        <v>0</v>
      </c>
      <c r="G759" s="13">
        <v>19912</v>
      </c>
      <c r="H759" s="11">
        <v>0</v>
      </c>
      <c r="I759" s="13">
        <f>E759+G759</f>
        <v>32995</v>
      </c>
      <c r="J759" s="11">
        <f>F759+H759</f>
        <v>0</v>
      </c>
      <c r="K759" s="13">
        <v>20302</v>
      </c>
      <c r="L759" s="11">
        <v>0</v>
      </c>
      <c r="M759" s="11">
        <v>0</v>
      </c>
      <c r="N759" s="13">
        <v>0</v>
      </c>
      <c r="O759" s="11">
        <v>0</v>
      </c>
      <c r="P759" s="11">
        <v>2</v>
      </c>
      <c r="Q759" s="13">
        <f>K759+N759</f>
        <v>20302</v>
      </c>
      <c r="R759" s="11">
        <f>L759+O759</f>
        <v>0</v>
      </c>
      <c r="S759" s="11">
        <f>M759+P759</f>
        <v>2</v>
      </c>
      <c r="T759" s="8">
        <f>I759-Q759</f>
        <v>12693</v>
      </c>
      <c r="U759" s="18">
        <v>0.12277315417667667</v>
      </c>
      <c r="V759" s="11">
        <v>0.5</v>
      </c>
      <c r="W759" s="11">
        <v>2</v>
      </c>
      <c r="X759" s="11">
        <v>2</v>
      </c>
      <c r="Y759" s="11">
        <v>0</v>
      </c>
      <c r="Z759" t="s">
        <v>56</v>
      </c>
    </row>
    <row r="760" spans="1:26" x14ac:dyDescent="0.25">
      <c r="A760" s="20" t="s">
        <v>1254</v>
      </c>
      <c r="B760" s="20" t="s">
        <v>1254</v>
      </c>
      <c r="C760" s="20" t="s">
        <v>3182</v>
      </c>
      <c r="D760" s="20" t="s">
        <v>216</v>
      </c>
      <c r="E760" s="13">
        <v>10711</v>
      </c>
      <c r="F760" s="11">
        <v>0</v>
      </c>
      <c r="G760" s="13">
        <v>0</v>
      </c>
      <c r="H760" s="11">
        <v>0</v>
      </c>
      <c r="I760" s="13">
        <f>E760+G760</f>
        <v>10711</v>
      </c>
      <c r="J760" s="11">
        <f>F760+H760</f>
        <v>0</v>
      </c>
      <c r="K760" s="13">
        <v>11086</v>
      </c>
      <c r="L760" s="11">
        <v>0</v>
      </c>
      <c r="M760" s="11">
        <v>0</v>
      </c>
      <c r="N760" s="13">
        <v>0</v>
      </c>
      <c r="O760" s="11">
        <v>0</v>
      </c>
      <c r="P760" s="11">
        <v>0</v>
      </c>
      <c r="Q760" s="13">
        <f>K760+N760</f>
        <v>11086</v>
      </c>
      <c r="R760" s="11">
        <f>L760+O760</f>
        <v>0</v>
      </c>
      <c r="S760" s="11">
        <f>M760+P760</f>
        <v>0</v>
      </c>
      <c r="T760" s="8">
        <f>I760-Q760</f>
        <v>-375</v>
      </c>
      <c r="U760" s="18">
        <v>2.3004431736579217E-2</v>
      </c>
      <c r="V760" s="11">
        <v>0</v>
      </c>
      <c r="W760" s="11">
        <v>0</v>
      </c>
      <c r="X760" s="11">
        <v>0</v>
      </c>
      <c r="Y760" s="11">
        <v>0</v>
      </c>
      <c r="Z760" t="s">
        <v>56</v>
      </c>
    </row>
    <row r="761" spans="1:26" x14ac:dyDescent="0.25">
      <c r="A761" s="20" t="s">
        <v>429</v>
      </c>
      <c r="B761" s="20" t="s">
        <v>430</v>
      </c>
      <c r="C761" s="20" t="s">
        <v>431</v>
      </c>
      <c r="D761" s="20" t="s">
        <v>216</v>
      </c>
      <c r="E761" s="13">
        <v>-515.9</v>
      </c>
      <c r="F761" s="11">
        <v>0</v>
      </c>
      <c r="G761" s="13">
        <v>0</v>
      </c>
      <c r="H761" s="11">
        <v>0</v>
      </c>
      <c r="I761" s="13">
        <f>E761+G761</f>
        <v>-515.9</v>
      </c>
      <c r="J761" s="11">
        <f>F761+H761</f>
        <v>0</v>
      </c>
      <c r="K761" s="13">
        <v>0</v>
      </c>
      <c r="L761" s="11">
        <v>0</v>
      </c>
      <c r="M761" s="11">
        <v>1</v>
      </c>
      <c r="N761" s="13">
        <v>8943.65</v>
      </c>
      <c r="O761" s="11">
        <v>1</v>
      </c>
      <c r="P761" s="11">
        <v>2</v>
      </c>
      <c r="Q761" s="13">
        <f>K761+N761</f>
        <v>8943.65</v>
      </c>
      <c r="R761" s="11">
        <f>L761+O761</f>
        <v>1</v>
      </c>
      <c r="S761" s="11">
        <f>M761+P761</f>
        <v>3</v>
      </c>
      <c r="T761" s="8">
        <f>I761-Q761</f>
        <v>-9459.5499999999993</v>
      </c>
      <c r="U761" s="18">
        <v>0.24493374371008969</v>
      </c>
      <c r="V761" s="11">
        <v>0.33</v>
      </c>
      <c r="W761" s="11">
        <v>2</v>
      </c>
      <c r="X761" s="11">
        <v>4</v>
      </c>
      <c r="Y761" s="11">
        <v>2</v>
      </c>
      <c r="Z761" t="s">
        <v>56</v>
      </c>
    </row>
    <row r="762" spans="1:26" x14ac:dyDescent="0.25">
      <c r="A762" s="20" t="s">
        <v>447</v>
      </c>
      <c r="B762" s="20" t="s">
        <v>390</v>
      </c>
      <c r="C762" s="20" t="s">
        <v>448</v>
      </c>
      <c r="D762" s="20" t="s">
        <v>216</v>
      </c>
      <c r="E762" s="13">
        <v>0</v>
      </c>
      <c r="F762" s="11">
        <v>0</v>
      </c>
      <c r="G762" s="13">
        <v>0</v>
      </c>
      <c r="H762" s="11">
        <v>0</v>
      </c>
      <c r="I762" s="13">
        <f>E762+G762</f>
        <v>0</v>
      </c>
      <c r="J762" s="11">
        <f>F762+H762</f>
        <v>0</v>
      </c>
      <c r="K762" s="13">
        <v>0</v>
      </c>
      <c r="L762" s="11">
        <v>0</v>
      </c>
      <c r="M762" s="11">
        <v>0</v>
      </c>
      <c r="N762" s="13">
        <v>0</v>
      </c>
      <c r="O762" s="11">
        <v>0</v>
      </c>
      <c r="P762" s="11">
        <v>0</v>
      </c>
      <c r="Q762" s="13">
        <f>K762+N762</f>
        <v>0</v>
      </c>
      <c r="R762" s="11">
        <f>L762+O762</f>
        <v>0</v>
      </c>
      <c r="S762" s="11">
        <f>M762+P762</f>
        <v>0</v>
      </c>
      <c r="T762" s="8">
        <f>I762-Q762</f>
        <v>0</v>
      </c>
      <c r="U762" s="18">
        <v>-1.6146557169930511</v>
      </c>
      <c r="V762" s="11">
        <v>0</v>
      </c>
      <c r="W762" s="11">
        <v>0</v>
      </c>
      <c r="X762" s="11">
        <v>0</v>
      </c>
      <c r="Y762" s="11">
        <v>0</v>
      </c>
      <c r="Z762" t="s">
        <v>56</v>
      </c>
    </row>
    <row r="763" spans="1:26" x14ac:dyDescent="0.25">
      <c r="A763" s="20" t="s">
        <v>1282</v>
      </c>
      <c r="B763" s="20" t="s">
        <v>91</v>
      </c>
      <c r="C763" s="20" t="s">
        <v>1283</v>
      </c>
      <c r="D763" s="20" t="s">
        <v>216</v>
      </c>
      <c r="E763" s="13">
        <v>4910</v>
      </c>
      <c r="F763" s="11">
        <v>1</v>
      </c>
      <c r="G763" s="13">
        <v>0</v>
      </c>
      <c r="H763" s="11">
        <v>0</v>
      </c>
      <c r="I763" s="13">
        <f>E763+G763</f>
        <v>4910</v>
      </c>
      <c r="J763" s="11">
        <f>F763+H763</f>
        <v>1</v>
      </c>
      <c r="K763" s="13">
        <v>905</v>
      </c>
      <c r="L763" s="11">
        <v>0</v>
      </c>
      <c r="M763" s="11">
        <v>3</v>
      </c>
      <c r="N763" s="13">
        <v>0</v>
      </c>
      <c r="O763" s="11">
        <v>0</v>
      </c>
      <c r="P763" s="11">
        <v>0</v>
      </c>
      <c r="Q763" s="13">
        <f>K763+N763</f>
        <v>905</v>
      </c>
      <c r="R763" s="11">
        <f>L763+O763</f>
        <v>0</v>
      </c>
      <c r="S763" s="11">
        <f>M763+P763</f>
        <v>3</v>
      </c>
      <c r="T763" s="8">
        <f>I763-Q763</f>
        <v>4005</v>
      </c>
      <c r="U763" s="18">
        <v>2.1953864058006985E-2</v>
      </c>
      <c r="V763" s="11">
        <v>0.28999999999999998</v>
      </c>
      <c r="W763" s="11">
        <v>4</v>
      </c>
      <c r="X763" s="11">
        <v>10</v>
      </c>
      <c r="Y763" s="11">
        <v>1</v>
      </c>
      <c r="Z763" t="s">
        <v>56</v>
      </c>
    </row>
    <row r="764" spans="1:26" x14ac:dyDescent="0.25">
      <c r="A764" s="20" t="s">
        <v>390</v>
      </c>
      <c r="B764" s="20" t="s">
        <v>390</v>
      </c>
      <c r="C764" s="20" t="s">
        <v>1284</v>
      </c>
      <c r="D764" s="20" t="s">
        <v>216</v>
      </c>
      <c r="E764" s="13">
        <v>0</v>
      </c>
      <c r="F764" s="11">
        <v>0</v>
      </c>
      <c r="G764" s="13">
        <v>0</v>
      </c>
      <c r="H764" s="11">
        <v>0</v>
      </c>
      <c r="I764" s="13">
        <f>E764+G764</f>
        <v>0</v>
      </c>
      <c r="J764" s="11">
        <f>F764+H764</f>
        <v>0</v>
      </c>
      <c r="K764" s="13">
        <v>0</v>
      </c>
      <c r="L764" s="11">
        <v>0</v>
      </c>
      <c r="M764" s="11">
        <v>0</v>
      </c>
      <c r="N764" s="13">
        <v>3716</v>
      </c>
      <c r="O764" s="11">
        <v>0</v>
      </c>
      <c r="P764" s="11">
        <v>0</v>
      </c>
      <c r="Q764" s="13">
        <f>K764+N764</f>
        <v>3716</v>
      </c>
      <c r="R764" s="11">
        <f>L764+O764</f>
        <v>0</v>
      </c>
      <c r="S764" s="11">
        <f>M764+P764</f>
        <v>0</v>
      </c>
      <c r="T764" s="8">
        <f>I764-Q764</f>
        <v>-3716</v>
      </c>
      <c r="U764" s="18">
        <v>5.6350758527118225E-2</v>
      </c>
      <c r="V764" s="11">
        <v>0</v>
      </c>
      <c r="W764" s="11">
        <v>0</v>
      </c>
      <c r="X764" s="11">
        <v>0</v>
      </c>
      <c r="Y764" s="11">
        <v>0</v>
      </c>
      <c r="Z764" t="s">
        <v>56</v>
      </c>
    </row>
    <row r="765" spans="1:26" x14ac:dyDescent="0.25">
      <c r="A765" s="20" t="s">
        <v>1285</v>
      </c>
      <c r="B765" s="20" t="s">
        <v>60</v>
      </c>
      <c r="C765" s="20" t="s">
        <v>1286</v>
      </c>
      <c r="D765" s="20" t="s">
        <v>216</v>
      </c>
      <c r="E765" s="13">
        <v>14963</v>
      </c>
      <c r="F765" s="11">
        <v>0</v>
      </c>
      <c r="G765" s="13">
        <v>2182</v>
      </c>
      <c r="H765" s="11">
        <v>0</v>
      </c>
      <c r="I765" s="13">
        <f>E765+G765</f>
        <v>17145</v>
      </c>
      <c r="J765" s="11">
        <f>F765+H765</f>
        <v>0</v>
      </c>
      <c r="K765" s="13">
        <v>23143.94</v>
      </c>
      <c r="L765" s="11">
        <v>0</v>
      </c>
      <c r="M765" s="11">
        <v>6</v>
      </c>
      <c r="N765" s="13">
        <v>2400</v>
      </c>
      <c r="O765" s="11">
        <v>0</v>
      </c>
      <c r="P765" s="11">
        <v>0</v>
      </c>
      <c r="Q765" s="13">
        <f>K765+N765</f>
        <v>25543.94</v>
      </c>
      <c r="R765" s="11">
        <f>L765+O765</f>
        <v>0</v>
      </c>
      <c r="S765" s="11">
        <f>M765+P765</f>
        <v>6</v>
      </c>
      <c r="T765" s="8">
        <f>I765-Q765</f>
        <v>-8398.9399999999987</v>
      </c>
      <c r="U765" s="18">
        <v>2.4216935313842969</v>
      </c>
      <c r="V765" s="11">
        <v>0.3</v>
      </c>
      <c r="W765" s="11">
        <v>6</v>
      </c>
      <c r="X765" s="11">
        <v>14</v>
      </c>
      <c r="Y765" s="11">
        <v>0</v>
      </c>
      <c r="Z765" t="s">
        <v>56</v>
      </c>
    </row>
    <row r="766" spans="1:26" x14ac:dyDescent="0.25">
      <c r="A766" s="20" t="s">
        <v>471</v>
      </c>
      <c r="B766" s="20" t="s">
        <v>60</v>
      </c>
      <c r="C766" s="20" t="s">
        <v>3098</v>
      </c>
      <c r="D766" s="20" t="s">
        <v>216</v>
      </c>
      <c r="E766" s="13">
        <v>0</v>
      </c>
      <c r="F766" s="11">
        <v>0</v>
      </c>
      <c r="G766" s="13">
        <v>0</v>
      </c>
      <c r="H766" s="11">
        <v>0</v>
      </c>
      <c r="I766" s="13">
        <f>E766+G766</f>
        <v>0</v>
      </c>
      <c r="J766" s="11">
        <f>F766+H766</f>
        <v>0</v>
      </c>
      <c r="K766" s="13">
        <v>0</v>
      </c>
      <c r="L766" s="11">
        <v>0</v>
      </c>
      <c r="M766" s="11">
        <v>0</v>
      </c>
      <c r="N766" s="13">
        <v>0</v>
      </c>
      <c r="O766" s="11">
        <v>0</v>
      </c>
      <c r="P766" s="11">
        <v>0</v>
      </c>
      <c r="Q766" s="13">
        <f>K766+N766</f>
        <v>0</v>
      </c>
      <c r="R766" s="11">
        <f>L766+O766</f>
        <v>0</v>
      </c>
      <c r="S766" s="11">
        <f>M766+P766</f>
        <v>0</v>
      </c>
      <c r="T766" s="8">
        <f>I766-Q766</f>
        <v>0</v>
      </c>
      <c r="U766" s="18" t="s">
        <v>1803</v>
      </c>
      <c r="V766" s="11">
        <v>0</v>
      </c>
      <c r="W766" s="11">
        <v>0</v>
      </c>
      <c r="X766" s="11">
        <v>0</v>
      </c>
      <c r="Y766" s="11">
        <v>0</v>
      </c>
      <c r="Z766" t="s">
        <v>56</v>
      </c>
    </row>
    <row r="767" spans="1:26" x14ac:dyDescent="0.25">
      <c r="A767" s="20" t="s">
        <v>425</v>
      </c>
      <c r="B767" s="20" t="s">
        <v>425</v>
      </c>
      <c r="C767" s="20" t="s">
        <v>1288</v>
      </c>
      <c r="D767" s="20" t="s">
        <v>216</v>
      </c>
      <c r="E767" s="13">
        <v>19465</v>
      </c>
      <c r="F767" s="11">
        <v>0</v>
      </c>
      <c r="G767" s="13">
        <v>0</v>
      </c>
      <c r="H767" s="11">
        <v>0</v>
      </c>
      <c r="I767" s="13">
        <f>E767+G767</f>
        <v>19465</v>
      </c>
      <c r="J767" s="11">
        <f>F767+H767</f>
        <v>0</v>
      </c>
      <c r="K767" s="13">
        <v>21615.77</v>
      </c>
      <c r="L767" s="11">
        <v>0</v>
      </c>
      <c r="M767" s="11">
        <v>0</v>
      </c>
      <c r="N767" s="13">
        <v>5500</v>
      </c>
      <c r="O767" s="11">
        <v>0</v>
      </c>
      <c r="P767" s="11">
        <v>0</v>
      </c>
      <c r="Q767" s="13">
        <f>K767+N767</f>
        <v>27115.77</v>
      </c>
      <c r="R767" s="11">
        <f>L767+O767</f>
        <v>0</v>
      </c>
      <c r="S767" s="11">
        <f>M767+P767</f>
        <v>0</v>
      </c>
      <c r="T767" s="8">
        <f>I767-Q767</f>
        <v>-7650.77</v>
      </c>
      <c r="U767" s="18">
        <v>0.18810725007907589</v>
      </c>
      <c r="V767" s="11">
        <v>0</v>
      </c>
      <c r="W767" s="11">
        <v>0</v>
      </c>
      <c r="X767" s="11">
        <v>1</v>
      </c>
      <c r="Y767" s="11">
        <v>0</v>
      </c>
      <c r="Z767" t="s">
        <v>56</v>
      </c>
    </row>
    <row r="768" spans="1:26" x14ac:dyDescent="0.25">
      <c r="A768" s="20" t="s">
        <v>467</v>
      </c>
      <c r="B768" s="20" t="s">
        <v>467</v>
      </c>
      <c r="C768" s="20" t="s">
        <v>468</v>
      </c>
      <c r="D768" s="20" t="s">
        <v>216</v>
      </c>
      <c r="E768" s="13">
        <v>0</v>
      </c>
      <c r="F768" s="11">
        <v>0</v>
      </c>
      <c r="G768" s="13">
        <v>1684</v>
      </c>
      <c r="H768" s="11">
        <v>0</v>
      </c>
      <c r="I768" s="13">
        <f>E768+G768</f>
        <v>1684</v>
      </c>
      <c r="J768" s="11">
        <f>F768+H768</f>
        <v>0</v>
      </c>
      <c r="K768" s="13">
        <v>2107.02</v>
      </c>
      <c r="L768" s="11">
        <v>0</v>
      </c>
      <c r="M768" s="11">
        <v>0</v>
      </c>
      <c r="N768" s="13">
        <v>10966</v>
      </c>
      <c r="O768" s="11">
        <v>0</v>
      </c>
      <c r="P768" s="11">
        <v>1</v>
      </c>
      <c r="Q768" s="13">
        <f>K768+N768</f>
        <v>13073.02</v>
      </c>
      <c r="R768" s="11">
        <f>L768+O768</f>
        <v>0</v>
      </c>
      <c r="S768" s="11">
        <f>M768+P768</f>
        <v>1</v>
      </c>
      <c r="T768" s="8">
        <f>I768-Q768</f>
        <v>-11389.02</v>
      </c>
      <c r="U768" s="18">
        <v>-7.7836091454114908E-2</v>
      </c>
      <c r="V768" s="11">
        <v>0.33</v>
      </c>
      <c r="W768" s="11">
        <v>1</v>
      </c>
      <c r="X768" s="11">
        <v>2</v>
      </c>
      <c r="Y768" s="11">
        <v>1</v>
      </c>
      <c r="Z768" t="s">
        <v>56</v>
      </c>
    </row>
    <row r="769" spans="1:26" x14ac:dyDescent="0.25">
      <c r="A769" s="20" t="s">
        <v>1290</v>
      </c>
      <c r="B769" s="20" t="s">
        <v>91</v>
      </c>
      <c r="C769" s="20" t="s">
        <v>1291</v>
      </c>
      <c r="D769" s="20" t="s">
        <v>215</v>
      </c>
      <c r="E769" s="13">
        <v>0</v>
      </c>
      <c r="F769" s="11">
        <v>0</v>
      </c>
      <c r="G769" s="13">
        <v>0</v>
      </c>
      <c r="H769" s="11">
        <v>0</v>
      </c>
      <c r="I769" s="13">
        <f>E769+G769</f>
        <v>0</v>
      </c>
      <c r="J769" s="11">
        <f>F769+H769</f>
        <v>0</v>
      </c>
      <c r="K769" s="13">
        <v>32966</v>
      </c>
      <c r="L769" s="11">
        <v>0</v>
      </c>
      <c r="M769" s="11">
        <v>0</v>
      </c>
      <c r="N769" s="13">
        <v>11678</v>
      </c>
      <c r="O769" s="11">
        <v>1</v>
      </c>
      <c r="P769" s="11">
        <v>2</v>
      </c>
      <c r="Q769" s="13">
        <f>K769+N769</f>
        <v>44644</v>
      </c>
      <c r="R769" s="11">
        <f>L769+O769</f>
        <v>1</v>
      </c>
      <c r="S769" s="11">
        <f>M769+P769</f>
        <v>2</v>
      </c>
      <c r="T769" s="8">
        <f>I769-Q769</f>
        <v>-44644</v>
      </c>
      <c r="U769" s="18">
        <v>2.2192717698894948</v>
      </c>
      <c r="V769" s="11">
        <v>0.33</v>
      </c>
      <c r="W769" s="11">
        <v>1</v>
      </c>
      <c r="X769" s="11">
        <v>2</v>
      </c>
      <c r="Y769" s="11">
        <v>0</v>
      </c>
      <c r="Z769" t="s">
        <v>56</v>
      </c>
    </row>
    <row r="770" spans="1:26" x14ac:dyDescent="0.25">
      <c r="A770" s="20" t="s">
        <v>1293</v>
      </c>
      <c r="B770" s="20" t="s">
        <v>124</v>
      </c>
      <c r="C770" s="20" t="s">
        <v>1294</v>
      </c>
      <c r="D770" s="20" t="s">
        <v>216</v>
      </c>
      <c r="E770" s="13">
        <v>0</v>
      </c>
      <c r="F770" s="11">
        <v>0</v>
      </c>
      <c r="G770" s="13">
        <v>0</v>
      </c>
      <c r="H770" s="11">
        <v>0</v>
      </c>
      <c r="I770" s="13">
        <f>E770+G770</f>
        <v>0</v>
      </c>
      <c r="J770" s="11">
        <f>F770+H770</f>
        <v>0</v>
      </c>
      <c r="K770" s="13">
        <v>0</v>
      </c>
      <c r="L770" s="11">
        <v>0</v>
      </c>
      <c r="M770" s="11">
        <v>0</v>
      </c>
      <c r="N770" s="13">
        <v>0</v>
      </c>
      <c r="O770" s="11">
        <v>0</v>
      </c>
      <c r="P770" s="11">
        <v>0</v>
      </c>
      <c r="Q770" s="13">
        <f>K770+N770</f>
        <v>0</v>
      </c>
      <c r="R770" s="11">
        <f>L770+O770</f>
        <v>0</v>
      </c>
      <c r="S770" s="11">
        <f>M770+P770</f>
        <v>0</v>
      </c>
      <c r="T770" s="8">
        <f>I770-Q770</f>
        <v>0</v>
      </c>
      <c r="U770" s="18">
        <v>-2.5281548584033344E-3</v>
      </c>
      <c r="V770" s="11">
        <v>0</v>
      </c>
      <c r="W770" s="11">
        <v>0</v>
      </c>
      <c r="X770" s="11">
        <v>1</v>
      </c>
      <c r="Y770" s="11">
        <v>3</v>
      </c>
      <c r="Z770" t="s">
        <v>56</v>
      </c>
    </row>
    <row r="771" spans="1:26" x14ac:dyDescent="0.25">
      <c r="A771" s="20" t="s">
        <v>493</v>
      </c>
      <c r="B771" s="20" t="s">
        <v>124</v>
      </c>
      <c r="C771" s="20" t="s">
        <v>494</v>
      </c>
      <c r="D771" s="20" t="s">
        <v>216</v>
      </c>
      <c r="E771" s="13">
        <v>0</v>
      </c>
      <c r="F771" s="11">
        <v>0</v>
      </c>
      <c r="G771" s="13">
        <v>0</v>
      </c>
      <c r="H771" s="11">
        <v>0</v>
      </c>
      <c r="I771" s="13">
        <f>E771+G771</f>
        <v>0</v>
      </c>
      <c r="J771" s="11">
        <f>F771+H771</f>
        <v>0</v>
      </c>
      <c r="K771" s="13">
        <v>0</v>
      </c>
      <c r="L771" s="11">
        <v>0</v>
      </c>
      <c r="M771" s="11">
        <v>0</v>
      </c>
      <c r="N771" s="13">
        <v>0</v>
      </c>
      <c r="O771" s="11">
        <v>0</v>
      </c>
      <c r="P771" s="11">
        <v>1</v>
      </c>
      <c r="Q771" s="13">
        <f>K771+N771</f>
        <v>0</v>
      </c>
      <c r="R771" s="11">
        <f>L771+O771</f>
        <v>0</v>
      </c>
      <c r="S771" s="11">
        <f>M771+P771</f>
        <v>1</v>
      </c>
      <c r="T771" s="8">
        <f>I771-Q771</f>
        <v>0</v>
      </c>
      <c r="U771" s="18">
        <v>5.6089236119706331E-3</v>
      </c>
      <c r="V771" s="11">
        <v>0.33</v>
      </c>
      <c r="W771" s="11">
        <v>1</v>
      </c>
      <c r="X771" s="11">
        <v>2</v>
      </c>
      <c r="Y771" s="11">
        <v>0</v>
      </c>
      <c r="Z771" t="s">
        <v>56</v>
      </c>
    </row>
    <row r="772" spans="1:26" x14ac:dyDescent="0.25">
      <c r="A772" s="20" t="s">
        <v>1296</v>
      </c>
      <c r="B772" s="20" t="s">
        <v>724</v>
      </c>
      <c r="C772" s="20" t="s">
        <v>3407</v>
      </c>
      <c r="D772" s="20" t="s">
        <v>216</v>
      </c>
      <c r="E772" s="13">
        <v>71283.66</v>
      </c>
      <c r="F772" s="11">
        <v>0</v>
      </c>
      <c r="G772" s="13">
        <v>3008.21</v>
      </c>
      <c r="H772" s="11">
        <v>0</v>
      </c>
      <c r="I772" s="13">
        <f>E772+G772</f>
        <v>74291.87000000001</v>
      </c>
      <c r="J772" s="11">
        <f>F772+H772</f>
        <v>0</v>
      </c>
      <c r="K772" s="13">
        <v>87615.74</v>
      </c>
      <c r="L772" s="11">
        <v>0</v>
      </c>
      <c r="M772" s="11">
        <v>2</v>
      </c>
      <c r="N772" s="13">
        <v>30391.41</v>
      </c>
      <c r="O772" s="11">
        <v>0</v>
      </c>
      <c r="P772" s="11">
        <v>3</v>
      </c>
      <c r="Q772" s="13">
        <f>K772+N772</f>
        <v>118007.15000000001</v>
      </c>
      <c r="R772" s="11">
        <f>L772+O772</f>
        <v>0</v>
      </c>
      <c r="S772" s="11">
        <f>M772+P772</f>
        <v>5</v>
      </c>
      <c r="T772" s="8">
        <f>I772-Q772</f>
        <v>-43715.28</v>
      </c>
      <c r="U772" s="18">
        <v>9.0172290822852372E-2</v>
      </c>
      <c r="V772" s="11">
        <v>0.38</v>
      </c>
      <c r="W772" s="11">
        <v>5</v>
      </c>
      <c r="X772" s="11">
        <v>8</v>
      </c>
      <c r="Y772" s="11">
        <v>0</v>
      </c>
      <c r="Z772" t="s">
        <v>56</v>
      </c>
    </row>
    <row r="773" spans="1:26" x14ac:dyDescent="0.25">
      <c r="A773" s="20" t="s">
        <v>1297</v>
      </c>
      <c r="B773" s="20" t="s">
        <v>91</v>
      </c>
      <c r="C773" s="20" t="s">
        <v>1298</v>
      </c>
      <c r="D773" s="20" t="s">
        <v>216</v>
      </c>
      <c r="E773" s="13">
        <v>0</v>
      </c>
      <c r="F773" s="11">
        <v>0</v>
      </c>
      <c r="G773" s="13">
        <v>0</v>
      </c>
      <c r="H773" s="11">
        <v>0</v>
      </c>
      <c r="I773" s="13">
        <f>E773+G773</f>
        <v>0</v>
      </c>
      <c r="J773" s="11">
        <f>F773+H773</f>
        <v>0</v>
      </c>
      <c r="K773" s="13">
        <v>0</v>
      </c>
      <c r="L773" s="11">
        <v>0</v>
      </c>
      <c r="M773" s="11">
        <v>0</v>
      </c>
      <c r="N773" s="13">
        <v>0</v>
      </c>
      <c r="O773" s="11">
        <v>0</v>
      </c>
      <c r="P773" s="11">
        <v>0</v>
      </c>
      <c r="Q773" s="13">
        <f>K773+N773</f>
        <v>0</v>
      </c>
      <c r="R773" s="11">
        <f>L773+O773</f>
        <v>0</v>
      </c>
      <c r="S773" s="11">
        <f>M773+P773</f>
        <v>0</v>
      </c>
      <c r="T773" s="8">
        <f>I773-Q773</f>
        <v>0</v>
      </c>
      <c r="U773" s="18">
        <v>-0.11055959889344144</v>
      </c>
      <c r="V773" s="11">
        <v>0</v>
      </c>
      <c r="W773" s="11">
        <v>0</v>
      </c>
      <c r="X773" s="11">
        <v>0</v>
      </c>
      <c r="Y773" s="11">
        <v>0</v>
      </c>
      <c r="Z773" t="s">
        <v>56</v>
      </c>
    </row>
    <row r="774" spans="1:26" x14ac:dyDescent="0.25">
      <c r="A774" s="20" t="s">
        <v>1300</v>
      </c>
      <c r="B774" s="20" t="s">
        <v>124</v>
      </c>
      <c r="C774" s="20" t="s">
        <v>1301</v>
      </c>
      <c r="D774" s="20" t="s">
        <v>216</v>
      </c>
      <c r="E774" s="13">
        <v>0</v>
      </c>
      <c r="F774" s="11">
        <v>0</v>
      </c>
      <c r="G774" s="13">
        <v>0</v>
      </c>
      <c r="H774" s="11">
        <v>0</v>
      </c>
      <c r="I774" s="13">
        <f>E774+G774</f>
        <v>0</v>
      </c>
      <c r="J774" s="11">
        <f>F774+H774</f>
        <v>0</v>
      </c>
      <c r="K774" s="13">
        <v>0</v>
      </c>
      <c r="L774" s="11">
        <v>0</v>
      </c>
      <c r="M774" s="11">
        <v>0</v>
      </c>
      <c r="N774" s="13">
        <v>0</v>
      </c>
      <c r="O774" s="11">
        <v>0</v>
      </c>
      <c r="P774" s="11">
        <v>0</v>
      </c>
      <c r="Q774" s="13">
        <f>K774+N774</f>
        <v>0</v>
      </c>
      <c r="R774" s="11">
        <f>L774+O774</f>
        <v>0</v>
      </c>
      <c r="S774" s="11">
        <f>M774+P774</f>
        <v>0</v>
      </c>
      <c r="T774" s="8">
        <f>I774-Q774</f>
        <v>0</v>
      </c>
      <c r="U774" s="18">
        <v>-1.3098000834850389E-2</v>
      </c>
      <c r="V774" s="11">
        <v>0</v>
      </c>
      <c r="W774" s="11">
        <v>0</v>
      </c>
      <c r="X774" s="11">
        <v>0</v>
      </c>
      <c r="Y774" s="11">
        <v>0</v>
      </c>
      <c r="Z774" t="s">
        <v>56</v>
      </c>
    </row>
    <row r="775" spans="1:26" x14ac:dyDescent="0.25">
      <c r="A775" s="20" t="s">
        <v>172</v>
      </c>
      <c r="B775" s="20" t="s">
        <v>172</v>
      </c>
      <c r="C775" s="20" t="s">
        <v>3099</v>
      </c>
      <c r="D775" s="20" t="s">
        <v>216</v>
      </c>
      <c r="E775" s="13">
        <v>0</v>
      </c>
      <c r="F775" s="11">
        <v>0</v>
      </c>
      <c r="G775" s="13">
        <v>0</v>
      </c>
      <c r="H775" s="11">
        <v>0</v>
      </c>
      <c r="I775" s="13">
        <f>E775+G775</f>
        <v>0</v>
      </c>
      <c r="J775" s="11">
        <f>F775+H775</f>
        <v>0</v>
      </c>
      <c r="K775" s="13">
        <v>0</v>
      </c>
      <c r="L775" s="11">
        <v>0</v>
      </c>
      <c r="M775" s="11">
        <v>0</v>
      </c>
      <c r="N775" s="13">
        <v>0</v>
      </c>
      <c r="O775" s="11">
        <v>0</v>
      </c>
      <c r="P775" s="11">
        <v>0</v>
      </c>
      <c r="Q775" s="13">
        <f>K775+N775</f>
        <v>0</v>
      </c>
      <c r="R775" s="11">
        <f>L775+O775</f>
        <v>0</v>
      </c>
      <c r="S775" s="11">
        <f>M775+P775</f>
        <v>0</v>
      </c>
      <c r="T775" s="8">
        <f>I775-Q775</f>
        <v>0</v>
      </c>
      <c r="U775" s="18">
        <v>0.24483642139718517</v>
      </c>
      <c r="V775" s="11">
        <v>0</v>
      </c>
      <c r="W775" s="11">
        <v>0</v>
      </c>
      <c r="X775" s="11">
        <v>0</v>
      </c>
      <c r="Y775" s="11">
        <v>2</v>
      </c>
      <c r="Z775" t="s">
        <v>56</v>
      </c>
    </row>
    <row r="776" spans="1:26" x14ac:dyDescent="0.25">
      <c r="A776" s="20" t="s">
        <v>1303</v>
      </c>
      <c r="B776" s="20" t="s">
        <v>91</v>
      </c>
      <c r="C776" s="20" t="s">
        <v>1304</v>
      </c>
      <c r="D776" s="20" t="s">
        <v>216</v>
      </c>
      <c r="E776" s="13">
        <v>0</v>
      </c>
      <c r="F776" s="11">
        <v>0</v>
      </c>
      <c r="G776" s="13">
        <v>0</v>
      </c>
      <c r="H776" s="11">
        <v>0</v>
      </c>
      <c r="I776" s="13">
        <f>E776+G776</f>
        <v>0</v>
      </c>
      <c r="J776" s="11">
        <f>F776+H776</f>
        <v>0</v>
      </c>
      <c r="K776" s="13">
        <v>0</v>
      </c>
      <c r="L776" s="11">
        <v>0</v>
      </c>
      <c r="M776" s="11">
        <v>0</v>
      </c>
      <c r="N776" s="13">
        <v>0</v>
      </c>
      <c r="O776" s="11">
        <v>0</v>
      </c>
      <c r="P776" s="11">
        <v>0</v>
      </c>
      <c r="Q776" s="13">
        <f>K776+N776</f>
        <v>0</v>
      </c>
      <c r="R776" s="11">
        <f>L776+O776</f>
        <v>0</v>
      </c>
      <c r="S776" s="11">
        <f>M776+P776</f>
        <v>0</v>
      </c>
      <c r="T776" s="8">
        <f>I776-Q776</f>
        <v>0</v>
      </c>
      <c r="U776" s="18">
        <v>8.25960852488428E-3</v>
      </c>
      <c r="V776" s="11">
        <v>0</v>
      </c>
      <c r="W776" s="11">
        <v>0</v>
      </c>
      <c r="X776" s="11">
        <v>0</v>
      </c>
      <c r="Y776" s="11">
        <v>0</v>
      </c>
      <c r="Z776" t="s">
        <v>56</v>
      </c>
    </row>
    <row r="777" spans="1:26" x14ac:dyDescent="0.25">
      <c r="A777" s="20" t="s">
        <v>515</v>
      </c>
      <c r="B777" s="20" t="s">
        <v>60</v>
      </c>
      <c r="C777" s="20" t="s">
        <v>516</v>
      </c>
      <c r="D777" s="20" t="s">
        <v>216</v>
      </c>
      <c r="E777" s="13">
        <v>0</v>
      </c>
      <c r="F777" s="11">
        <v>0</v>
      </c>
      <c r="G777" s="13">
        <v>0</v>
      </c>
      <c r="H777" s="11">
        <v>0</v>
      </c>
      <c r="I777" s="13">
        <f>E777+G777</f>
        <v>0</v>
      </c>
      <c r="J777" s="11">
        <f>F777+H777</f>
        <v>0</v>
      </c>
      <c r="K777" s="13">
        <v>0</v>
      </c>
      <c r="L777" s="11">
        <v>0</v>
      </c>
      <c r="M777" s="11">
        <v>0</v>
      </c>
      <c r="N777" s="13">
        <v>0</v>
      </c>
      <c r="O777" s="11">
        <v>0</v>
      </c>
      <c r="P777" s="11">
        <v>0</v>
      </c>
      <c r="Q777" s="13">
        <f>K777+N777</f>
        <v>0</v>
      </c>
      <c r="R777" s="11">
        <f>L777+O777</f>
        <v>0</v>
      </c>
      <c r="S777" s="11">
        <f>M777+P777</f>
        <v>0</v>
      </c>
      <c r="T777" s="8">
        <f>I777-Q777</f>
        <v>0</v>
      </c>
      <c r="U777" s="18">
        <v>-1.7649940702920568</v>
      </c>
      <c r="V777" s="11">
        <v>0</v>
      </c>
      <c r="W777" s="11">
        <v>0</v>
      </c>
      <c r="X777" s="11">
        <v>0</v>
      </c>
      <c r="Y777" s="11">
        <v>0</v>
      </c>
      <c r="Z777" t="s">
        <v>56</v>
      </c>
    </row>
    <row r="778" spans="1:26" x14ac:dyDescent="0.25">
      <c r="A778" s="20" t="s">
        <v>1305</v>
      </c>
      <c r="B778" s="20" t="s">
        <v>60</v>
      </c>
      <c r="C778" s="20" t="s">
        <v>3100</v>
      </c>
      <c r="D778" s="20" t="s">
        <v>216</v>
      </c>
      <c r="E778" s="13">
        <v>0</v>
      </c>
      <c r="F778" s="11">
        <v>0</v>
      </c>
      <c r="G778" s="13">
        <v>0</v>
      </c>
      <c r="H778" s="11">
        <v>0</v>
      </c>
      <c r="I778" s="13">
        <f>E778+G778</f>
        <v>0</v>
      </c>
      <c r="J778" s="11">
        <f>F778+H778</f>
        <v>0</v>
      </c>
      <c r="K778" s="13">
        <v>0</v>
      </c>
      <c r="L778" s="11">
        <v>0</v>
      </c>
      <c r="M778" s="11">
        <v>0</v>
      </c>
      <c r="N778" s="13">
        <v>0</v>
      </c>
      <c r="O778" s="11">
        <v>0</v>
      </c>
      <c r="P778" s="11">
        <v>0</v>
      </c>
      <c r="Q778" s="13">
        <f>K778+N778</f>
        <v>0</v>
      </c>
      <c r="R778" s="11">
        <f>L778+O778</f>
        <v>0</v>
      </c>
      <c r="S778" s="11">
        <f>M778+P778</f>
        <v>0</v>
      </c>
      <c r="T778" s="8">
        <f>I778-Q778</f>
        <v>0</v>
      </c>
      <c r="U778" s="18">
        <v>-0.15802911538732789</v>
      </c>
      <c r="V778" s="11">
        <v>0</v>
      </c>
      <c r="W778" s="11">
        <v>0</v>
      </c>
      <c r="X778" s="11">
        <v>0</v>
      </c>
      <c r="Y778" s="11">
        <v>0</v>
      </c>
      <c r="Z778" t="s">
        <v>56</v>
      </c>
    </row>
    <row r="779" spans="1:26" x14ac:dyDescent="0.25">
      <c r="A779" s="20" t="s">
        <v>1307</v>
      </c>
      <c r="B779" s="20" t="s">
        <v>83</v>
      </c>
      <c r="C779" s="20" t="s">
        <v>1308</v>
      </c>
      <c r="D779" s="20" t="s">
        <v>216</v>
      </c>
      <c r="E779" s="13">
        <v>0</v>
      </c>
      <c r="F779" s="11">
        <v>0</v>
      </c>
      <c r="G779" s="13">
        <v>0</v>
      </c>
      <c r="H779" s="11">
        <v>0</v>
      </c>
      <c r="I779" s="13">
        <f>E779+G779</f>
        <v>0</v>
      </c>
      <c r="J779" s="11">
        <f>F779+H779</f>
        <v>0</v>
      </c>
      <c r="K779" s="13">
        <v>0</v>
      </c>
      <c r="L779" s="11">
        <v>0</v>
      </c>
      <c r="M779" s="11">
        <v>0</v>
      </c>
      <c r="N779" s="13">
        <v>0</v>
      </c>
      <c r="O779" s="11">
        <v>0</v>
      </c>
      <c r="P779" s="11">
        <v>0</v>
      </c>
      <c r="Q779" s="13">
        <f>K779+N779</f>
        <v>0</v>
      </c>
      <c r="R779" s="11">
        <f>L779+O779</f>
        <v>0</v>
      </c>
      <c r="S779" s="11">
        <f>M779+P779</f>
        <v>0</v>
      </c>
      <c r="T779" s="8">
        <f>I779-Q779</f>
        <v>0</v>
      </c>
      <c r="U779" s="18">
        <v>-6.0163332013683755E-2</v>
      </c>
      <c r="V779" s="11">
        <v>0</v>
      </c>
      <c r="W779" s="11">
        <v>0</v>
      </c>
      <c r="X779" s="11">
        <v>0</v>
      </c>
      <c r="Y779" s="11">
        <v>1</v>
      </c>
      <c r="Z779" t="s">
        <v>56</v>
      </c>
    </row>
    <row r="780" spans="1:26" x14ac:dyDescent="0.25">
      <c r="A780" s="20" t="s">
        <v>1309</v>
      </c>
      <c r="B780" s="20" t="s">
        <v>1309</v>
      </c>
      <c r="C780" s="20" t="s">
        <v>1310</v>
      </c>
      <c r="D780" s="20" t="s">
        <v>216</v>
      </c>
      <c r="E780" s="13">
        <v>0</v>
      </c>
      <c r="F780" s="11">
        <v>0</v>
      </c>
      <c r="G780" s="13">
        <v>0</v>
      </c>
      <c r="H780" s="11">
        <v>0</v>
      </c>
      <c r="I780" s="13">
        <f>E780+G780</f>
        <v>0</v>
      </c>
      <c r="J780" s="11">
        <f>F780+H780</f>
        <v>0</v>
      </c>
      <c r="K780" s="13">
        <v>0</v>
      </c>
      <c r="L780" s="11">
        <v>0</v>
      </c>
      <c r="M780" s="11">
        <v>0</v>
      </c>
      <c r="N780" s="13">
        <v>0</v>
      </c>
      <c r="O780" s="11">
        <v>0</v>
      </c>
      <c r="P780" s="11">
        <v>0</v>
      </c>
      <c r="Q780" s="13">
        <f>K780+N780</f>
        <v>0</v>
      </c>
      <c r="R780" s="11">
        <f>L780+O780</f>
        <v>0</v>
      </c>
      <c r="S780" s="11">
        <f>M780+P780</f>
        <v>0</v>
      </c>
      <c r="T780" s="8">
        <f>I780-Q780</f>
        <v>0</v>
      </c>
      <c r="U780" s="18" t="s">
        <v>1803</v>
      </c>
      <c r="V780" s="11">
        <v>0</v>
      </c>
      <c r="W780" s="11">
        <v>0</v>
      </c>
      <c r="X780" s="11">
        <v>0</v>
      </c>
      <c r="Y780" s="11">
        <v>0</v>
      </c>
      <c r="Z780" t="s">
        <v>56</v>
      </c>
    </row>
    <row r="781" spans="1:26" x14ac:dyDescent="0.25">
      <c r="A781" s="20" t="s">
        <v>524</v>
      </c>
      <c r="B781" s="20" t="s">
        <v>91</v>
      </c>
      <c r="C781" s="20" t="s">
        <v>525</v>
      </c>
      <c r="D781" s="20" t="s">
        <v>216</v>
      </c>
      <c r="E781" s="13">
        <v>7789</v>
      </c>
      <c r="F781" s="11">
        <v>0</v>
      </c>
      <c r="G781" s="13">
        <v>0</v>
      </c>
      <c r="H781" s="11">
        <v>0</v>
      </c>
      <c r="I781" s="13">
        <f>E781+G781</f>
        <v>7789</v>
      </c>
      <c r="J781" s="11">
        <f>F781+H781</f>
        <v>0</v>
      </c>
      <c r="K781" s="13">
        <v>7972.02</v>
      </c>
      <c r="L781" s="11">
        <v>1</v>
      </c>
      <c r="M781" s="11">
        <v>2</v>
      </c>
      <c r="N781" s="13">
        <v>0</v>
      </c>
      <c r="O781" s="11">
        <v>0</v>
      </c>
      <c r="P781" s="11">
        <v>0</v>
      </c>
      <c r="Q781" s="13">
        <f>K781+N781</f>
        <v>7972.02</v>
      </c>
      <c r="R781" s="11">
        <f>L781+O781</f>
        <v>1</v>
      </c>
      <c r="S781" s="11">
        <f>M781+P781</f>
        <v>2</v>
      </c>
      <c r="T781" s="8">
        <f>I781-Q781</f>
        <v>-183.02000000000044</v>
      </c>
      <c r="U781" s="18">
        <v>0.16725895028465212</v>
      </c>
      <c r="V781" s="11">
        <v>0.14000000000000001</v>
      </c>
      <c r="W781" s="11">
        <v>1</v>
      </c>
      <c r="X781" s="11">
        <v>6</v>
      </c>
      <c r="Y781" s="11">
        <v>1</v>
      </c>
      <c r="Z781" t="s">
        <v>56</v>
      </c>
    </row>
    <row r="782" spans="1:26" x14ac:dyDescent="0.25">
      <c r="A782" s="20" t="s">
        <v>1313</v>
      </c>
      <c r="B782" s="20" t="s">
        <v>91</v>
      </c>
      <c r="C782" s="20" t="s">
        <v>1314</v>
      </c>
      <c r="D782" s="20" t="s">
        <v>216</v>
      </c>
      <c r="E782" s="13">
        <v>0</v>
      </c>
      <c r="F782" s="11">
        <v>0</v>
      </c>
      <c r="G782" s="13">
        <v>0</v>
      </c>
      <c r="H782" s="11">
        <v>0</v>
      </c>
      <c r="I782" s="13">
        <f>E782+G782</f>
        <v>0</v>
      </c>
      <c r="J782" s="11">
        <f>F782+H782</f>
        <v>0</v>
      </c>
      <c r="K782" s="13">
        <v>0</v>
      </c>
      <c r="L782" s="11">
        <v>0</v>
      </c>
      <c r="M782" s="11">
        <v>0</v>
      </c>
      <c r="N782" s="13">
        <v>0</v>
      </c>
      <c r="O782" s="11">
        <v>0</v>
      </c>
      <c r="P782" s="11">
        <v>0</v>
      </c>
      <c r="Q782" s="13">
        <f>K782+N782</f>
        <v>0</v>
      </c>
      <c r="R782" s="11">
        <f>L782+O782</f>
        <v>0</v>
      </c>
      <c r="S782" s="11">
        <f>M782+P782</f>
        <v>0</v>
      </c>
      <c r="T782" s="8">
        <f>I782-Q782</f>
        <v>0</v>
      </c>
      <c r="U782" s="18" t="s">
        <v>1803</v>
      </c>
      <c r="V782" s="11">
        <v>0</v>
      </c>
      <c r="W782" s="11">
        <v>0</v>
      </c>
      <c r="X782" s="11">
        <v>2</v>
      </c>
      <c r="Y782" s="11">
        <v>0</v>
      </c>
      <c r="Z782" t="s">
        <v>56</v>
      </c>
    </row>
    <row r="783" spans="1:26" x14ac:dyDescent="0.25">
      <c r="A783" s="20" t="s">
        <v>1316</v>
      </c>
      <c r="B783" s="20" t="s">
        <v>60</v>
      </c>
      <c r="C783" s="20" t="s">
        <v>1317</v>
      </c>
      <c r="D783" s="20" t="s">
        <v>216</v>
      </c>
      <c r="E783" s="13">
        <v>5313</v>
      </c>
      <c r="F783" s="11">
        <v>0</v>
      </c>
      <c r="G783" s="13">
        <v>713.5</v>
      </c>
      <c r="H783" s="11">
        <v>0</v>
      </c>
      <c r="I783" s="13">
        <f>E783+G783</f>
        <v>6026.5</v>
      </c>
      <c r="J783" s="11">
        <f>F783+H783</f>
        <v>0</v>
      </c>
      <c r="K783" s="13">
        <v>17328.98</v>
      </c>
      <c r="L783" s="11">
        <v>0</v>
      </c>
      <c r="M783" s="11">
        <v>0</v>
      </c>
      <c r="N783" s="13">
        <v>1159</v>
      </c>
      <c r="O783" s="11">
        <v>0</v>
      </c>
      <c r="P783" s="11">
        <v>0</v>
      </c>
      <c r="Q783" s="13">
        <f>K783+N783</f>
        <v>18487.98</v>
      </c>
      <c r="R783" s="11">
        <f>L783+O783</f>
        <v>0</v>
      </c>
      <c r="S783" s="11">
        <f>M783+P783</f>
        <v>0</v>
      </c>
      <c r="T783" s="8">
        <f>I783-Q783</f>
        <v>-12461.48</v>
      </c>
      <c r="U783" s="18">
        <v>4.1116650803293034E-2</v>
      </c>
      <c r="V783" s="11">
        <v>0</v>
      </c>
      <c r="W783" s="11">
        <v>0</v>
      </c>
      <c r="X783" s="11">
        <v>0</v>
      </c>
      <c r="Y783" s="11">
        <v>1</v>
      </c>
      <c r="Z783" t="s">
        <v>56</v>
      </c>
    </row>
    <row r="784" spans="1:26" x14ac:dyDescent="0.25">
      <c r="A784" s="20" t="s">
        <v>1320</v>
      </c>
      <c r="B784" s="20" t="s">
        <v>91</v>
      </c>
      <c r="C784" s="20" t="s">
        <v>1321</v>
      </c>
      <c r="D784" s="20" t="s">
        <v>216</v>
      </c>
      <c r="E784" s="13">
        <v>0</v>
      </c>
      <c r="F784" s="11">
        <v>0</v>
      </c>
      <c r="G784" s="13">
        <v>0</v>
      </c>
      <c r="H784" s="11">
        <v>0</v>
      </c>
      <c r="I784" s="13">
        <f>E784+G784</f>
        <v>0</v>
      </c>
      <c r="J784" s="11">
        <f>F784+H784</f>
        <v>0</v>
      </c>
      <c r="K784" s="13">
        <v>0</v>
      </c>
      <c r="L784" s="11">
        <v>0</v>
      </c>
      <c r="M784" s="11">
        <v>0</v>
      </c>
      <c r="N784" s="13">
        <v>0</v>
      </c>
      <c r="O784" s="11">
        <v>0</v>
      </c>
      <c r="P784" s="11">
        <v>0</v>
      </c>
      <c r="Q784" s="13">
        <f>K784+N784</f>
        <v>0</v>
      </c>
      <c r="R784" s="11">
        <f>L784+O784</f>
        <v>0</v>
      </c>
      <c r="S784" s="11">
        <f>M784+P784</f>
        <v>0</v>
      </c>
      <c r="T784" s="8">
        <f>I784-Q784</f>
        <v>0</v>
      </c>
      <c r="U784" s="18">
        <v>7.3910653725599615E-2</v>
      </c>
      <c r="V784" s="11">
        <v>0</v>
      </c>
      <c r="W784" s="11">
        <v>0</v>
      </c>
      <c r="X784" s="11">
        <v>3</v>
      </c>
      <c r="Y784" s="11">
        <v>1</v>
      </c>
      <c r="Z784" t="s">
        <v>56</v>
      </c>
    </row>
    <row r="785" spans="1:26" x14ac:dyDescent="0.25">
      <c r="A785" s="20" t="s">
        <v>533</v>
      </c>
      <c r="B785" s="20" t="s">
        <v>533</v>
      </c>
      <c r="C785" s="20" t="s">
        <v>534</v>
      </c>
      <c r="D785" s="20" t="s">
        <v>216</v>
      </c>
      <c r="E785" s="13">
        <v>13398</v>
      </c>
      <c r="F785" s="11">
        <v>0</v>
      </c>
      <c r="G785" s="13">
        <v>0</v>
      </c>
      <c r="H785" s="11">
        <v>0</v>
      </c>
      <c r="I785" s="13">
        <f>E785+G785</f>
        <v>13398</v>
      </c>
      <c r="J785" s="11">
        <f>F785+H785</f>
        <v>0</v>
      </c>
      <c r="K785" s="13">
        <v>11993</v>
      </c>
      <c r="L785" s="11">
        <v>0</v>
      </c>
      <c r="M785" s="11">
        <v>0</v>
      </c>
      <c r="N785" s="13">
        <v>0</v>
      </c>
      <c r="O785" s="11">
        <v>0</v>
      </c>
      <c r="P785" s="11">
        <v>0</v>
      </c>
      <c r="Q785" s="13">
        <f>K785+N785</f>
        <v>11993</v>
      </c>
      <c r="R785" s="11">
        <f>L785+O785</f>
        <v>0</v>
      </c>
      <c r="S785" s="11">
        <f>M785+P785</f>
        <v>0</v>
      </c>
      <c r="T785" s="8">
        <f>I785-Q785</f>
        <v>1405</v>
      </c>
      <c r="U785" s="18">
        <v>-0.10807657508347192</v>
      </c>
      <c r="V785" s="11">
        <v>0</v>
      </c>
      <c r="W785" s="11">
        <v>0</v>
      </c>
      <c r="X785" s="11">
        <v>0</v>
      </c>
      <c r="Y785" s="11">
        <v>1</v>
      </c>
      <c r="Z785" t="s">
        <v>56</v>
      </c>
    </row>
    <row r="786" spans="1:26" x14ac:dyDescent="0.25">
      <c r="A786" s="20" t="s">
        <v>535</v>
      </c>
      <c r="B786" s="20" t="s">
        <v>83</v>
      </c>
      <c r="C786" s="20" t="s">
        <v>536</v>
      </c>
      <c r="D786" s="20" t="s">
        <v>216</v>
      </c>
      <c r="E786" s="13">
        <v>0</v>
      </c>
      <c r="F786" s="11">
        <v>0</v>
      </c>
      <c r="G786" s="13">
        <v>0</v>
      </c>
      <c r="H786" s="11">
        <v>0</v>
      </c>
      <c r="I786" s="13">
        <f>E786+G786</f>
        <v>0</v>
      </c>
      <c r="J786" s="11">
        <f>F786+H786</f>
        <v>0</v>
      </c>
      <c r="K786" s="13">
        <v>0</v>
      </c>
      <c r="L786" s="11">
        <v>0</v>
      </c>
      <c r="M786" s="11">
        <v>0</v>
      </c>
      <c r="N786" s="13">
        <v>0</v>
      </c>
      <c r="O786" s="11">
        <v>0</v>
      </c>
      <c r="P786" s="11">
        <v>0</v>
      </c>
      <c r="Q786" s="13">
        <f>K786+N786</f>
        <v>0</v>
      </c>
      <c r="R786" s="11">
        <f>L786+O786</f>
        <v>0</v>
      </c>
      <c r="S786" s="11">
        <f>M786+P786</f>
        <v>0</v>
      </c>
      <c r="T786" s="8">
        <f>I786-Q786</f>
        <v>0</v>
      </c>
      <c r="U786" s="18">
        <v>-0.10386603359889988</v>
      </c>
      <c r="V786" s="11">
        <v>0</v>
      </c>
      <c r="W786" s="11">
        <v>0</v>
      </c>
      <c r="X786" s="11">
        <v>1</v>
      </c>
      <c r="Y786" s="11">
        <v>0</v>
      </c>
      <c r="Z786" t="s">
        <v>56</v>
      </c>
    </row>
    <row r="787" spans="1:26" x14ac:dyDescent="0.25">
      <c r="A787" s="20" t="s">
        <v>546</v>
      </c>
      <c r="B787" s="20" t="s">
        <v>91</v>
      </c>
      <c r="C787" s="20" t="s">
        <v>547</v>
      </c>
      <c r="D787" s="20" t="s">
        <v>216</v>
      </c>
      <c r="E787" s="13">
        <v>0</v>
      </c>
      <c r="F787" s="11">
        <v>0</v>
      </c>
      <c r="G787" s="13">
        <v>0</v>
      </c>
      <c r="H787" s="11">
        <v>0</v>
      </c>
      <c r="I787" s="13">
        <f>E787+G787</f>
        <v>0</v>
      </c>
      <c r="J787" s="11">
        <f>F787+H787</f>
        <v>0</v>
      </c>
      <c r="K787" s="13">
        <v>0</v>
      </c>
      <c r="L787" s="11">
        <v>0</v>
      </c>
      <c r="M787" s="11">
        <v>0</v>
      </c>
      <c r="N787" s="13">
        <v>0</v>
      </c>
      <c r="O787" s="11">
        <v>0</v>
      </c>
      <c r="P787" s="11">
        <v>0</v>
      </c>
      <c r="Q787" s="13">
        <f>K787+N787</f>
        <v>0</v>
      </c>
      <c r="R787" s="11">
        <f>L787+O787</f>
        <v>0</v>
      </c>
      <c r="S787" s="11">
        <f>M787+P787</f>
        <v>0</v>
      </c>
      <c r="T787" s="8">
        <f>I787-Q787</f>
        <v>0</v>
      </c>
      <c r="U787" s="18">
        <v>5.7046096829902047E-2</v>
      </c>
      <c r="V787" s="11">
        <v>0</v>
      </c>
      <c r="W787" s="11">
        <v>0</v>
      </c>
      <c r="X787" s="11">
        <v>0</v>
      </c>
      <c r="Y787" s="11">
        <v>0</v>
      </c>
      <c r="Z787" t="s">
        <v>56</v>
      </c>
    </row>
    <row r="788" spans="1:26" x14ac:dyDescent="0.25">
      <c r="A788" s="20" t="s">
        <v>1326</v>
      </c>
      <c r="B788" s="20" t="s">
        <v>218</v>
      </c>
      <c r="C788" s="20" t="s">
        <v>399</v>
      </c>
      <c r="D788" s="20" t="s">
        <v>216</v>
      </c>
      <c r="E788" s="13">
        <v>0</v>
      </c>
      <c r="F788" s="11">
        <v>1</v>
      </c>
      <c r="G788" s="13">
        <v>0</v>
      </c>
      <c r="H788" s="11">
        <v>0</v>
      </c>
      <c r="I788" s="13">
        <f>E788+G788</f>
        <v>0</v>
      </c>
      <c r="J788" s="11">
        <f>F788+H788</f>
        <v>1</v>
      </c>
      <c r="K788" s="13">
        <v>9126.69</v>
      </c>
      <c r="L788" s="11">
        <v>0</v>
      </c>
      <c r="M788" s="11">
        <v>0</v>
      </c>
      <c r="N788" s="13">
        <v>0</v>
      </c>
      <c r="O788" s="11">
        <v>0</v>
      </c>
      <c r="P788" s="11">
        <v>0</v>
      </c>
      <c r="Q788" s="13">
        <f>K788+N788</f>
        <v>9126.69</v>
      </c>
      <c r="R788" s="11">
        <f>L788+O788</f>
        <v>0</v>
      </c>
      <c r="S788" s="11">
        <f>M788+P788</f>
        <v>0</v>
      </c>
      <c r="T788" s="8">
        <f>I788-Q788</f>
        <v>-9126.69</v>
      </c>
      <c r="U788" s="18">
        <v>0.39953369395993449</v>
      </c>
      <c r="V788" s="11">
        <v>0</v>
      </c>
      <c r="W788" s="11">
        <v>1</v>
      </c>
      <c r="X788" s="11"/>
      <c r="Y788" s="11">
        <v>0</v>
      </c>
      <c r="Z788" t="s">
        <v>56</v>
      </c>
    </row>
    <row r="789" spans="1:26" x14ac:dyDescent="0.25">
      <c r="A789" s="20" t="s">
        <v>1327</v>
      </c>
      <c r="B789" s="20" t="s">
        <v>218</v>
      </c>
      <c r="C789" s="20" t="s">
        <v>219</v>
      </c>
      <c r="D789" s="20" t="s">
        <v>216</v>
      </c>
      <c r="E789" s="13">
        <v>0</v>
      </c>
      <c r="F789" s="11">
        <v>0</v>
      </c>
      <c r="G789" s="13">
        <v>0</v>
      </c>
      <c r="H789" s="11">
        <v>0</v>
      </c>
      <c r="I789" s="13">
        <f>E789+G789</f>
        <v>0</v>
      </c>
      <c r="J789" s="11">
        <f>F789+H789</f>
        <v>0</v>
      </c>
      <c r="K789" s="13">
        <v>5874.75</v>
      </c>
      <c r="L789" s="11">
        <v>0</v>
      </c>
      <c r="M789" s="11">
        <v>0</v>
      </c>
      <c r="N789" s="13">
        <v>0</v>
      </c>
      <c r="O789" s="11">
        <v>0</v>
      </c>
      <c r="P789" s="11">
        <v>0</v>
      </c>
      <c r="Q789" s="13">
        <f>K789+N789</f>
        <v>5874.75</v>
      </c>
      <c r="R789" s="11">
        <f>L789+O789</f>
        <v>0</v>
      </c>
      <c r="S789" s="11">
        <f>M789+P789</f>
        <v>0</v>
      </c>
      <c r="T789" s="8">
        <f>I789-Q789</f>
        <v>-5874.75</v>
      </c>
      <c r="U789" s="18">
        <v>1.5829471913335635E-3</v>
      </c>
      <c r="V789" s="11">
        <v>0</v>
      </c>
      <c r="W789" s="11">
        <v>0</v>
      </c>
      <c r="X789" s="11">
        <v>0</v>
      </c>
      <c r="Y789" s="11">
        <v>0</v>
      </c>
      <c r="Z789" t="s">
        <v>56</v>
      </c>
    </row>
    <row r="790" spans="1:26" x14ac:dyDescent="0.25">
      <c r="A790" s="20" t="s">
        <v>1329</v>
      </c>
      <c r="B790" s="20" t="s">
        <v>77</v>
      </c>
      <c r="C790" s="20" t="s">
        <v>1330</v>
      </c>
      <c r="D790" s="20" t="s">
        <v>216</v>
      </c>
      <c r="E790" s="13">
        <v>0</v>
      </c>
      <c r="F790" s="11">
        <v>0</v>
      </c>
      <c r="G790" s="13">
        <v>0</v>
      </c>
      <c r="H790" s="11">
        <v>0</v>
      </c>
      <c r="I790" s="13">
        <f>E790+G790</f>
        <v>0</v>
      </c>
      <c r="J790" s="11">
        <f>F790+H790</f>
        <v>0</v>
      </c>
      <c r="K790" s="13">
        <v>0</v>
      </c>
      <c r="L790" s="11">
        <v>0</v>
      </c>
      <c r="M790" s="11">
        <v>0</v>
      </c>
      <c r="N790" s="13">
        <v>0</v>
      </c>
      <c r="O790" s="11">
        <v>0</v>
      </c>
      <c r="P790" s="11">
        <v>0</v>
      </c>
      <c r="Q790" s="13">
        <f>K790+N790</f>
        <v>0</v>
      </c>
      <c r="R790" s="11">
        <f>L790+O790</f>
        <v>0</v>
      </c>
      <c r="S790" s="11">
        <f>M790+P790</f>
        <v>0</v>
      </c>
      <c r="T790" s="8">
        <f>I790-Q790</f>
        <v>0</v>
      </c>
      <c r="U790" s="18">
        <v>-0.63766862677274294</v>
      </c>
      <c r="V790" s="11">
        <v>0</v>
      </c>
      <c r="W790" s="11">
        <v>0</v>
      </c>
      <c r="X790" s="11">
        <v>0</v>
      </c>
      <c r="Y790" s="11">
        <v>0</v>
      </c>
      <c r="Z790" t="s">
        <v>56</v>
      </c>
    </row>
    <row r="791" spans="1:26" x14ac:dyDescent="0.25">
      <c r="A791" s="20" t="s">
        <v>1331</v>
      </c>
      <c r="B791" s="20" t="s">
        <v>77</v>
      </c>
      <c r="C791" s="20" t="s">
        <v>1261</v>
      </c>
      <c r="D791" s="20" t="s">
        <v>216</v>
      </c>
      <c r="E791" s="13">
        <v>0</v>
      </c>
      <c r="F791" s="11">
        <v>0</v>
      </c>
      <c r="G791" s="13">
        <v>0</v>
      </c>
      <c r="H791" s="11">
        <v>0</v>
      </c>
      <c r="I791" s="13">
        <f>E791+G791</f>
        <v>0</v>
      </c>
      <c r="J791" s="11">
        <f>F791+H791</f>
        <v>0</v>
      </c>
      <c r="K791" s="13">
        <v>0</v>
      </c>
      <c r="L791" s="11">
        <v>0</v>
      </c>
      <c r="M791" s="11">
        <v>0</v>
      </c>
      <c r="N791" s="13">
        <v>0</v>
      </c>
      <c r="O791" s="11">
        <v>0</v>
      </c>
      <c r="P791" s="11">
        <v>0</v>
      </c>
      <c r="Q791" s="13">
        <f>K791+N791</f>
        <v>0</v>
      </c>
      <c r="R791" s="11">
        <f>L791+O791</f>
        <v>0</v>
      </c>
      <c r="S791" s="11">
        <f>M791+P791</f>
        <v>0</v>
      </c>
      <c r="T791" s="8">
        <f>I791-Q791</f>
        <v>0</v>
      </c>
      <c r="U791" s="18">
        <v>6.3767006693029815E-2</v>
      </c>
      <c r="V791" s="11">
        <v>0</v>
      </c>
      <c r="W791" s="11">
        <v>0</v>
      </c>
      <c r="X791" s="11">
        <v>0</v>
      </c>
      <c r="Y791" s="11">
        <v>0</v>
      </c>
      <c r="Z791" t="s">
        <v>56</v>
      </c>
    </row>
    <row r="792" spans="1:26" x14ac:dyDescent="0.25">
      <c r="A792" s="20" t="s">
        <v>1332</v>
      </c>
      <c r="B792" s="20" t="s">
        <v>83</v>
      </c>
      <c r="C792" s="20" t="s">
        <v>266</v>
      </c>
      <c r="D792" s="20" t="s">
        <v>216</v>
      </c>
      <c r="E792" s="13">
        <v>0</v>
      </c>
      <c r="F792" s="11">
        <v>0</v>
      </c>
      <c r="G792" s="13">
        <v>0</v>
      </c>
      <c r="H792" s="11">
        <v>0</v>
      </c>
      <c r="I792" s="13">
        <f>E792+G792</f>
        <v>0</v>
      </c>
      <c r="J792" s="11">
        <f>F792+H792</f>
        <v>0</v>
      </c>
      <c r="K792" s="13">
        <v>0</v>
      </c>
      <c r="L792" s="11">
        <v>0</v>
      </c>
      <c r="M792" s="11">
        <v>0</v>
      </c>
      <c r="N792" s="13">
        <v>0</v>
      </c>
      <c r="O792" s="11">
        <v>0</v>
      </c>
      <c r="P792" s="11">
        <v>0</v>
      </c>
      <c r="Q792" s="13">
        <f>K792+N792</f>
        <v>0</v>
      </c>
      <c r="R792" s="11">
        <f>L792+O792</f>
        <v>0</v>
      </c>
      <c r="S792" s="11">
        <f>M792+P792</f>
        <v>0</v>
      </c>
      <c r="T792" s="8">
        <f>I792-Q792</f>
        <v>0</v>
      </c>
      <c r="U792" s="18">
        <v>-5.7360368479918135E-2</v>
      </c>
      <c r="V792" s="11">
        <v>0</v>
      </c>
      <c r="W792" s="11">
        <v>0</v>
      </c>
      <c r="X792" s="11">
        <v>1</v>
      </c>
      <c r="Y792" s="11">
        <v>0</v>
      </c>
      <c r="Z792" t="s">
        <v>56</v>
      </c>
    </row>
    <row r="793" spans="1:26" x14ac:dyDescent="0.25">
      <c r="A793" s="20" t="s">
        <v>1333</v>
      </c>
      <c r="B793" s="20" t="s">
        <v>60</v>
      </c>
      <c r="C793" s="20" t="s">
        <v>1334</v>
      </c>
      <c r="D793" s="20" t="s">
        <v>216</v>
      </c>
      <c r="E793" s="13">
        <v>0</v>
      </c>
      <c r="F793" s="11">
        <v>0</v>
      </c>
      <c r="G793" s="13">
        <v>0</v>
      </c>
      <c r="H793" s="11">
        <v>0</v>
      </c>
      <c r="I793" s="13">
        <f>E793+G793</f>
        <v>0</v>
      </c>
      <c r="J793" s="11">
        <f>F793+H793</f>
        <v>0</v>
      </c>
      <c r="K793" s="13">
        <v>0</v>
      </c>
      <c r="L793" s="11">
        <v>0</v>
      </c>
      <c r="M793" s="11">
        <v>1</v>
      </c>
      <c r="N793" s="13">
        <v>0</v>
      </c>
      <c r="O793" s="11">
        <v>0</v>
      </c>
      <c r="P793" s="11">
        <v>0</v>
      </c>
      <c r="Q793" s="13">
        <f>K793+N793</f>
        <v>0</v>
      </c>
      <c r="R793" s="11">
        <f>L793+O793</f>
        <v>0</v>
      </c>
      <c r="S793" s="11">
        <f>M793+P793</f>
        <v>1</v>
      </c>
      <c r="T793" s="8">
        <f>I793-Q793</f>
        <v>0</v>
      </c>
      <c r="U793" s="18">
        <v>4.549289046624546E-2</v>
      </c>
      <c r="V793" s="11">
        <v>0.25</v>
      </c>
      <c r="W793" s="11">
        <v>1</v>
      </c>
      <c r="X793" s="11">
        <v>3</v>
      </c>
      <c r="Y793" s="11">
        <v>0</v>
      </c>
      <c r="Z793" t="s">
        <v>56</v>
      </c>
    </row>
    <row r="794" spans="1:26" x14ac:dyDescent="0.25">
      <c r="A794" s="20" t="s">
        <v>1335</v>
      </c>
      <c r="B794" s="20" t="s">
        <v>91</v>
      </c>
      <c r="C794" s="20" t="s">
        <v>3102</v>
      </c>
      <c r="D794" s="20" t="s">
        <v>216</v>
      </c>
      <c r="E794" s="13">
        <v>0</v>
      </c>
      <c r="F794" s="11">
        <v>0</v>
      </c>
      <c r="G794" s="13">
        <v>0</v>
      </c>
      <c r="H794" s="11">
        <v>0</v>
      </c>
      <c r="I794" s="13">
        <f>E794+G794</f>
        <v>0</v>
      </c>
      <c r="J794" s="11">
        <f>F794+H794</f>
        <v>0</v>
      </c>
      <c r="K794" s="13">
        <v>0</v>
      </c>
      <c r="L794" s="11">
        <v>0</v>
      </c>
      <c r="M794" s="11">
        <v>0</v>
      </c>
      <c r="N794" s="13">
        <v>0</v>
      </c>
      <c r="O794" s="11">
        <v>0</v>
      </c>
      <c r="P794" s="11">
        <v>0</v>
      </c>
      <c r="Q794" s="13">
        <f>K794+N794</f>
        <v>0</v>
      </c>
      <c r="R794" s="11">
        <f>L794+O794</f>
        <v>0</v>
      </c>
      <c r="S794" s="11">
        <f>M794+P794</f>
        <v>0</v>
      </c>
      <c r="T794" s="8">
        <f>I794-Q794</f>
        <v>0</v>
      </c>
      <c r="U794" s="18">
        <v>-0.11720933700234508</v>
      </c>
      <c r="V794" s="11">
        <v>0</v>
      </c>
      <c r="W794" s="11">
        <v>0</v>
      </c>
      <c r="X794" s="11">
        <v>0</v>
      </c>
      <c r="Y794" s="11">
        <v>0</v>
      </c>
      <c r="Z794" t="s">
        <v>56</v>
      </c>
    </row>
    <row r="795" spans="1:26" x14ac:dyDescent="0.25">
      <c r="A795" s="20" t="s">
        <v>1336</v>
      </c>
      <c r="B795" s="20" t="s">
        <v>3096</v>
      </c>
      <c r="C795" s="20" t="s">
        <v>1337</v>
      </c>
      <c r="D795" s="20" t="s">
        <v>216</v>
      </c>
      <c r="E795" s="13">
        <v>0</v>
      </c>
      <c r="F795" s="11">
        <v>0</v>
      </c>
      <c r="G795" s="13">
        <v>0</v>
      </c>
      <c r="H795" s="11">
        <v>0</v>
      </c>
      <c r="I795" s="13">
        <f>E795+G795</f>
        <v>0</v>
      </c>
      <c r="J795" s="11">
        <f>F795+H795</f>
        <v>0</v>
      </c>
      <c r="K795" s="13">
        <v>0</v>
      </c>
      <c r="L795" s="11">
        <v>0</v>
      </c>
      <c r="M795" s="11">
        <v>0</v>
      </c>
      <c r="N795" s="13">
        <v>0</v>
      </c>
      <c r="O795" s="11">
        <v>0</v>
      </c>
      <c r="P795" s="11">
        <v>0</v>
      </c>
      <c r="Q795" s="13">
        <f>K795+N795</f>
        <v>0</v>
      </c>
      <c r="R795" s="11">
        <f>L795+O795</f>
        <v>0</v>
      </c>
      <c r="S795" s="11">
        <f>M795+P795</f>
        <v>0</v>
      </c>
      <c r="T795" s="8">
        <f>I795-Q795</f>
        <v>0</v>
      </c>
      <c r="U795" s="18" t="s">
        <v>1803</v>
      </c>
      <c r="V795" s="11">
        <v>0</v>
      </c>
      <c r="W795" s="11">
        <v>0</v>
      </c>
      <c r="X795" s="11">
        <v>0</v>
      </c>
      <c r="Y795" s="11">
        <v>0</v>
      </c>
      <c r="Z795" t="s">
        <v>56</v>
      </c>
    </row>
    <row r="796" spans="1:26" x14ac:dyDescent="0.25">
      <c r="A796" s="20" t="s">
        <v>568</v>
      </c>
      <c r="B796" s="20" t="s">
        <v>3096</v>
      </c>
      <c r="C796" s="20" t="s">
        <v>569</v>
      </c>
      <c r="D796" s="20" t="s">
        <v>216</v>
      </c>
      <c r="E796" s="13">
        <v>0</v>
      </c>
      <c r="F796" s="11">
        <v>0</v>
      </c>
      <c r="G796" s="13">
        <v>0</v>
      </c>
      <c r="H796" s="11">
        <v>0</v>
      </c>
      <c r="I796" s="13">
        <f>E796+G796</f>
        <v>0</v>
      </c>
      <c r="J796" s="11">
        <f>F796+H796</f>
        <v>0</v>
      </c>
      <c r="K796" s="13">
        <v>0</v>
      </c>
      <c r="L796" s="11">
        <v>0</v>
      </c>
      <c r="M796" s="11">
        <v>0</v>
      </c>
      <c r="N796" s="13">
        <v>0</v>
      </c>
      <c r="O796" s="11">
        <v>0</v>
      </c>
      <c r="P796" s="11">
        <v>0</v>
      </c>
      <c r="Q796" s="13">
        <f>K796+N796</f>
        <v>0</v>
      </c>
      <c r="R796" s="11">
        <f>L796+O796</f>
        <v>0</v>
      </c>
      <c r="S796" s="11">
        <f>M796+P796</f>
        <v>0</v>
      </c>
      <c r="T796" s="8">
        <f>I796-Q796</f>
        <v>0</v>
      </c>
      <c r="U796" s="18" t="s">
        <v>1803</v>
      </c>
      <c r="V796" s="11">
        <v>0</v>
      </c>
      <c r="W796" s="11">
        <v>0</v>
      </c>
      <c r="X796" s="11">
        <v>0</v>
      </c>
      <c r="Y796" s="11">
        <v>0</v>
      </c>
      <c r="Z796" t="s">
        <v>56</v>
      </c>
    </row>
    <row r="797" spans="1:26" x14ac:dyDescent="0.25">
      <c r="A797" s="20" t="s">
        <v>1338</v>
      </c>
      <c r="B797" s="20" t="s">
        <v>83</v>
      </c>
      <c r="C797" s="20" t="s">
        <v>266</v>
      </c>
      <c r="D797" s="20" t="s">
        <v>216</v>
      </c>
      <c r="E797" s="13">
        <v>0</v>
      </c>
      <c r="F797" s="11">
        <v>0</v>
      </c>
      <c r="G797" s="13">
        <v>0</v>
      </c>
      <c r="H797" s="11">
        <v>0</v>
      </c>
      <c r="I797" s="13">
        <f>E797+G797</f>
        <v>0</v>
      </c>
      <c r="J797" s="11">
        <f>F797+H797</f>
        <v>0</v>
      </c>
      <c r="K797" s="13">
        <v>0</v>
      </c>
      <c r="L797" s="11">
        <v>0</v>
      </c>
      <c r="M797" s="11">
        <v>0</v>
      </c>
      <c r="N797" s="13">
        <v>0</v>
      </c>
      <c r="O797" s="11">
        <v>0</v>
      </c>
      <c r="P797" s="11">
        <v>0</v>
      </c>
      <c r="Q797" s="13">
        <f>K797+N797</f>
        <v>0</v>
      </c>
      <c r="R797" s="11">
        <f>L797+O797</f>
        <v>0</v>
      </c>
      <c r="S797" s="11">
        <f>M797+P797</f>
        <v>0</v>
      </c>
      <c r="T797" s="8">
        <f>I797-Q797</f>
        <v>0</v>
      </c>
      <c r="U797" s="18" t="s">
        <v>1803</v>
      </c>
      <c r="V797" s="11">
        <v>0</v>
      </c>
      <c r="W797" s="11">
        <v>0</v>
      </c>
      <c r="X797" s="11">
        <v>0</v>
      </c>
      <c r="Y797" s="11">
        <v>0</v>
      </c>
      <c r="Z797" t="s">
        <v>56</v>
      </c>
    </row>
    <row r="798" spans="1:26" x14ac:dyDescent="0.25">
      <c r="A798" s="20" t="s">
        <v>1339</v>
      </c>
      <c r="B798" s="20" t="s">
        <v>77</v>
      </c>
      <c r="C798" s="20" t="s">
        <v>1340</v>
      </c>
      <c r="D798" s="20" t="s">
        <v>216</v>
      </c>
      <c r="E798" s="13">
        <v>0</v>
      </c>
      <c r="F798" s="11">
        <v>0</v>
      </c>
      <c r="G798" s="13">
        <v>0</v>
      </c>
      <c r="H798" s="11">
        <v>0</v>
      </c>
      <c r="I798" s="13">
        <f>E798+G798</f>
        <v>0</v>
      </c>
      <c r="J798" s="11">
        <f>F798+H798</f>
        <v>0</v>
      </c>
      <c r="K798" s="13">
        <v>0</v>
      </c>
      <c r="L798" s="11">
        <v>0</v>
      </c>
      <c r="M798" s="11">
        <v>0</v>
      </c>
      <c r="N798" s="13">
        <v>0</v>
      </c>
      <c r="O798" s="11">
        <v>0</v>
      </c>
      <c r="P798" s="11">
        <v>0</v>
      </c>
      <c r="Q798" s="13">
        <f>K798+N798</f>
        <v>0</v>
      </c>
      <c r="R798" s="11">
        <f>L798+O798</f>
        <v>0</v>
      </c>
      <c r="S798" s="11">
        <f>M798+P798</f>
        <v>0</v>
      </c>
      <c r="T798" s="8">
        <f>I798-Q798</f>
        <v>0</v>
      </c>
      <c r="U798" s="18" t="s">
        <v>1803</v>
      </c>
      <c r="V798" s="11">
        <v>0</v>
      </c>
      <c r="W798" s="11">
        <v>0</v>
      </c>
      <c r="X798" s="11">
        <v>0</v>
      </c>
      <c r="Y798" s="11">
        <v>0</v>
      </c>
      <c r="Z798" t="s">
        <v>56</v>
      </c>
    </row>
    <row r="799" spans="1:26" x14ac:dyDescent="0.25">
      <c r="A799" s="20" t="s">
        <v>1341</v>
      </c>
      <c r="B799" s="20" t="s">
        <v>3096</v>
      </c>
      <c r="C799" s="20" t="s">
        <v>1342</v>
      </c>
      <c r="D799" s="20" t="s">
        <v>216</v>
      </c>
      <c r="E799" s="13">
        <v>0</v>
      </c>
      <c r="F799" s="11">
        <v>0</v>
      </c>
      <c r="G799" s="13">
        <v>0</v>
      </c>
      <c r="H799" s="11">
        <v>0</v>
      </c>
      <c r="I799" s="13">
        <f>E799+G799</f>
        <v>0</v>
      </c>
      <c r="J799" s="11">
        <f>F799+H799</f>
        <v>0</v>
      </c>
      <c r="K799" s="13">
        <v>0</v>
      </c>
      <c r="L799" s="11">
        <v>0</v>
      </c>
      <c r="M799" s="11">
        <v>0</v>
      </c>
      <c r="N799" s="13">
        <v>0</v>
      </c>
      <c r="O799" s="11">
        <v>0</v>
      </c>
      <c r="P799" s="11">
        <v>0</v>
      </c>
      <c r="Q799" s="13">
        <f>K799+N799</f>
        <v>0</v>
      </c>
      <c r="R799" s="11">
        <f>L799+O799</f>
        <v>0</v>
      </c>
      <c r="S799" s="11">
        <f>M799+P799</f>
        <v>0</v>
      </c>
      <c r="T799" s="8">
        <f>I799-Q799</f>
        <v>0</v>
      </c>
      <c r="U799" s="18" t="s">
        <v>1803</v>
      </c>
      <c r="V799" s="11">
        <v>0</v>
      </c>
      <c r="W799" s="11">
        <v>0</v>
      </c>
      <c r="X799" s="11">
        <v>0</v>
      </c>
      <c r="Y799" s="11">
        <v>0</v>
      </c>
      <c r="Z799" t="s">
        <v>56</v>
      </c>
    </row>
    <row r="800" spans="1:26" x14ac:dyDescent="0.25">
      <c r="A800" s="20" t="s">
        <v>1343</v>
      </c>
      <c r="B800" s="20" t="s">
        <v>3096</v>
      </c>
      <c r="C800" s="20" t="s">
        <v>1344</v>
      </c>
      <c r="D800" s="20" t="s">
        <v>216</v>
      </c>
      <c r="E800" s="13">
        <v>8503</v>
      </c>
      <c r="F800" s="11">
        <v>0</v>
      </c>
      <c r="G800" s="13">
        <v>9196.8700000000008</v>
      </c>
      <c r="H800" s="11">
        <v>0</v>
      </c>
      <c r="I800" s="13">
        <f>E800+G800</f>
        <v>17699.870000000003</v>
      </c>
      <c r="J800" s="11">
        <f>F800+H800</f>
        <v>0</v>
      </c>
      <c r="K800" s="13">
        <v>8313</v>
      </c>
      <c r="L800" s="11">
        <v>0</v>
      </c>
      <c r="M800" s="11">
        <v>2</v>
      </c>
      <c r="N800" s="13">
        <v>9322</v>
      </c>
      <c r="O800" s="11">
        <v>0</v>
      </c>
      <c r="P800" s="11">
        <v>0</v>
      </c>
      <c r="Q800" s="13">
        <f>K800+N800</f>
        <v>17635</v>
      </c>
      <c r="R800" s="11">
        <f>L800+O800</f>
        <v>0</v>
      </c>
      <c r="S800" s="11">
        <f>M800+P800</f>
        <v>2</v>
      </c>
      <c r="T800" s="8">
        <f>I800-Q800</f>
        <v>64.870000000002619</v>
      </c>
      <c r="U800" s="18">
        <v>0.1033037025218789</v>
      </c>
      <c r="V800" s="11">
        <v>0.33</v>
      </c>
      <c r="W800" s="11">
        <v>2</v>
      </c>
      <c r="X800" s="11">
        <v>4</v>
      </c>
      <c r="Y800" s="11">
        <v>0</v>
      </c>
      <c r="Z800" t="s">
        <v>56</v>
      </c>
    </row>
    <row r="801" spans="1:26" x14ac:dyDescent="0.25">
      <c r="A801" s="20" t="s">
        <v>573</v>
      </c>
      <c r="B801" s="20" t="s">
        <v>81</v>
      </c>
      <c r="C801" s="20" t="s">
        <v>419</v>
      </c>
      <c r="D801" s="20" t="s">
        <v>216</v>
      </c>
      <c r="E801" s="13">
        <v>0</v>
      </c>
      <c r="F801" s="11">
        <v>0</v>
      </c>
      <c r="G801" s="13">
        <v>0</v>
      </c>
      <c r="H801" s="11">
        <v>0</v>
      </c>
      <c r="I801" s="13">
        <f>E801+G801</f>
        <v>0</v>
      </c>
      <c r="J801" s="11">
        <f>F801+H801</f>
        <v>0</v>
      </c>
      <c r="K801" s="13">
        <v>0</v>
      </c>
      <c r="L801" s="11">
        <v>0</v>
      </c>
      <c r="M801" s="11">
        <v>1</v>
      </c>
      <c r="N801" s="13">
        <v>0</v>
      </c>
      <c r="O801" s="11">
        <v>0</v>
      </c>
      <c r="P801" s="11">
        <v>0</v>
      </c>
      <c r="Q801" s="13">
        <f>K801+N801</f>
        <v>0</v>
      </c>
      <c r="R801" s="11">
        <f>L801+O801</f>
        <v>0</v>
      </c>
      <c r="S801" s="11">
        <f>M801+P801</f>
        <v>1</v>
      </c>
      <c r="T801" s="8">
        <f>I801-Q801</f>
        <v>0</v>
      </c>
      <c r="U801" s="18">
        <v>8.4532818531545591E-4</v>
      </c>
      <c r="V801" s="11">
        <v>0</v>
      </c>
      <c r="W801" s="11">
        <v>1</v>
      </c>
      <c r="X801" s="11"/>
      <c r="Y801" s="11">
        <v>0</v>
      </c>
      <c r="Z801" t="s">
        <v>56</v>
      </c>
    </row>
    <row r="802" spans="1:26" x14ac:dyDescent="0.25">
      <c r="A802" s="20" t="s">
        <v>574</v>
      </c>
      <c r="B802" s="20" t="s">
        <v>77</v>
      </c>
      <c r="C802" s="20" t="s">
        <v>473</v>
      </c>
      <c r="D802" s="20" t="s">
        <v>216</v>
      </c>
      <c r="E802" s="13">
        <v>0</v>
      </c>
      <c r="F802" s="11">
        <v>0</v>
      </c>
      <c r="G802" s="13">
        <v>0</v>
      </c>
      <c r="H802" s="11">
        <v>0</v>
      </c>
      <c r="I802" s="13">
        <f>E802+G802</f>
        <v>0</v>
      </c>
      <c r="J802" s="11">
        <f>F802+H802</f>
        <v>0</v>
      </c>
      <c r="K802" s="13">
        <v>0</v>
      </c>
      <c r="L802" s="11">
        <v>0</v>
      </c>
      <c r="M802" s="11">
        <v>0</v>
      </c>
      <c r="N802" s="13">
        <v>1054.79</v>
      </c>
      <c r="O802" s="11">
        <v>0</v>
      </c>
      <c r="P802" s="11">
        <v>0</v>
      </c>
      <c r="Q802" s="13">
        <f>K802+N802</f>
        <v>1054.79</v>
      </c>
      <c r="R802" s="11">
        <f>L802+O802</f>
        <v>0</v>
      </c>
      <c r="S802" s="11">
        <f>M802+P802</f>
        <v>0</v>
      </c>
      <c r="T802" s="8">
        <f>I802-Q802</f>
        <v>-1054.79</v>
      </c>
      <c r="U802" s="18">
        <v>-1.4649026272851182E-2</v>
      </c>
      <c r="V802" s="11">
        <v>0</v>
      </c>
      <c r="W802" s="11">
        <v>0</v>
      </c>
      <c r="X802" s="11">
        <v>0</v>
      </c>
      <c r="Y802" s="11">
        <v>0</v>
      </c>
      <c r="Z802" t="s">
        <v>56</v>
      </c>
    </row>
    <row r="803" spans="1:26" x14ac:dyDescent="0.25">
      <c r="A803" s="20" t="s">
        <v>1345</v>
      </c>
      <c r="B803" s="20" t="s">
        <v>124</v>
      </c>
      <c r="C803" s="20" t="s">
        <v>1346</v>
      </c>
      <c r="D803" s="20" t="s">
        <v>216</v>
      </c>
      <c r="E803" s="13">
        <v>0</v>
      </c>
      <c r="F803" s="11">
        <v>0</v>
      </c>
      <c r="G803" s="13">
        <v>0</v>
      </c>
      <c r="H803" s="11">
        <v>0</v>
      </c>
      <c r="I803" s="13">
        <f>E803+G803</f>
        <v>0</v>
      </c>
      <c r="J803" s="11">
        <f>F803+H803</f>
        <v>0</v>
      </c>
      <c r="K803" s="13">
        <v>0</v>
      </c>
      <c r="L803" s="11">
        <v>0</v>
      </c>
      <c r="M803" s="11">
        <v>0</v>
      </c>
      <c r="N803" s="13">
        <v>0</v>
      </c>
      <c r="O803" s="11">
        <v>0</v>
      </c>
      <c r="P803" s="11">
        <v>0</v>
      </c>
      <c r="Q803" s="13">
        <f>K803+N803</f>
        <v>0</v>
      </c>
      <c r="R803" s="11">
        <f>L803+O803</f>
        <v>0</v>
      </c>
      <c r="S803" s="11">
        <f>M803+P803</f>
        <v>0</v>
      </c>
      <c r="T803" s="8">
        <f>I803-Q803</f>
        <v>0</v>
      </c>
      <c r="U803" s="18">
        <v>7.3642089302430991E-2</v>
      </c>
      <c r="V803" s="11">
        <v>0</v>
      </c>
      <c r="W803" s="11">
        <v>0</v>
      </c>
      <c r="X803" s="11">
        <v>0</v>
      </c>
      <c r="Y803" s="11">
        <v>0</v>
      </c>
      <c r="Z803" t="s">
        <v>56</v>
      </c>
    </row>
    <row r="804" spans="1:26" x14ac:dyDescent="0.25">
      <c r="A804" s="20" t="s">
        <v>582</v>
      </c>
      <c r="B804" s="20" t="s">
        <v>77</v>
      </c>
      <c r="C804" s="20" t="s">
        <v>583</v>
      </c>
      <c r="D804" s="20" t="s">
        <v>216</v>
      </c>
      <c r="E804" s="13">
        <v>15024</v>
      </c>
      <c r="F804" s="11">
        <v>0</v>
      </c>
      <c r="G804" s="13">
        <v>0</v>
      </c>
      <c r="H804" s="11">
        <v>0</v>
      </c>
      <c r="I804" s="13">
        <f>E804+G804</f>
        <v>15024</v>
      </c>
      <c r="J804" s="11">
        <f>F804+H804</f>
        <v>0</v>
      </c>
      <c r="K804" s="13">
        <v>2336</v>
      </c>
      <c r="L804" s="11">
        <v>0</v>
      </c>
      <c r="M804" s="11">
        <v>0</v>
      </c>
      <c r="N804" s="13">
        <v>0</v>
      </c>
      <c r="O804" s="11">
        <v>0</v>
      </c>
      <c r="P804" s="11">
        <v>1</v>
      </c>
      <c r="Q804" s="13">
        <f>K804+N804</f>
        <v>2336</v>
      </c>
      <c r="R804" s="11">
        <f>L804+O804</f>
        <v>0</v>
      </c>
      <c r="S804" s="11">
        <f>M804+P804</f>
        <v>1</v>
      </c>
      <c r="T804" s="8">
        <f>I804-Q804</f>
        <v>12688</v>
      </c>
      <c r="U804" s="18">
        <v>5.0447813696372093E-2</v>
      </c>
      <c r="V804" s="11">
        <v>0.5</v>
      </c>
      <c r="W804" s="11">
        <v>1</v>
      </c>
      <c r="X804" s="11">
        <v>1</v>
      </c>
      <c r="Y804" s="11">
        <v>0</v>
      </c>
      <c r="Z804" t="s">
        <v>56</v>
      </c>
    </row>
    <row r="805" spans="1:26" x14ac:dyDescent="0.25">
      <c r="A805" s="20" t="s">
        <v>3103</v>
      </c>
      <c r="B805" s="20" t="s">
        <v>97</v>
      </c>
      <c r="C805" s="20" t="s">
        <v>3075</v>
      </c>
      <c r="D805" s="20" t="s">
        <v>216</v>
      </c>
      <c r="E805" s="13">
        <v>0</v>
      </c>
      <c r="F805" s="11">
        <v>0</v>
      </c>
      <c r="G805" s="13">
        <v>0</v>
      </c>
      <c r="H805" s="11">
        <v>0</v>
      </c>
      <c r="I805" s="13">
        <f>E805+G805</f>
        <v>0</v>
      </c>
      <c r="J805" s="11">
        <f>F805+H805</f>
        <v>0</v>
      </c>
      <c r="K805" s="13">
        <v>0</v>
      </c>
      <c r="L805" s="11">
        <v>0</v>
      </c>
      <c r="M805" s="11">
        <v>0</v>
      </c>
      <c r="N805" s="13">
        <v>0</v>
      </c>
      <c r="O805" s="11">
        <v>0</v>
      </c>
      <c r="P805" s="11">
        <v>0</v>
      </c>
      <c r="Q805" s="13">
        <f>K805+N805</f>
        <v>0</v>
      </c>
      <c r="R805" s="11">
        <f>L805+O805</f>
        <v>0</v>
      </c>
      <c r="S805" s="11">
        <f>M805+P805</f>
        <v>0</v>
      </c>
      <c r="T805" s="8">
        <f>I805-Q805</f>
        <v>0</v>
      </c>
      <c r="U805" s="18" t="s">
        <v>1803</v>
      </c>
      <c r="V805" s="11">
        <v>0</v>
      </c>
      <c r="W805" s="11">
        <v>0</v>
      </c>
      <c r="X805" s="11">
        <v>0</v>
      </c>
      <c r="Y805" s="11">
        <v>0</v>
      </c>
      <c r="Z805" t="s">
        <v>56</v>
      </c>
    </row>
    <row r="806" spans="1:26" x14ac:dyDescent="0.25">
      <c r="A806" s="20" t="s">
        <v>1813</v>
      </c>
      <c r="B806" s="20" t="s">
        <v>77</v>
      </c>
      <c r="C806" s="20" t="s">
        <v>3101</v>
      </c>
      <c r="D806" s="20" t="s">
        <v>216</v>
      </c>
      <c r="E806" s="13">
        <v>0</v>
      </c>
      <c r="F806" s="11">
        <v>0</v>
      </c>
      <c r="G806" s="13">
        <v>0</v>
      </c>
      <c r="H806" s="11">
        <v>0</v>
      </c>
      <c r="I806" s="13">
        <f>E806+G806</f>
        <v>0</v>
      </c>
      <c r="J806" s="11">
        <f>F806+H806</f>
        <v>0</v>
      </c>
      <c r="K806" s="13">
        <v>0</v>
      </c>
      <c r="L806" s="11">
        <v>0</v>
      </c>
      <c r="M806" s="11">
        <v>0</v>
      </c>
      <c r="N806" s="13">
        <v>0</v>
      </c>
      <c r="O806" s="11">
        <v>0</v>
      </c>
      <c r="P806" s="11">
        <v>0</v>
      </c>
      <c r="Q806" s="13">
        <f>K806+N806</f>
        <v>0</v>
      </c>
      <c r="R806" s="11">
        <f>L806+O806</f>
        <v>0</v>
      </c>
      <c r="S806" s="11">
        <f>M806+P806</f>
        <v>0</v>
      </c>
      <c r="T806" s="8">
        <f>I806-Q806</f>
        <v>0</v>
      </c>
      <c r="U806" s="18">
        <v>-0.2866416581711615</v>
      </c>
      <c r="V806" s="11">
        <v>0</v>
      </c>
      <c r="W806" s="11">
        <v>0</v>
      </c>
      <c r="X806" s="11">
        <v>0</v>
      </c>
      <c r="Y806" s="11">
        <v>0</v>
      </c>
      <c r="Z806" t="s">
        <v>56</v>
      </c>
    </row>
    <row r="807" spans="1:26" x14ac:dyDescent="0.25">
      <c r="A807" s="20" t="s">
        <v>3104</v>
      </c>
      <c r="B807" s="20" t="s">
        <v>60</v>
      </c>
      <c r="C807" s="20" t="s">
        <v>3105</v>
      </c>
      <c r="D807" s="20" t="s">
        <v>216</v>
      </c>
      <c r="E807" s="13">
        <v>0</v>
      </c>
      <c r="F807" s="11">
        <v>0</v>
      </c>
      <c r="G807" s="13">
        <v>0</v>
      </c>
      <c r="H807" s="11">
        <v>0</v>
      </c>
      <c r="I807" s="13">
        <f>E807+G807</f>
        <v>0</v>
      </c>
      <c r="J807" s="11">
        <f>F807+H807</f>
        <v>0</v>
      </c>
      <c r="K807" s="13">
        <v>0</v>
      </c>
      <c r="L807" s="11">
        <v>0</v>
      </c>
      <c r="M807" s="11">
        <v>0</v>
      </c>
      <c r="N807" s="13">
        <v>0</v>
      </c>
      <c r="O807" s="11">
        <v>0</v>
      </c>
      <c r="P807" s="11">
        <v>0</v>
      </c>
      <c r="Q807" s="13">
        <f>K807+N807</f>
        <v>0</v>
      </c>
      <c r="R807" s="11">
        <f>L807+O807</f>
        <v>0</v>
      </c>
      <c r="S807" s="11">
        <f>M807+P807</f>
        <v>0</v>
      </c>
      <c r="T807" s="8">
        <f>I807-Q807</f>
        <v>0</v>
      </c>
      <c r="U807" s="18" t="s">
        <v>1803</v>
      </c>
      <c r="V807" s="11">
        <v>0</v>
      </c>
      <c r="W807" s="11">
        <v>0</v>
      </c>
      <c r="X807" s="11">
        <v>0</v>
      </c>
      <c r="Y807" s="11">
        <v>0</v>
      </c>
      <c r="Z807" t="s">
        <v>56</v>
      </c>
    </row>
    <row r="808" spans="1:26" x14ac:dyDescent="0.25">
      <c r="A808" s="20" t="s">
        <v>2998</v>
      </c>
      <c r="B808" s="20" t="s">
        <v>91</v>
      </c>
      <c r="C808" s="20" t="s">
        <v>2999</v>
      </c>
      <c r="D808" s="20" t="s">
        <v>216</v>
      </c>
      <c r="E808" s="13">
        <v>0</v>
      </c>
      <c r="F808" s="11">
        <v>0</v>
      </c>
      <c r="G808" s="13">
        <v>0</v>
      </c>
      <c r="H808" s="11">
        <v>0</v>
      </c>
      <c r="I808" s="13">
        <f>E808+G808</f>
        <v>0</v>
      </c>
      <c r="J808" s="11">
        <f>F808+H808</f>
        <v>0</v>
      </c>
      <c r="K808" s="13">
        <v>0</v>
      </c>
      <c r="L808" s="11">
        <v>0</v>
      </c>
      <c r="M808" s="11">
        <v>0</v>
      </c>
      <c r="N808" s="13">
        <v>0</v>
      </c>
      <c r="O808" s="11">
        <v>0</v>
      </c>
      <c r="P808" s="11">
        <v>0</v>
      </c>
      <c r="Q808" s="13">
        <f>K808+N808</f>
        <v>0</v>
      </c>
      <c r="R808" s="11">
        <f>L808+O808</f>
        <v>0</v>
      </c>
      <c r="S808" s="11">
        <f>M808+P808</f>
        <v>0</v>
      </c>
      <c r="T808" s="8">
        <f>I808-Q808</f>
        <v>0</v>
      </c>
      <c r="U808" s="18">
        <v>-0.59887216768013041</v>
      </c>
      <c r="V808" s="11">
        <v>0</v>
      </c>
      <c r="W808" s="11">
        <v>0</v>
      </c>
      <c r="X808" s="11">
        <v>0</v>
      </c>
      <c r="Y808" s="11">
        <v>0</v>
      </c>
      <c r="Z808" t="s">
        <v>56</v>
      </c>
    </row>
    <row r="809" spans="1:26" x14ac:dyDescent="0.25">
      <c r="A809" s="20" t="s">
        <v>3013</v>
      </c>
      <c r="B809" s="20" t="s">
        <v>97</v>
      </c>
      <c r="C809" s="20" t="s">
        <v>3012</v>
      </c>
      <c r="D809" s="20" t="s">
        <v>216</v>
      </c>
      <c r="E809" s="13">
        <v>0</v>
      </c>
      <c r="F809" s="11">
        <v>0</v>
      </c>
      <c r="G809" s="13">
        <v>0</v>
      </c>
      <c r="H809" s="11">
        <v>0</v>
      </c>
      <c r="I809" s="13">
        <f>E809+G809</f>
        <v>0</v>
      </c>
      <c r="J809" s="11">
        <f>F809+H809</f>
        <v>0</v>
      </c>
      <c r="K809" s="13">
        <v>0</v>
      </c>
      <c r="L809" s="11">
        <v>0</v>
      </c>
      <c r="M809" s="11">
        <v>1</v>
      </c>
      <c r="N809" s="13">
        <v>0</v>
      </c>
      <c r="O809" s="11">
        <v>0</v>
      </c>
      <c r="P809" s="11">
        <v>0</v>
      </c>
      <c r="Q809" s="13">
        <f>K809+N809</f>
        <v>0</v>
      </c>
      <c r="R809" s="11">
        <f>L809+O809</f>
        <v>0</v>
      </c>
      <c r="S809" s="11">
        <f>M809+P809</f>
        <v>1</v>
      </c>
      <c r="T809" s="8">
        <f>I809-Q809</f>
        <v>0</v>
      </c>
      <c r="U809" s="18">
        <v>1.4189946944691419E-3</v>
      </c>
      <c r="V809" s="11">
        <v>0.5</v>
      </c>
      <c r="W809" s="11">
        <v>1</v>
      </c>
      <c r="X809" s="11">
        <v>1</v>
      </c>
      <c r="Y809" s="11">
        <v>2</v>
      </c>
      <c r="Z809" t="s">
        <v>56</v>
      </c>
    </row>
    <row r="810" spans="1:26" x14ac:dyDescent="0.25">
      <c r="A810" s="20" t="s">
        <v>3029</v>
      </c>
      <c r="B810" s="20" t="s">
        <v>60</v>
      </c>
      <c r="C810" s="20" t="s">
        <v>3030</v>
      </c>
      <c r="D810" s="20" t="s">
        <v>216</v>
      </c>
      <c r="E810" s="13">
        <v>0</v>
      </c>
      <c r="F810" s="11">
        <v>0</v>
      </c>
      <c r="G810" s="13">
        <v>0</v>
      </c>
      <c r="H810" s="11">
        <v>0</v>
      </c>
      <c r="I810" s="13">
        <f>E810+G810</f>
        <v>0</v>
      </c>
      <c r="J810" s="11">
        <f>F810+H810</f>
        <v>0</v>
      </c>
      <c r="K810" s="13">
        <v>0</v>
      </c>
      <c r="L810" s="11">
        <v>0</v>
      </c>
      <c r="M810" s="11">
        <v>0</v>
      </c>
      <c r="N810" s="13">
        <v>0</v>
      </c>
      <c r="O810" s="11">
        <v>0</v>
      </c>
      <c r="P810" s="11">
        <v>0</v>
      </c>
      <c r="Q810" s="13">
        <f>K810+N810</f>
        <v>0</v>
      </c>
      <c r="R810" s="11">
        <f>L810+O810</f>
        <v>0</v>
      </c>
      <c r="S810" s="11">
        <f>M810+P810</f>
        <v>0</v>
      </c>
      <c r="T810" s="8">
        <f>I810-Q810</f>
        <v>0</v>
      </c>
      <c r="U810" s="18" t="s">
        <v>1803</v>
      </c>
      <c r="V810" s="11">
        <v>0</v>
      </c>
      <c r="W810" s="11">
        <v>0</v>
      </c>
      <c r="X810" s="11">
        <v>0</v>
      </c>
      <c r="Y810" s="11">
        <v>0</v>
      </c>
      <c r="Z810" t="s">
        <v>56</v>
      </c>
    </row>
    <row r="811" spans="1:26" x14ac:dyDescent="0.25">
      <c r="A811" s="20" t="s">
        <v>3051</v>
      </c>
      <c r="B811" s="20" t="s">
        <v>3096</v>
      </c>
      <c r="C811" s="20" t="s">
        <v>3050</v>
      </c>
      <c r="D811" s="20" t="s">
        <v>216</v>
      </c>
      <c r="E811" s="13">
        <v>0</v>
      </c>
      <c r="F811" s="11">
        <v>0</v>
      </c>
      <c r="G811" s="13">
        <v>0</v>
      </c>
      <c r="H811" s="11">
        <v>0</v>
      </c>
      <c r="I811" s="13">
        <f>E811+G811</f>
        <v>0</v>
      </c>
      <c r="J811" s="11">
        <f>F811+H811</f>
        <v>0</v>
      </c>
      <c r="K811" s="13">
        <v>0</v>
      </c>
      <c r="L811" s="11">
        <v>0</v>
      </c>
      <c r="M811" s="11">
        <v>0</v>
      </c>
      <c r="N811" s="13">
        <v>1550</v>
      </c>
      <c r="O811" s="11">
        <v>0</v>
      </c>
      <c r="P811" s="11">
        <v>0</v>
      </c>
      <c r="Q811" s="13">
        <f>K811+N811</f>
        <v>1550</v>
      </c>
      <c r="R811" s="11">
        <f>L811+O811</f>
        <v>0</v>
      </c>
      <c r="S811" s="11">
        <f>M811+P811</f>
        <v>0</v>
      </c>
      <c r="T811" s="8">
        <f>I811-Q811</f>
        <v>-1550</v>
      </c>
      <c r="U811" s="18">
        <v>4.4960148492918135E-2</v>
      </c>
      <c r="V811" s="11">
        <v>0</v>
      </c>
      <c r="W811" s="11">
        <v>0</v>
      </c>
      <c r="X811" s="11">
        <v>2</v>
      </c>
      <c r="Y811" s="11">
        <v>0</v>
      </c>
      <c r="Z811" t="s">
        <v>56</v>
      </c>
    </row>
    <row r="812" spans="1:26" x14ac:dyDescent="0.25">
      <c r="A812" s="20" t="s">
        <v>3053</v>
      </c>
      <c r="B812" s="20" t="s">
        <v>257</v>
      </c>
      <c r="C812" s="20" t="s">
        <v>3049</v>
      </c>
      <c r="D812" s="20" t="s">
        <v>216</v>
      </c>
      <c r="E812" s="13">
        <v>0</v>
      </c>
      <c r="F812" s="11">
        <v>0</v>
      </c>
      <c r="G812" s="13">
        <v>0</v>
      </c>
      <c r="H812" s="11">
        <v>0</v>
      </c>
      <c r="I812" s="13">
        <f>E812+G812</f>
        <v>0</v>
      </c>
      <c r="J812" s="11">
        <f>F812+H812</f>
        <v>0</v>
      </c>
      <c r="K812" s="13">
        <v>0</v>
      </c>
      <c r="L812" s="11">
        <v>0</v>
      </c>
      <c r="M812" s="11">
        <v>0</v>
      </c>
      <c r="N812" s="13">
        <v>0</v>
      </c>
      <c r="O812" s="11">
        <v>0</v>
      </c>
      <c r="P812" s="11">
        <v>0</v>
      </c>
      <c r="Q812" s="13">
        <f>K812+N812</f>
        <v>0</v>
      </c>
      <c r="R812" s="11">
        <f>L812+O812</f>
        <v>0</v>
      </c>
      <c r="S812" s="11">
        <f>M812+P812</f>
        <v>0</v>
      </c>
      <c r="T812" s="8">
        <f>I812-Q812</f>
        <v>0</v>
      </c>
      <c r="U812" s="18">
        <v>5.7405312820326106E-2</v>
      </c>
      <c r="V812" s="11">
        <v>0</v>
      </c>
      <c r="W812" s="11">
        <v>0</v>
      </c>
      <c r="X812" s="11">
        <v>0</v>
      </c>
      <c r="Y812" s="11">
        <v>0</v>
      </c>
      <c r="Z812" t="s">
        <v>56</v>
      </c>
    </row>
    <row r="813" spans="1:26" x14ac:dyDescent="0.25">
      <c r="A813" s="20" t="s">
        <v>3066</v>
      </c>
      <c r="B813" s="20" t="s">
        <v>390</v>
      </c>
      <c r="C813" s="20" t="s">
        <v>3067</v>
      </c>
      <c r="D813" s="20" t="s">
        <v>216</v>
      </c>
      <c r="E813" s="13">
        <v>0</v>
      </c>
      <c r="F813" s="11">
        <v>0</v>
      </c>
      <c r="G813" s="13">
        <v>0</v>
      </c>
      <c r="H813" s="11">
        <v>0</v>
      </c>
      <c r="I813" s="13">
        <f>E813+G813</f>
        <v>0</v>
      </c>
      <c r="J813" s="11">
        <f>F813+H813</f>
        <v>0</v>
      </c>
      <c r="K813" s="13">
        <v>0</v>
      </c>
      <c r="L813" s="11">
        <v>0</v>
      </c>
      <c r="M813" s="11">
        <v>0</v>
      </c>
      <c r="N813" s="13">
        <v>0</v>
      </c>
      <c r="O813" s="11">
        <v>0</v>
      </c>
      <c r="P813" s="11">
        <v>0</v>
      </c>
      <c r="Q813" s="13">
        <f>K813+N813</f>
        <v>0</v>
      </c>
      <c r="R813" s="11">
        <f>L813+O813</f>
        <v>0</v>
      </c>
      <c r="S813" s="11">
        <f>M813+P813</f>
        <v>0</v>
      </c>
      <c r="T813" s="8">
        <f>I813-Q813</f>
        <v>0</v>
      </c>
      <c r="U813" s="18">
        <v>0.12136462307543157</v>
      </c>
      <c r="V813" s="11">
        <v>0</v>
      </c>
      <c r="W813" s="11">
        <v>0</v>
      </c>
      <c r="X813" s="11">
        <v>0</v>
      </c>
      <c r="Y813" s="11">
        <v>0</v>
      </c>
      <c r="Z813" t="s">
        <v>56</v>
      </c>
    </row>
    <row r="814" spans="1:26" x14ac:dyDescent="0.25">
      <c r="A814" s="20" t="s">
        <v>3111</v>
      </c>
      <c r="B814" s="20" t="s">
        <v>91</v>
      </c>
      <c r="C814" s="20" t="s">
        <v>3209</v>
      </c>
      <c r="D814" s="20" t="s">
        <v>216</v>
      </c>
      <c r="E814" s="13">
        <v>17502</v>
      </c>
      <c r="F814" s="11">
        <v>1</v>
      </c>
      <c r="G814" s="13">
        <v>-32679.759999999998</v>
      </c>
      <c r="H814" s="11">
        <v>0</v>
      </c>
      <c r="I814" s="13">
        <f>E814+G814</f>
        <v>-15177.759999999998</v>
      </c>
      <c r="J814" s="11">
        <f>F814+H814</f>
        <v>1</v>
      </c>
      <c r="K814" s="13">
        <v>0</v>
      </c>
      <c r="L814" s="11">
        <v>0</v>
      </c>
      <c r="M814" s="11">
        <v>0</v>
      </c>
      <c r="N814" s="13">
        <v>0</v>
      </c>
      <c r="O814" s="11">
        <v>0</v>
      </c>
      <c r="P814" s="11">
        <v>1</v>
      </c>
      <c r="Q814" s="13">
        <f>K814+N814</f>
        <v>0</v>
      </c>
      <c r="R814" s="11">
        <f>L814+O814</f>
        <v>0</v>
      </c>
      <c r="S814" s="11">
        <f>M814+P814</f>
        <v>1</v>
      </c>
      <c r="T814" s="8">
        <f>I814-Q814</f>
        <v>-15177.759999999998</v>
      </c>
      <c r="U814" s="18">
        <v>0.32281066219682247</v>
      </c>
      <c r="V814" s="11">
        <v>0.33</v>
      </c>
      <c r="W814" s="11">
        <v>2</v>
      </c>
      <c r="X814" s="11">
        <v>4</v>
      </c>
      <c r="Y814" s="11">
        <v>1</v>
      </c>
      <c r="Z814" t="s">
        <v>56</v>
      </c>
    </row>
    <row r="815" spans="1:26" x14ac:dyDescent="0.25">
      <c r="A815" s="20" t="s">
        <v>3106</v>
      </c>
      <c r="B815" s="20" t="s">
        <v>97</v>
      </c>
      <c r="C815" s="20" t="s">
        <v>1280</v>
      </c>
      <c r="D815" s="20" t="s">
        <v>216</v>
      </c>
      <c r="E815" s="13">
        <v>53244.37</v>
      </c>
      <c r="F815" s="11">
        <v>1</v>
      </c>
      <c r="G815" s="13">
        <v>63599.12</v>
      </c>
      <c r="H815" s="11">
        <v>1</v>
      </c>
      <c r="I815" s="13">
        <f>E815+G815</f>
        <v>116843.49</v>
      </c>
      <c r="J815" s="11">
        <f>F815+H815</f>
        <v>2</v>
      </c>
      <c r="K815" s="13">
        <v>110672.14</v>
      </c>
      <c r="L815" s="11">
        <v>2</v>
      </c>
      <c r="M815" s="11">
        <v>8</v>
      </c>
      <c r="N815" s="13">
        <v>33416.129999999997</v>
      </c>
      <c r="O815" s="11">
        <v>3</v>
      </c>
      <c r="P815" s="11">
        <v>18</v>
      </c>
      <c r="Q815" s="13">
        <f>K815+N815</f>
        <v>144088.26999999999</v>
      </c>
      <c r="R815" s="11">
        <f>L815+O815</f>
        <v>5</v>
      </c>
      <c r="S815" s="11">
        <f>M815+P815</f>
        <v>26</v>
      </c>
      <c r="T815" s="8">
        <f>I815-Q815</f>
        <v>-27244.779999999984</v>
      </c>
      <c r="U815" s="18">
        <v>0.30899158842212249</v>
      </c>
      <c r="V815" s="11">
        <v>0.46</v>
      </c>
      <c r="W815" s="11">
        <v>24</v>
      </c>
      <c r="X815" s="11">
        <v>28</v>
      </c>
      <c r="Y815" s="11">
        <v>0</v>
      </c>
      <c r="Z815" t="s">
        <v>56</v>
      </c>
    </row>
    <row r="816" spans="1:26" x14ac:dyDescent="0.25">
      <c r="A816" s="20" t="s">
        <v>3127</v>
      </c>
      <c r="B816" s="20" t="s">
        <v>91</v>
      </c>
      <c r="C816" s="20" t="s">
        <v>3128</v>
      </c>
      <c r="D816" s="20" t="s">
        <v>216</v>
      </c>
      <c r="E816" s="13">
        <v>0</v>
      </c>
      <c r="F816" s="11">
        <v>0</v>
      </c>
      <c r="G816" s="13">
        <v>0</v>
      </c>
      <c r="H816" s="11">
        <v>0</v>
      </c>
      <c r="I816" s="13">
        <f>E816+G816</f>
        <v>0</v>
      </c>
      <c r="J816" s="11">
        <f>F816+H816</f>
        <v>0</v>
      </c>
      <c r="K816" s="13">
        <v>0</v>
      </c>
      <c r="L816" s="11">
        <v>0</v>
      </c>
      <c r="M816" s="11">
        <v>0</v>
      </c>
      <c r="N816" s="13">
        <v>0</v>
      </c>
      <c r="O816" s="11">
        <v>0</v>
      </c>
      <c r="P816" s="11">
        <v>0</v>
      </c>
      <c r="Q816" s="13">
        <f>K816+N816</f>
        <v>0</v>
      </c>
      <c r="R816" s="11">
        <f>L816+O816</f>
        <v>0</v>
      </c>
      <c r="S816" s="11">
        <f>M816+P816</f>
        <v>0</v>
      </c>
      <c r="T816" s="8">
        <f>I816-Q816</f>
        <v>0</v>
      </c>
      <c r="U816" s="18">
        <v>6.5670121176151147E-2</v>
      </c>
      <c r="V816" s="11">
        <v>0</v>
      </c>
      <c r="W816" s="11">
        <v>0</v>
      </c>
      <c r="X816" s="11">
        <v>0</v>
      </c>
      <c r="Y816" s="11">
        <v>0</v>
      </c>
      <c r="Z816" t="s">
        <v>56</v>
      </c>
    </row>
    <row r="817" spans="1:26" x14ac:dyDescent="0.25">
      <c r="A817" s="20" t="s">
        <v>3143</v>
      </c>
      <c r="B817" s="20" t="s">
        <v>3143</v>
      </c>
      <c r="C817" s="20" t="s">
        <v>431</v>
      </c>
      <c r="D817" s="20" t="s">
        <v>216</v>
      </c>
      <c r="E817" s="13">
        <v>-637.08000000000004</v>
      </c>
      <c r="F817" s="11">
        <v>0</v>
      </c>
      <c r="G817" s="13">
        <v>0</v>
      </c>
      <c r="H817" s="11">
        <v>0</v>
      </c>
      <c r="I817" s="13">
        <f>E817+G817</f>
        <v>-637.08000000000004</v>
      </c>
      <c r="J817" s="11">
        <f>F817+H817</f>
        <v>0</v>
      </c>
      <c r="K817" s="13">
        <v>0</v>
      </c>
      <c r="L817" s="11">
        <v>0</v>
      </c>
      <c r="M817" s="11">
        <v>0</v>
      </c>
      <c r="N817" s="13">
        <v>0</v>
      </c>
      <c r="O817" s="11">
        <v>0</v>
      </c>
      <c r="P817" s="11">
        <v>0</v>
      </c>
      <c r="Q817" s="13">
        <f>K817+N817</f>
        <v>0</v>
      </c>
      <c r="R817" s="11">
        <f>L817+O817</f>
        <v>0</v>
      </c>
      <c r="S817" s="11">
        <f>M817+P817</f>
        <v>0</v>
      </c>
      <c r="T817" s="8">
        <f>I817-Q817</f>
        <v>-637.08000000000004</v>
      </c>
      <c r="U817" s="18">
        <v>2.4139448218464987E-3</v>
      </c>
      <c r="V817" s="11">
        <v>0</v>
      </c>
      <c r="W817" s="11">
        <v>0</v>
      </c>
      <c r="X817" s="11">
        <v>0</v>
      </c>
      <c r="Y817" s="11">
        <v>0</v>
      </c>
      <c r="Z817" t="s">
        <v>56</v>
      </c>
    </row>
    <row r="818" spans="1:26" x14ac:dyDescent="0.25">
      <c r="A818" s="20" t="s">
        <v>3153</v>
      </c>
      <c r="B818" s="20" t="s">
        <v>260</v>
      </c>
      <c r="C818" s="20" t="s">
        <v>1319</v>
      </c>
      <c r="D818" s="20" t="s">
        <v>216</v>
      </c>
      <c r="E818" s="13">
        <v>11699</v>
      </c>
      <c r="F818" s="11">
        <v>0</v>
      </c>
      <c r="G818" s="13">
        <v>9899</v>
      </c>
      <c r="H818" s="11">
        <v>0</v>
      </c>
      <c r="I818" s="13">
        <f>E818+G818</f>
        <v>21598</v>
      </c>
      <c r="J818" s="11">
        <f>F818+H818</f>
        <v>0</v>
      </c>
      <c r="K818" s="13">
        <v>11027</v>
      </c>
      <c r="L818" s="11">
        <v>1</v>
      </c>
      <c r="M818" s="11">
        <v>2</v>
      </c>
      <c r="N818" s="13">
        <v>9275</v>
      </c>
      <c r="O818" s="11">
        <v>0</v>
      </c>
      <c r="P818" s="11">
        <v>2</v>
      </c>
      <c r="Q818" s="13">
        <f>K818+N818</f>
        <v>20302</v>
      </c>
      <c r="R818" s="11">
        <f>L818+O818</f>
        <v>1</v>
      </c>
      <c r="S818" s="11">
        <f>M818+P818</f>
        <v>4</v>
      </c>
      <c r="T818" s="8">
        <f>I818-Q818</f>
        <v>1296</v>
      </c>
      <c r="U818" s="18">
        <v>0.26496195999954542</v>
      </c>
      <c r="V818" s="11">
        <v>0.5</v>
      </c>
      <c r="W818" s="11">
        <v>3</v>
      </c>
      <c r="X818" s="11">
        <v>3</v>
      </c>
      <c r="Y818" s="11">
        <v>0</v>
      </c>
      <c r="Z818" t="s">
        <v>56</v>
      </c>
    </row>
    <row r="819" spans="1:26" x14ac:dyDescent="0.25">
      <c r="A819" s="20" t="s">
        <v>3226</v>
      </c>
      <c r="B819" s="20" t="s">
        <v>77</v>
      </c>
      <c r="C819" s="20" t="s">
        <v>3227</v>
      </c>
      <c r="D819" s="20" t="s">
        <v>216</v>
      </c>
      <c r="E819" s="13">
        <v>0</v>
      </c>
      <c r="F819" s="11">
        <v>0</v>
      </c>
      <c r="G819" s="13">
        <v>0</v>
      </c>
      <c r="H819" s="11">
        <v>0</v>
      </c>
      <c r="I819" s="13">
        <f>E819+G819</f>
        <v>0</v>
      </c>
      <c r="J819" s="11">
        <f>F819+H819</f>
        <v>0</v>
      </c>
      <c r="K819" s="13">
        <v>0</v>
      </c>
      <c r="L819" s="11">
        <v>0</v>
      </c>
      <c r="M819" s="11">
        <v>0</v>
      </c>
      <c r="N819" s="13">
        <v>0</v>
      </c>
      <c r="O819" s="11">
        <v>0</v>
      </c>
      <c r="P819" s="11">
        <v>0</v>
      </c>
      <c r="Q819" s="13">
        <f>K819+N819</f>
        <v>0</v>
      </c>
      <c r="R819" s="11">
        <f>L819+O819</f>
        <v>0</v>
      </c>
      <c r="S819" s="11">
        <f>M819+P819</f>
        <v>0</v>
      </c>
      <c r="T819" s="8">
        <f>I819-Q819</f>
        <v>0</v>
      </c>
      <c r="U819" s="18">
        <v>0.11601000710812823</v>
      </c>
      <c r="V819" s="11">
        <v>0</v>
      </c>
      <c r="W819" s="11">
        <v>0</v>
      </c>
      <c r="X819" s="11">
        <v>1</v>
      </c>
      <c r="Y819" s="11">
        <v>0</v>
      </c>
      <c r="Z819" t="s">
        <v>56</v>
      </c>
    </row>
    <row r="820" spans="1:26" x14ac:dyDescent="0.25">
      <c r="A820" s="20" t="s">
        <v>3246</v>
      </c>
      <c r="B820" s="20" t="s">
        <v>124</v>
      </c>
      <c r="C820" s="20" t="s">
        <v>3245</v>
      </c>
      <c r="D820" s="20" t="s">
        <v>216</v>
      </c>
      <c r="E820" s="13">
        <v>0</v>
      </c>
      <c r="F820" s="11">
        <v>0</v>
      </c>
      <c r="G820" s="13">
        <v>0</v>
      </c>
      <c r="H820" s="11">
        <v>0</v>
      </c>
      <c r="I820" s="13">
        <f>E820+G820</f>
        <v>0</v>
      </c>
      <c r="J820" s="11">
        <f>F820+H820</f>
        <v>0</v>
      </c>
      <c r="K820" s="13">
        <v>0</v>
      </c>
      <c r="L820" s="11">
        <v>0</v>
      </c>
      <c r="M820" s="11">
        <v>0</v>
      </c>
      <c r="N820" s="13">
        <v>0</v>
      </c>
      <c r="O820" s="11">
        <v>0</v>
      </c>
      <c r="P820" s="11">
        <v>0</v>
      </c>
      <c r="Q820" s="13">
        <f>K820+N820</f>
        <v>0</v>
      </c>
      <c r="R820" s="11">
        <f>L820+O820</f>
        <v>0</v>
      </c>
      <c r="S820" s="11">
        <f>M820+P820</f>
        <v>0</v>
      </c>
      <c r="T820" s="8">
        <f>I820-Q820</f>
        <v>0</v>
      </c>
      <c r="U820" s="18">
        <v>3.3247256029850333E-2</v>
      </c>
      <c r="V820" s="11">
        <v>0</v>
      </c>
      <c r="W820" s="11">
        <v>0</v>
      </c>
      <c r="X820" s="11">
        <v>4</v>
      </c>
      <c r="Y820" s="11">
        <v>0</v>
      </c>
      <c r="Z820" t="s">
        <v>56</v>
      </c>
    </row>
    <row r="821" spans="1:26" x14ac:dyDescent="0.25">
      <c r="A821" s="20" t="s">
        <v>3248</v>
      </c>
      <c r="B821" s="20" t="s">
        <v>390</v>
      </c>
      <c r="C821" s="20" t="s">
        <v>3249</v>
      </c>
      <c r="D821" s="20" t="s">
        <v>216</v>
      </c>
      <c r="E821" s="13">
        <v>1182</v>
      </c>
      <c r="F821" s="11">
        <v>0</v>
      </c>
      <c r="G821" s="13">
        <v>0</v>
      </c>
      <c r="H821" s="11">
        <v>0</v>
      </c>
      <c r="I821" s="13">
        <f>E821+G821</f>
        <v>1182</v>
      </c>
      <c r="J821" s="11">
        <f>F821+H821</f>
        <v>0</v>
      </c>
      <c r="K821" s="13">
        <v>1164</v>
      </c>
      <c r="L821" s="11">
        <v>0</v>
      </c>
      <c r="M821" s="11">
        <v>0</v>
      </c>
      <c r="N821" s="13">
        <v>0</v>
      </c>
      <c r="O821" s="11">
        <v>0</v>
      </c>
      <c r="P821" s="11">
        <v>1</v>
      </c>
      <c r="Q821" s="13">
        <f>K821+N821</f>
        <v>1164</v>
      </c>
      <c r="R821" s="11">
        <f>L821+O821</f>
        <v>0</v>
      </c>
      <c r="S821" s="11">
        <f>M821+P821</f>
        <v>1</v>
      </c>
      <c r="T821" s="8">
        <f>I821-Q821</f>
        <v>18</v>
      </c>
      <c r="U821" s="18">
        <v>0.61064785920010656</v>
      </c>
      <c r="V821" s="11">
        <v>0.2</v>
      </c>
      <c r="W821" s="11">
        <v>1</v>
      </c>
      <c r="X821" s="11">
        <v>4</v>
      </c>
      <c r="Y821" s="11">
        <v>0</v>
      </c>
      <c r="Z821" t="s">
        <v>56</v>
      </c>
    </row>
    <row r="822" spans="1:26" x14ac:dyDescent="0.25">
      <c r="A822" s="20" t="s">
        <v>3314</v>
      </c>
      <c r="B822" s="20" t="s">
        <v>3203</v>
      </c>
      <c r="C822" s="20" t="s">
        <v>3011</v>
      </c>
      <c r="D822" s="20" t="s">
        <v>216</v>
      </c>
      <c r="E822" s="13">
        <v>1711</v>
      </c>
      <c r="F822" s="11">
        <v>0</v>
      </c>
      <c r="G822" s="13">
        <v>0</v>
      </c>
      <c r="H822" s="11">
        <v>0</v>
      </c>
      <c r="I822" s="13">
        <f>E822+G822</f>
        <v>1711</v>
      </c>
      <c r="J822" s="11">
        <f>F822+H822</f>
        <v>0</v>
      </c>
      <c r="K822" s="13">
        <v>1613</v>
      </c>
      <c r="L822" s="11">
        <v>0</v>
      </c>
      <c r="M822" s="11">
        <v>0</v>
      </c>
      <c r="N822" s="13">
        <v>0</v>
      </c>
      <c r="O822" s="11">
        <v>0</v>
      </c>
      <c r="P822" s="11">
        <v>0</v>
      </c>
      <c r="Q822" s="13">
        <f>K822+N822</f>
        <v>1613</v>
      </c>
      <c r="R822" s="11">
        <f>L822+O822</f>
        <v>0</v>
      </c>
      <c r="S822" s="11">
        <f>M822+P822</f>
        <v>0</v>
      </c>
      <c r="T822" s="8">
        <f>I822-Q822</f>
        <v>98</v>
      </c>
      <c r="U822" s="18">
        <v>0.37095401398802164</v>
      </c>
      <c r="V822" s="11">
        <v>0</v>
      </c>
      <c r="W822" s="11">
        <v>0</v>
      </c>
      <c r="X822" s="11">
        <v>0</v>
      </c>
      <c r="Y822" s="11">
        <v>1</v>
      </c>
      <c r="Z822" t="s">
        <v>56</v>
      </c>
    </row>
    <row r="823" spans="1:26" x14ac:dyDescent="0.25">
      <c r="A823" s="20" t="s">
        <v>3355</v>
      </c>
      <c r="B823" s="20" t="s">
        <v>3355</v>
      </c>
      <c r="C823" s="20" t="s">
        <v>1324</v>
      </c>
      <c r="D823" s="20" t="s">
        <v>216</v>
      </c>
      <c r="E823" s="13">
        <v>0</v>
      </c>
      <c r="F823" s="11">
        <v>0</v>
      </c>
      <c r="G823" s="13">
        <v>0</v>
      </c>
      <c r="H823" s="11">
        <v>0</v>
      </c>
      <c r="I823" s="13">
        <f>E823+G823</f>
        <v>0</v>
      </c>
      <c r="J823" s="11">
        <f>F823+H823</f>
        <v>0</v>
      </c>
      <c r="K823" s="13">
        <v>0</v>
      </c>
      <c r="L823" s="11">
        <v>0</v>
      </c>
      <c r="M823" s="11">
        <v>0</v>
      </c>
      <c r="N823" s="13">
        <v>0</v>
      </c>
      <c r="O823" s="11">
        <v>0</v>
      </c>
      <c r="P823" s="11">
        <v>0</v>
      </c>
      <c r="Q823" s="13">
        <f>K823+N823</f>
        <v>0</v>
      </c>
      <c r="R823" s="11">
        <f>L823+O823</f>
        <v>0</v>
      </c>
      <c r="S823" s="11">
        <f>M823+P823</f>
        <v>0</v>
      </c>
      <c r="T823" s="8">
        <f>I823-Q823</f>
        <v>0</v>
      </c>
      <c r="U823" s="18">
        <v>-1.135928406771975</v>
      </c>
      <c r="V823" s="11">
        <v>0</v>
      </c>
      <c r="W823" s="11">
        <v>0</v>
      </c>
      <c r="X823" s="11">
        <v>0</v>
      </c>
      <c r="Y823" s="11">
        <v>0</v>
      </c>
      <c r="Z823" t="s">
        <v>56</v>
      </c>
    </row>
    <row r="824" spans="1:26" x14ac:dyDescent="0.25">
      <c r="A824" s="20" t="s">
        <v>3368</v>
      </c>
      <c r="B824" s="20" t="s">
        <v>1268</v>
      </c>
      <c r="C824" s="20" t="s">
        <v>3369</v>
      </c>
      <c r="D824" s="20" t="s">
        <v>216</v>
      </c>
      <c r="E824" s="13">
        <v>5911</v>
      </c>
      <c r="F824" s="11">
        <v>0</v>
      </c>
      <c r="G824" s="13">
        <v>14799</v>
      </c>
      <c r="H824" s="11">
        <v>0</v>
      </c>
      <c r="I824" s="13">
        <f>E824+G824</f>
        <v>20710</v>
      </c>
      <c r="J824" s="11">
        <f>F824+H824</f>
        <v>0</v>
      </c>
      <c r="K824" s="13">
        <v>6289</v>
      </c>
      <c r="L824" s="11">
        <v>0</v>
      </c>
      <c r="M824" s="11">
        <v>0</v>
      </c>
      <c r="N824" s="13">
        <v>22976.26</v>
      </c>
      <c r="O824" s="11">
        <v>1</v>
      </c>
      <c r="P824" s="11">
        <v>1</v>
      </c>
      <c r="Q824" s="13">
        <f>K824+N824</f>
        <v>29265.26</v>
      </c>
      <c r="R824" s="11">
        <f>L824+O824</f>
        <v>1</v>
      </c>
      <c r="S824" s="11">
        <f>M824+P824</f>
        <v>1</v>
      </c>
      <c r="T824" s="8">
        <f>I824-Q824</f>
        <v>-8555.2599999999984</v>
      </c>
      <c r="U824" s="18">
        <v>0.28758048182784279</v>
      </c>
      <c r="V824" s="11">
        <v>0</v>
      </c>
      <c r="W824" s="11">
        <v>0</v>
      </c>
      <c r="X824" s="11">
        <v>2</v>
      </c>
      <c r="Y824" s="11">
        <v>0</v>
      </c>
      <c r="Z824" t="s">
        <v>56</v>
      </c>
    </row>
    <row r="825" spans="1:26" x14ac:dyDescent="0.25">
      <c r="A825" s="20" t="s">
        <v>3370</v>
      </c>
      <c r="B825" s="20" t="s">
        <v>83</v>
      </c>
      <c r="C825" s="20" t="s">
        <v>638</v>
      </c>
      <c r="D825" s="20" t="s">
        <v>216</v>
      </c>
      <c r="E825" s="13">
        <v>0</v>
      </c>
      <c r="F825" s="11">
        <v>0</v>
      </c>
      <c r="G825" s="13">
        <v>0</v>
      </c>
      <c r="H825" s="11">
        <v>0</v>
      </c>
      <c r="I825" s="13">
        <f>E825+G825</f>
        <v>0</v>
      </c>
      <c r="J825" s="11">
        <f>F825+H825</f>
        <v>0</v>
      </c>
      <c r="K825" s="13">
        <v>0</v>
      </c>
      <c r="L825" s="11">
        <v>0</v>
      </c>
      <c r="M825" s="11">
        <v>0</v>
      </c>
      <c r="N825" s="13">
        <v>0</v>
      </c>
      <c r="O825" s="11">
        <v>0</v>
      </c>
      <c r="P825" s="11">
        <v>0</v>
      </c>
      <c r="Q825" s="13">
        <f>K825+N825</f>
        <v>0</v>
      </c>
      <c r="R825" s="11">
        <f>L825+O825</f>
        <v>0</v>
      </c>
      <c r="S825" s="11">
        <f>M825+P825</f>
        <v>0</v>
      </c>
      <c r="T825" s="8">
        <f>I825-Q825</f>
        <v>0</v>
      </c>
      <c r="U825" s="18">
        <v>3.0537224502855037E-2</v>
      </c>
      <c r="V825" s="11">
        <v>0</v>
      </c>
      <c r="W825" s="11">
        <v>0</v>
      </c>
      <c r="X825" s="11">
        <v>0</v>
      </c>
      <c r="Y825" s="11">
        <v>0</v>
      </c>
      <c r="Z825" t="s">
        <v>56</v>
      </c>
    </row>
    <row r="826" spans="1:26" x14ac:dyDescent="0.25">
      <c r="A826" s="20" t="s">
        <v>3362</v>
      </c>
      <c r="B826" s="20" t="s">
        <v>60</v>
      </c>
      <c r="C826" s="20" t="s">
        <v>3363</v>
      </c>
      <c r="D826" s="20" t="s">
        <v>216</v>
      </c>
      <c r="E826" s="13">
        <v>2806.31</v>
      </c>
      <c r="F826" s="11">
        <v>0</v>
      </c>
      <c r="G826" s="13">
        <v>0</v>
      </c>
      <c r="H826" s="11">
        <v>0</v>
      </c>
      <c r="I826" s="13">
        <f>E826+G826</f>
        <v>2806.31</v>
      </c>
      <c r="J826" s="11">
        <f>F826+H826</f>
        <v>0</v>
      </c>
      <c r="K826" s="13">
        <v>0</v>
      </c>
      <c r="L826" s="11">
        <v>0</v>
      </c>
      <c r="M826" s="11">
        <v>0</v>
      </c>
      <c r="N826" s="13">
        <v>0</v>
      </c>
      <c r="O826" s="11">
        <v>0</v>
      </c>
      <c r="P826" s="11">
        <v>0</v>
      </c>
      <c r="Q826" s="13">
        <f>K826+N826</f>
        <v>0</v>
      </c>
      <c r="R826" s="11">
        <f>L826+O826</f>
        <v>0</v>
      </c>
      <c r="S826" s="11">
        <f>M826+P826</f>
        <v>0</v>
      </c>
      <c r="T826" s="8">
        <f>I826-Q826</f>
        <v>2806.31</v>
      </c>
      <c r="U826" s="18">
        <v>4.9598987734519692E-2</v>
      </c>
      <c r="V826" s="11">
        <v>0</v>
      </c>
      <c r="W826" s="11">
        <v>0</v>
      </c>
      <c r="X826" s="11">
        <v>0</v>
      </c>
      <c r="Y826" s="11">
        <v>0</v>
      </c>
      <c r="Z826" t="s">
        <v>56</v>
      </c>
    </row>
    <row r="827" spans="1:26" x14ac:dyDescent="0.25">
      <c r="A827" s="20" t="s">
        <v>3374</v>
      </c>
      <c r="B827" s="20" t="s">
        <v>3374</v>
      </c>
      <c r="C827" s="20" t="s">
        <v>558</v>
      </c>
      <c r="D827" s="20" t="s">
        <v>216</v>
      </c>
      <c r="E827" s="13">
        <v>0</v>
      </c>
      <c r="F827" s="11">
        <v>0</v>
      </c>
      <c r="G827" s="13">
        <v>0</v>
      </c>
      <c r="H827" s="11">
        <v>0</v>
      </c>
      <c r="I827" s="13">
        <f>E827+G827</f>
        <v>0</v>
      </c>
      <c r="J827" s="11">
        <f>F827+H827</f>
        <v>0</v>
      </c>
      <c r="K827" s="13">
        <v>0</v>
      </c>
      <c r="L827" s="11">
        <v>0</v>
      </c>
      <c r="M827" s="11">
        <v>0</v>
      </c>
      <c r="N827" s="13">
        <v>0</v>
      </c>
      <c r="O827" s="11">
        <v>0</v>
      </c>
      <c r="P827" s="11">
        <v>0</v>
      </c>
      <c r="Q827" s="13">
        <f>K827+N827</f>
        <v>0</v>
      </c>
      <c r="R827" s="11">
        <f>L827+O827</f>
        <v>0</v>
      </c>
      <c r="S827" s="11">
        <f>M827+P827</f>
        <v>0</v>
      </c>
      <c r="T827" s="8">
        <f>I827-Q827</f>
        <v>0</v>
      </c>
      <c r="U827" s="18">
        <v>-9.3654499385919295E-3</v>
      </c>
      <c r="V827" s="11">
        <v>0</v>
      </c>
      <c r="W827" s="11">
        <v>0</v>
      </c>
      <c r="X827" s="11">
        <v>0</v>
      </c>
      <c r="Y827" s="11">
        <v>0</v>
      </c>
      <c r="Z827" t="s">
        <v>56</v>
      </c>
    </row>
    <row r="828" spans="1:26" x14ac:dyDescent="0.25">
      <c r="A828" s="20" t="s">
        <v>3375</v>
      </c>
      <c r="B828" s="20" t="s">
        <v>60</v>
      </c>
      <c r="C828" s="20" t="s">
        <v>3376</v>
      </c>
      <c r="D828" s="20" t="s">
        <v>216</v>
      </c>
      <c r="E828" s="13">
        <v>0</v>
      </c>
      <c r="F828" s="11">
        <v>0</v>
      </c>
      <c r="G828" s="13">
        <v>0</v>
      </c>
      <c r="H828" s="11">
        <v>0</v>
      </c>
      <c r="I828" s="13">
        <f>E828+G828</f>
        <v>0</v>
      </c>
      <c r="J828" s="11">
        <f>F828+H828</f>
        <v>0</v>
      </c>
      <c r="K828" s="13">
        <v>0</v>
      </c>
      <c r="L828" s="11">
        <v>0</v>
      </c>
      <c r="M828" s="11">
        <v>0</v>
      </c>
      <c r="N828" s="13">
        <v>0</v>
      </c>
      <c r="O828" s="11">
        <v>0</v>
      </c>
      <c r="P828" s="11">
        <v>0</v>
      </c>
      <c r="Q828" s="13">
        <f>K828+N828</f>
        <v>0</v>
      </c>
      <c r="R828" s="11">
        <f>L828+O828</f>
        <v>0</v>
      </c>
      <c r="S828" s="11">
        <f>M828+P828</f>
        <v>0</v>
      </c>
      <c r="T828" s="8">
        <f>I828-Q828</f>
        <v>0</v>
      </c>
      <c r="U828" s="18" t="s">
        <v>1803</v>
      </c>
      <c r="V828" s="11">
        <v>0</v>
      </c>
      <c r="W828" s="11">
        <v>0</v>
      </c>
      <c r="X828" s="11">
        <v>1</v>
      </c>
      <c r="Y828" s="11">
        <v>0</v>
      </c>
      <c r="Z828" t="s">
        <v>56</v>
      </c>
    </row>
    <row r="829" spans="1:26" x14ac:dyDescent="0.25">
      <c r="A829" s="20" t="s">
        <v>3648</v>
      </c>
      <c r="B829" s="20" t="s">
        <v>83</v>
      </c>
      <c r="C829" s="20" t="s">
        <v>638</v>
      </c>
      <c r="D829" s="20" t="s">
        <v>216</v>
      </c>
      <c r="E829" s="13">
        <v>0</v>
      </c>
      <c r="F829" s="11">
        <v>0</v>
      </c>
      <c r="G829" s="13">
        <v>0</v>
      </c>
      <c r="H829" s="11">
        <v>0</v>
      </c>
      <c r="I829" s="13">
        <f>E829+G829</f>
        <v>0</v>
      </c>
      <c r="J829" s="11">
        <f>F829+H829</f>
        <v>0</v>
      </c>
      <c r="K829" s="13">
        <v>0</v>
      </c>
      <c r="L829" s="11">
        <v>0</v>
      </c>
      <c r="M829" s="11">
        <v>0</v>
      </c>
      <c r="N829" s="13">
        <v>0</v>
      </c>
      <c r="O829" s="11">
        <v>0</v>
      </c>
      <c r="P829" s="11">
        <v>0</v>
      </c>
      <c r="Q829" s="13">
        <f>K829+N829</f>
        <v>0</v>
      </c>
      <c r="R829" s="11">
        <f>L829+O829</f>
        <v>0</v>
      </c>
      <c r="S829" s="11">
        <f>M829+P829</f>
        <v>0</v>
      </c>
      <c r="T829" s="8">
        <f>I829-Q829</f>
        <v>0</v>
      </c>
      <c r="U829" s="18">
        <v>3.3186478835139752</v>
      </c>
      <c r="V829" s="11">
        <v>0</v>
      </c>
      <c r="W829" s="11">
        <v>0</v>
      </c>
      <c r="X829" s="11">
        <v>0</v>
      </c>
      <c r="Y829" s="11">
        <v>0</v>
      </c>
      <c r="Z829" t="s">
        <v>56</v>
      </c>
    </row>
    <row r="830" spans="1:26" x14ac:dyDescent="0.25">
      <c r="A830" s="20" t="s">
        <v>584</v>
      </c>
      <c r="B830" s="20" t="s">
        <v>60</v>
      </c>
      <c r="C830" s="20" t="s">
        <v>585</v>
      </c>
      <c r="D830" s="20" t="s">
        <v>216</v>
      </c>
      <c r="E830" s="13">
        <v>0</v>
      </c>
      <c r="F830" s="11">
        <v>0</v>
      </c>
      <c r="G830" s="13">
        <v>0</v>
      </c>
      <c r="H830" s="11">
        <v>0</v>
      </c>
      <c r="I830" s="13">
        <f>E830+G830</f>
        <v>0</v>
      </c>
      <c r="J830" s="11">
        <f>F830+H830</f>
        <v>0</v>
      </c>
      <c r="K830" s="13">
        <v>0</v>
      </c>
      <c r="L830" s="11">
        <v>0</v>
      </c>
      <c r="M830" s="11">
        <v>0</v>
      </c>
      <c r="N830" s="13">
        <v>0</v>
      </c>
      <c r="O830" s="11">
        <v>0</v>
      </c>
      <c r="P830" s="11">
        <v>0</v>
      </c>
      <c r="Q830" s="13">
        <f>K830+N830</f>
        <v>0</v>
      </c>
      <c r="R830" s="11">
        <f>L830+O830</f>
        <v>0</v>
      </c>
      <c r="S830" s="11">
        <f>M830+P830</f>
        <v>0</v>
      </c>
      <c r="T830" s="8">
        <f>I830-Q830</f>
        <v>0</v>
      </c>
      <c r="U830" s="18">
        <v>-7.6534398894273797E-2</v>
      </c>
      <c r="V830" s="11">
        <v>0</v>
      </c>
      <c r="W830" s="11">
        <v>0</v>
      </c>
      <c r="X830" s="11">
        <v>4</v>
      </c>
      <c r="Y830" s="11">
        <v>1</v>
      </c>
      <c r="Z830" t="s">
        <v>56</v>
      </c>
    </row>
    <row r="831" spans="1:26" x14ac:dyDescent="0.25">
      <c r="A831" s="20" t="s">
        <v>202</v>
      </c>
      <c r="B831" s="20" t="s">
        <v>202</v>
      </c>
      <c r="C831" s="20" t="s">
        <v>320</v>
      </c>
      <c r="D831" s="20" t="s">
        <v>216</v>
      </c>
      <c r="E831" s="13">
        <v>124381.98</v>
      </c>
      <c r="F831" s="11">
        <v>0</v>
      </c>
      <c r="G831" s="13">
        <v>93786.01</v>
      </c>
      <c r="H831" s="11">
        <v>2</v>
      </c>
      <c r="I831" s="13">
        <f>E831+G831</f>
        <v>218167.99</v>
      </c>
      <c r="J831" s="11">
        <f>F831+H831</f>
        <v>2</v>
      </c>
      <c r="K831" s="13">
        <v>127038</v>
      </c>
      <c r="L831" s="11">
        <v>0</v>
      </c>
      <c r="M831" s="11">
        <v>4</v>
      </c>
      <c r="N831" s="13">
        <v>43989.3</v>
      </c>
      <c r="O831" s="11">
        <v>0</v>
      </c>
      <c r="P831" s="11">
        <v>3</v>
      </c>
      <c r="Q831" s="13">
        <f>K831+N831</f>
        <v>171027.3</v>
      </c>
      <c r="R831" s="11">
        <f>L831+O831</f>
        <v>0</v>
      </c>
      <c r="S831" s="11">
        <f>M831+P831</f>
        <v>7</v>
      </c>
      <c r="T831" s="8">
        <f>I831-Q831</f>
        <v>47140.69</v>
      </c>
      <c r="U831" s="18">
        <v>0.21779479363616588</v>
      </c>
      <c r="V831" s="11">
        <v>0.38</v>
      </c>
      <c r="W831" s="11">
        <v>9</v>
      </c>
      <c r="X831" s="11">
        <v>15</v>
      </c>
      <c r="Y831" s="11">
        <v>1</v>
      </c>
      <c r="Z831" t="s">
        <v>14</v>
      </c>
    </row>
    <row r="832" spans="1:26" x14ac:dyDescent="0.25">
      <c r="A832" s="20" t="s">
        <v>1350</v>
      </c>
      <c r="B832" s="20" t="s">
        <v>3203</v>
      </c>
      <c r="C832" s="20" t="s">
        <v>3011</v>
      </c>
      <c r="D832" s="20" t="s">
        <v>215</v>
      </c>
      <c r="E832" s="13">
        <v>0</v>
      </c>
      <c r="F832" s="11">
        <v>0</v>
      </c>
      <c r="G832" s="13">
        <v>0</v>
      </c>
      <c r="H832" s="11">
        <v>0</v>
      </c>
      <c r="I832" s="13">
        <f>E832+G832</f>
        <v>0</v>
      </c>
      <c r="J832" s="11">
        <f>F832+H832</f>
        <v>0</v>
      </c>
      <c r="K832" s="13">
        <v>-635.96</v>
      </c>
      <c r="L832" s="11">
        <v>0</v>
      </c>
      <c r="M832" s="11">
        <v>0</v>
      </c>
      <c r="N832" s="13">
        <v>0</v>
      </c>
      <c r="O832" s="11">
        <v>0</v>
      </c>
      <c r="P832" s="11">
        <v>0</v>
      </c>
      <c r="Q832" s="13">
        <f>K832+N832</f>
        <v>-635.96</v>
      </c>
      <c r="R832" s="11">
        <f>L832+O832</f>
        <v>0</v>
      </c>
      <c r="S832" s="11">
        <f>M832+P832</f>
        <v>0</v>
      </c>
      <c r="T832" s="8">
        <f>I832-Q832</f>
        <v>635.96</v>
      </c>
      <c r="U832" s="18" t="s">
        <v>1803</v>
      </c>
      <c r="V832" s="11">
        <v>0</v>
      </c>
      <c r="W832" s="11">
        <v>0</v>
      </c>
      <c r="X832" s="11">
        <v>0</v>
      </c>
      <c r="Y832" s="11">
        <v>0</v>
      </c>
      <c r="Z832" t="s">
        <v>14</v>
      </c>
    </row>
    <row r="833" spans="1:26" x14ac:dyDescent="0.25">
      <c r="A833" s="20" t="s">
        <v>1356</v>
      </c>
      <c r="B833" s="20" t="s">
        <v>60</v>
      </c>
      <c r="C833" s="20" t="s">
        <v>1357</v>
      </c>
      <c r="D833" s="20" t="s">
        <v>216</v>
      </c>
      <c r="E833" s="13">
        <v>0</v>
      </c>
      <c r="F833" s="11">
        <v>0</v>
      </c>
      <c r="G833" s="13">
        <v>868</v>
      </c>
      <c r="H833" s="11">
        <v>0</v>
      </c>
      <c r="I833" s="13">
        <f>E833+G833</f>
        <v>868</v>
      </c>
      <c r="J833" s="11">
        <f>F833+H833</f>
        <v>0</v>
      </c>
      <c r="K833" s="13">
        <v>0</v>
      </c>
      <c r="L833" s="11">
        <v>0</v>
      </c>
      <c r="M833" s="11">
        <v>0</v>
      </c>
      <c r="N833" s="13">
        <v>1962</v>
      </c>
      <c r="O833" s="11">
        <v>0</v>
      </c>
      <c r="P833" s="11">
        <v>0</v>
      </c>
      <c r="Q833" s="13">
        <f>K833+N833</f>
        <v>1962</v>
      </c>
      <c r="R833" s="11">
        <f>L833+O833</f>
        <v>0</v>
      </c>
      <c r="S833" s="11">
        <f>M833+P833</f>
        <v>0</v>
      </c>
      <c r="T833" s="8">
        <f>I833-Q833</f>
        <v>-1094</v>
      </c>
      <c r="U833" s="18">
        <v>8.3626562182897574E-2</v>
      </c>
      <c r="V833" s="11">
        <v>0</v>
      </c>
      <c r="W833" s="11">
        <v>0</v>
      </c>
      <c r="X833" s="11">
        <v>5</v>
      </c>
      <c r="Y833" s="11">
        <v>0</v>
      </c>
      <c r="Z833" t="s">
        <v>14</v>
      </c>
    </row>
    <row r="834" spans="1:26" x14ac:dyDescent="0.25">
      <c r="A834" s="20" t="s">
        <v>79</v>
      </c>
      <c r="B834" s="20" t="s">
        <v>79</v>
      </c>
      <c r="C834" s="20" t="s">
        <v>1358</v>
      </c>
      <c r="D834" s="20" t="s">
        <v>216</v>
      </c>
      <c r="E834" s="13">
        <v>0</v>
      </c>
      <c r="F834" s="11">
        <v>0</v>
      </c>
      <c r="G834" s="13">
        <v>0</v>
      </c>
      <c r="H834" s="11">
        <v>0</v>
      </c>
      <c r="I834" s="13">
        <f>E834+G834</f>
        <v>0</v>
      </c>
      <c r="J834" s="11">
        <f>F834+H834</f>
        <v>0</v>
      </c>
      <c r="K834" s="13">
        <v>0</v>
      </c>
      <c r="L834" s="11">
        <v>0</v>
      </c>
      <c r="M834" s="11">
        <v>0</v>
      </c>
      <c r="N834" s="13">
        <v>0</v>
      </c>
      <c r="O834" s="11">
        <v>0</v>
      </c>
      <c r="P834" s="11">
        <v>0</v>
      </c>
      <c r="Q834" s="13">
        <f>K834+N834</f>
        <v>0</v>
      </c>
      <c r="R834" s="11">
        <f>L834+O834</f>
        <v>0</v>
      </c>
      <c r="S834" s="11">
        <f>M834+P834</f>
        <v>0</v>
      </c>
      <c r="T834" s="8">
        <f>I834-Q834</f>
        <v>0</v>
      </c>
      <c r="U834" s="18" t="s">
        <v>1803</v>
      </c>
      <c r="V834" s="11">
        <v>0</v>
      </c>
      <c r="W834" s="11">
        <v>0</v>
      </c>
      <c r="X834" s="11">
        <v>0</v>
      </c>
      <c r="Y834" s="11">
        <v>0</v>
      </c>
      <c r="Z834" t="s">
        <v>14</v>
      </c>
    </row>
    <row r="835" spans="1:26" x14ac:dyDescent="0.25">
      <c r="A835" s="20" t="s">
        <v>1361</v>
      </c>
      <c r="B835" s="20" t="s">
        <v>83</v>
      </c>
      <c r="C835" s="20" t="s">
        <v>1362</v>
      </c>
      <c r="D835" s="20" t="s">
        <v>216</v>
      </c>
      <c r="E835" s="13">
        <v>5078</v>
      </c>
      <c r="F835" s="11">
        <v>0</v>
      </c>
      <c r="G835" s="13">
        <v>0</v>
      </c>
      <c r="H835" s="11">
        <v>0</v>
      </c>
      <c r="I835" s="13">
        <f>E835+G835</f>
        <v>5078</v>
      </c>
      <c r="J835" s="11">
        <f>F835+H835</f>
        <v>0</v>
      </c>
      <c r="K835" s="13">
        <v>4346</v>
      </c>
      <c r="L835" s="11">
        <v>0</v>
      </c>
      <c r="M835" s="11">
        <v>1</v>
      </c>
      <c r="N835" s="13">
        <v>0</v>
      </c>
      <c r="O835" s="11">
        <v>0</v>
      </c>
      <c r="P835" s="11">
        <v>0</v>
      </c>
      <c r="Q835" s="13">
        <f>K835+N835</f>
        <v>4346</v>
      </c>
      <c r="R835" s="11">
        <f>L835+O835</f>
        <v>0</v>
      </c>
      <c r="S835" s="11">
        <f>M835+P835</f>
        <v>1</v>
      </c>
      <c r="T835" s="8">
        <f>I835-Q835</f>
        <v>732</v>
      </c>
      <c r="U835" s="18">
        <v>0.24194611285397657</v>
      </c>
      <c r="V835" s="11">
        <v>0.25</v>
      </c>
      <c r="W835" s="11">
        <v>2</v>
      </c>
      <c r="X835" s="11">
        <v>6</v>
      </c>
      <c r="Y835" s="11">
        <v>0</v>
      </c>
      <c r="Z835" t="s">
        <v>14</v>
      </c>
    </row>
    <row r="836" spans="1:26" x14ac:dyDescent="0.25">
      <c r="A836" s="20" t="s">
        <v>1363</v>
      </c>
      <c r="B836" s="20" t="s">
        <v>60</v>
      </c>
      <c r="C836" s="20" t="s">
        <v>1364</v>
      </c>
      <c r="D836" s="20" t="s">
        <v>216</v>
      </c>
      <c r="E836" s="13">
        <v>0</v>
      </c>
      <c r="F836" s="11">
        <v>0</v>
      </c>
      <c r="G836" s="13">
        <v>5064.5</v>
      </c>
      <c r="H836" s="11">
        <v>0</v>
      </c>
      <c r="I836" s="13">
        <f>E836+G836</f>
        <v>5064.5</v>
      </c>
      <c r="J836" s="11">
        <f>F836+H836</f>
        <v>0</v>
      </c>
      <c r="K836" s="13">
        <v>6287</v>
      </c>
      <c r="L836" s="11">
        <v>0</v>
      </c>
      <c r="M836" s="11">
        <v>1</v>
      </c>
      <c r="N836" s="13">
        <v>787</v>
      </c>
      <c r="O836" s="11">
        <v>0</v>
      </c>
      <c r="P836" s="11">
        <v>1</v>
      </c>
      <c r="Q836" s="13">
        <f>K836+N836</f>
        <v>7074</v>
      </c>
      <c r="R836" s="11">
        <f>L836+O836</f>
        <v>0</v>
      </c>
      <c r="S836" s="11">
        <f>M836+P836</f>
        <v>2</v>
      </c>
      <c r="T836" s="8">
        <f>I836-Q836</f>
        <v>-2009.5</v>
      </c>
      <c r="U836" s="18">
        <v>-0.18094466950879431</v>
      </c>
      <c r="V836" s="11">
        <v>0.25</v>
      </c>
      <c r="W836" s="11">
        <v>2</v>
      </c>
      <c r="X836" s="11">
        <v>6</v>
      </c>
      <c r="Y836" s="11">
        <v>1</v>
      </c>
      <c r="Z836" t="s">
        <v>14</v>
      </c>
    </row>
    <row r="837" spans="1:26" x14ac:dyDescent="0.25">
      <c r="A837" s="20" t="s">
        <v>1365</v>
      </c>
      <c r="B837" s="20" t="s">
        <v>60</v>
      </c>
      <c r="C837" s="20" t="s">
        <v>1366</v>
      </c>
      <c r="D837" s="20" t="s">
        <v>216</v>
      </c>
      <c r="E837" s="13">
        <v>-8585</v>
      </c>
      <c r="F837" s="11">
        <v>0</v>
      </c>
      <c r="G837" s="13">
        <v>0</v>
      </c>
      <c r="H837" s="11">
        <v>0</v>
      </c>
      <c r="I837" s="13">
        <f>E837+G837</f>
        <v>-8585</v>
      </c>
      <c r="J837" s="11">
        <f>F837+H837</f>
        <v>0</v>
      </c>
      <c r="K837" s="13">
        <v>1622</v>
      </c>
      <c r="L837" s="11">
        <v>0</v>
      </c>
      <c r="M837" s="11">
        <v>0</v>
      </c>
      <c r="N837" s="13">
        <v>0</v>
      </c>
      <c r="O837" s="11">
        <v>0</v>
      </c>
      <c r="P837" s="11">
        <v>0</v>
      </c>
      <c r="Q837" s="13">
        <f>K837+N837</f>
        <v>1622</v>
      </c>
      <c r="R837" s="11">
        <f>L837+O837</f>
        <v>0</v>
      </c>
      <c r="S837" s="11">
        <f>M837+P837</f>
        <v>0</v>
      </c>
      <c r="T837" s="8">
        <f>I837-Q837</f>
        <v>-10207</v>
      </c>
      <c r="U837" s="18">
        <v>1.833482203603334E-2</v>
      </c>
      <c r="V837" s="11">
        <v>0</v>
      </c>
      <c r="W837" s="11">
        <v>0</v>
      </c>
      <c r="X837" s="11">
        <v>0</v>
      </c>
      <c r="Y837" s="11">
        <v>0</v>
      </c>
      <c r="Z837" t="s">
        <v>14</v>
      </c>
    </row>
    <row r="838" spans="1:26" x14ac:dyDescent="0.25">
      <c r="A838" s="20" t="s">
        <v>1368</v>
      </c>
      <c r="B838" s="20" t="s">
        <v>3203</v>
      </c>
      <c r="C838" s="20" t="s">
        <v>3345</v>
      </c>
      <c r="D838" s="20" t="s">
        <v>215</v>
      </c>
      <c r="E838" s="13">
        <v>0</v>
      </c>
      <c r="F838" s="11">
        <v>0</v>
      </c>
      <c r="G838" s="13">
        <v>0</v>
      </c>
      <c r="H838" s="11">
        <v>0</v>
      </c>
      <c r="I838" s="13">
        <f>E838+G838</f>
        <v>0</v>
      </c>
      <c r="J838" s="11">
        <f>F838+H838</f>
        <v>0</v>
      </c>
      <c r="K838" s="13">
        <v>1426.58</v>
      </c>
      <c r="L838" s="11">
        <v>0</v>
      </c>
      <c r="M838" s="11">
        <v>0</v>
      </c>
      <c r="N838" s="13">
        <v>0</v>
      </c>
      <c r="O838" s="11">
        <v>0</v>
      </c>
      <c r="P838" s="11">
        <v>0</v>
      </c>
      <c r="Q838" s="13">
        <f>K838+N838</f>
        <v>1426.58</v>
      </c>
      <c r="R838" s="11">
        <f>L838+O838</f>
        <v>0</v>
      </c>
      <c r="S838" s="11">
        <f>M838+P838</f>
        <v>0</v>
      </c>
      <c r="T838" s="8">
        <f>I838-Q838</f>
        <v>-1426.58</v>
      </c>
      <c r="U838" s="18" t="s">
        <v>1803</v>
      </c>
      <c r="V838" s="11">
        <v>0</v>
      </c>
      <c r="W838" s="11">
        <v>0</v>
      </c>
      <c r="X838" s="11">
        <v>0</v>
      </c>
      <c r="Y838" s="11">
        <v>0</v>
      </c>
      <c r="Z838" t="s">
        <v>14</v>
      </c>
    </row>
    <row r="839" spans="1:26" x14ac:dyDescent="0.25">
      <c r="A839" s="20" t="s">
        <v>1369</v>
      </c>
      <c r="B839" s="20" t="s">
        <v>60</v>
      </c>
      <c r="C839" s="20" t="s">
        <v>1370</v>
      </c>
      <c r="D839" s="20" t="s">
        <v>216</v>
      </c>
      <c r="E839" s="13">
        <v>14165</v>
      </c>
      <c r="F839" s="11">
        <v>0</v>
      </c>
      <c r="G839" s="13">
        <v>0</v>
      </c>
      <c r="H839" s="11">
        <v>0</v>
      </c>
      <c r="I839" s="13">
        <f>E839+G839</f>
        <v>14165</v>
      </c>
      <c r="J839" s="11">
        <f>F839+H839</f>
        <v>0</v>
      </c>
      <c r="K839" s="13">
        <v>26324</v>
      </c>
      <c r="L839" s="11">
        <v>0</v>
      </c>
      <c r="M839" s="11">
        <v>0</v>
      </c>
      <c r="N839" s="13">
        <v>0</v>
      </c>
      <c r="O839" s="11">
        <v>0</v>
      </c>
      <c r="P839" s="11">
        <v>1</v>
      </c>
      <c r="Q839" s="13">
        <f>K839+N839</f>
        <v>26324</v>
      </c>
      <c r="R839" s="11">
        <f>L839+O839</f>
        <v>0</v>
      </c>
      <c r="S839" s="11">
        <f>M839+P839</f>
        <v>1</v>
      </c>
      <c r="T839" s="8">
        <f>I839-Q839</f>
        <v>-12159</v>
      </c>
      <c r="U839" s="18">
        <v>4.0617525314270909E-2</v>
      </c>
      <c r="V839" s="11">
        <v>0.25</v>
      </c>
      <c r="W839" s="11">
        <v>1</v>
      </c>
      <c r="X839" s="11">
        <v>3</v>
      </c>
      <c r="Y839" s="11">
        <v>2</v>
      </c>
      <c r="Z839" t="s">
        <v>14</v>
      </c>
    </row>
    <row r="840" spans="1:26" x14ac:dyDescent="0.25">
      <c r="A840" s="20" t="s">
        <v>1371</v>
      </c>
      <c r="B840" s="20" t="s">
        <v>756</v>
      </c>
      <c r="C840" s="20" t="s">
        <v>1372</v>
      </c>
      <c r="D840" s="20" t="s">
        <v>216</v>
      </c>
      <c r="E840" s="13">
        <v>0</v>
      </c>
      <c r="F840" s="11">
        <v>0</v>
      </c>
      <c r="G840" s="13">
        <v>0</v>
      </c>
      <c r="H840" s="11">
        <v>0</v>
      </c>
      <c r="I840" s="13">
        <f>E840+G840</f>
        <v>0</v>
      </c>
      <c r="J840" s="11">
        <f>F840+H840</f>
        <v>0</v>
      </c>
      <c r="K840" s="13">
        <v>0</v>
      </c>
      <c r="L840" s="11">
        <v>0</v>
      </c>
      <c r="M840" s="11">
        <v>0</v>
      </c>
      <c r="N840" s="13">
        <v>0</v>
      </c>
      <c r="O840" s="11">
        <v>0</v>
      </c>
      <c r="P840" s="11">
        <v>0</v>
      </c>
      <c r="Q840" s="13">
        <f>K840+N840</f>
        <v>0</v>
      </c>
      <c r="R840" s="11">
        <f>L840+O840</f>
        <v>0</v>
      </c>
      <c r="S840" s="11">
        <f>M840+P840</f>
        <v>0</v>
      </c>
      <c r="T840" s="8">
        <f>I840-Q840</f>
        <v>0</v>
      </c>
      <c r="U840" s="18">
        <v>6.3300308574102768E-3</v>
      </c>
      <c r="V840" s="11">
        <v>0</v>
      </c>
      <c r="W840" s="11">
        <v>0</v>
      </c>
      <c r="X840" s="11">
        <v>1</v>
      </c>
      <c r="Y840" s="11">
        <v>0</v>
      </c>
      <c r="Z840" t="s">
        <v>14</v>
      </c>
    </row>
    <row r="841" spans="1:26" x14ac:dyDescent="0.25">
      <c r="A841" s="20" t="s">
        <v>1373</v>
      </c>
      <c r="B841" s="20" t="s">
        <v>124</v>
      </c>
      <c r="C841" s="20" t="s">
        <v>1374</v>
      </c>
      <c r="D841" s="20" t="s">
        <v>216</v>
      </c>
      <c r="E841" s="13">
        <v>17203.36</v>
      </c>
      <c r="F841" s="11">
        <v>0</v>
      </c>
      <c r="G841" s="13">
        <v>0</v>
      </c>
      <c r="H841" s="11">
        <v>0</v>
      </c>
      <c r="I841" s="13">
        <f>E841+G841</f>
        <v>17203.36</v>
      </c>
      <c r="J841" s="11">
        <f>F841+H841</f>
        <v>0</v>
      </c>
      <c r="K841" s="13">
        <v>7560</v>
      </c>
      <c r="L841" s="11">
        <v>0</v>
      </c>
      <c r="M841" s="11">
        <v>1</v>
      </c>
      <c r="N841" s="13">
        <v>7990</v>
      </c>
      <c r="O841" s="11">
        <v>0</v>
      </c>
      <c r="P841" s="11">
        <v>4</v>
      </c>
      <c r="Q841" s="13">
        <f>K841+N841</f>
        <v>15550</v>
      </c>
      <c r="R841" s="11">
        <f>L841+O841</f>
        <v>0</v>
      </c>
      <c r="S841" s="11">
        <f>M841+P841</f>
        <v>5</v>
      </c>
      <c r="T841" s="8">
        <f>I841-Q841</f>
        <v>1653.3600000000006</v>
      </c>
      <c r="U841" s="18">
        <v>0.1716119955796758</v>
      </c>
      <c r="V841" s="11">
        <v>0.45</v>
      </c>
      <c r="W841" s="11">
        <v>5</v>
      </c>
      <c r="X841" s="11">
        <v>6</v>
      </c>
      <c r="Y841" s="11">
        <v>1</v>
      </c>
      <c r="Z841" t="s">
        <v>14</v>
      </c>
    </row>
    <row r="842" spans="1:26" x14ac:dyDescent="0.25">
      <c r="A842" s="20" t="s">
        <v>1377</v>
      </c>
      <c r="B842" s="20" t="s">
        <v>1377</v>
      </c>
      <c r="C842" s="20" t="s">
        <v>1378</v>
      </c>
      <c r="D842" s="20" t="s">
        <v>216</v>
      </c>
      <c r="E842" s="13">
        <v>38575</v>
      </c>
      <c r="F842" s="11">
        <v>1</v>
      </c>
      <c r="G842" s="13">
        <v>-1779.75</v>
      </c>
      <c r="H842" s="11">
        <v>0</v>
      </c>
      <c r="I842" s="13">
        <f>E842+G842</f>
        <v>36795.25</v>
      </c>
      <c r="J842" s="11">
        <f>F842+H842</f>
        <v>1</v>
      </c>
      <c r="K842" s="13">
        <v>44729</v>
      </c>
      <c r="L842" s="11">
        <v>0</v>
      </c>
      <c r="M842" s="11">
        <v>0</v>
      </c>
      <c r="N842" s="13">
        <v>0</v>
      </c>
      <c r="O842" s="11">
        <v>0</v>
      </c>
      <c r="P842" s="11">
        <v>1</v>
      </c>
      <c r="Q842" s="13">
        <f>K842+N842</f>
        <v>44729</v>
      </c>
      <c r="R842" s="11">
        <f>L842+O842</f>
        <v>0</v>
      </c>
      <c r="S842" s="11">
        <f>M842+P842</f>
        <v>1</v>
      </c>
      <c r="T842" s="8">
        <f>I842-Q842</f>
        <v>-7933.75</v>
      </c>
      <c r="U842" s="18">
        <v>9.8561444120165473E-2</v>
      </c>
      <c r="V842" s="11">
        <v>0.25</v>
      </c>
      <c r="W842" s="11">
        <v>2</v>
      </c>
      <c r="X842" s="11">
        <v>6</v>
      </c>
      <c r="Y842" s="11">
        <v>0</v>
      </c>
      <c r="Z842" t="s">
        <v>14</v>
      </c>
    </row>
    <row r="843" spans="1:26" x14ac:dyDescent="0.25">
      <c r="A843" s="20" t="s">
        <v>1705</v>
      </c>
      <c r="B843" s="20" t="s">
        <v>104</v>
      </c>
      <c r="C843" s="20" t="s">
        <v>3269</v>
      </c>
      <c r="D843" s="20" t="s">
        <v>216</v>
      </c>
      <c r="E843" s="13">
        <v>-149.78</v>
      </c>
      <c r="F843" s="11">
        <v>0</v>
      </c>
      <c r="G843" s="13">
        <v>6608</v>
      </c>
      <c r="H843" s="11">
        <v>1</v>
      </c>
      <c r="I843" s="13">
        <f>E843+G843</f>
        <v>6458.22</v>
      </c>
      <c r="J843" s="11">
        <f>F843+H843</f>
        <v>1</v>
      </c>
      <c r="K843" s="13">
        <v>0</v>
      </c>
      <c r="L843" s="11">
        <v>0</v>
      </c>
      <c r="M843" s="11">
        <v>1</v>
      </c>
      <c r="N843" s="13">
        <v>0</v>
      </c>
      <c r="O843" s="11">
        <v>0</v>
      </c>
      <c r="P843" s="11">
        <v>0</v>
      </c>
      <c r="Q843" s="13">
        <f>K843+N843</f>
        <v>0</v>
      </c>
      <c r="R843" s="11">
        <f>L843+O843</f>
        <v>0</v>
      </c>
      <c r="S843" s="11">
        <f>M843+P843</f>
        <v>1</v>
      </c>
      <c r="T843" s="8">
        <f>I843-Q843</f>
        <v>6458.22</v>
      </c>
      <c r="U843" s="18">
        <v>0.15840022409486681</v>
      </c>
      <c r="V843" s="11">
        <v>0.5</v>
      </c>
      <c r="W843" s="11">
        <v>2</v>
      </c>
      <c r="X843" s="11">
        <v>2</v>
      </c>
      <c r="Y843" s="11">
        <v>1</v>
      </c>
      <c r="Z843" t="s">
        <v>14</v>
      </c>
    </row>
    <row r="844" spans="1:26" x14ac:dyDescent="0.25">
      <c r="A844" s="20" t="s">
        <v>1383</v>
      </c>
      <c r="B844" s="20" t="s">
        <v>60</v>
      </c>
      <c r="C844" s="20" t="s">
        <v>1384</v>
      </c>
      <c r="D844" s="20" t="s">
        <v>216</v>
      </c>
      <c r="E844" s="13">
        <v>0</v>
      </c>
      <c r="F844" s="11">
        <v>0</v>
      </c>
      <c r="G844" s="13">
        <v>0</v>
      </c>
      <c r="H844" s="11">
        <v>0</v>
      </c>
      <c r="I844" s="13">
        <f>E844+G844</f>
        <v>0</v>
      </c>
      <c r="J844" s="11">
        <f>F844+H844</f>
        <v>0</v>
      </c>
      <c r="K844" s="13">
        <v>0</v>
      </c>
      <c r="L844" s="11">
        <v>0</v>
      </c>
      <c r="M844" s="11">
        <v>0</v>
      </c>
      <c r="N844" s="13">
        <v>0</v>
      </c>
      <c r="O844" s="11">
        <v>0</v>
      </c>
      <c r="P844" s="11">
        <v>0</v>
      </c>
      <c r="Q844" s="13">
        <f>K844+N844</f>
        <v>0</v>
      </c>
      <c r="R844" s="11">
        <f>L844+O844</f>
        <v>0</v>
      </c>
      <c r="S844" s="11">
        <f>M844+P844</f>
        <v>0</v>
      </c>
      <c r="T844" s="8">
        <f>I844-Q844</f>
        <v>0</v>
      </c>
      <c r="U844" s="18">
        <v>-2.4864396489604097</v>
      </c>
      <c r="V844" s="11">
        <v>0</v>
      </c>
      <c r="W844" s="11">
        <v>0</v>
      </c>
      <c r="X844" s="11">
        <v>0</v>
      </c>
      <c r="Y844" s="11">
        <v>0</v>
      </c>
      <c r="Z844" t="s">
        <v>14</v>
      </c>
    </row>
    <row r="845" spans="1:26" x14ac:dyDescent="0.25">
      <c r="A845" s="20" t="s">
        <v>459</v>
      </c>
      <c r="B845" s="20" t="s">
        <v>459</v>
      </c>
      <c r="C845" s="20" t="s">
        <v>460</v>
      </c>
      <c r="D845" s="20" t="s">
        <v>216</v>
      </c>
      <c r="E845" s="13">
        <v>0</v>
      </c>
      <c r="F845" s="11">
        <v>0</v>
      </c>
      <c r="G845" s="13">
        <v>1228</v>
      </c>
      <c r="H845" s="11">
        <v>0</v>
      </c>
      <c r="I845" s="13">
        <f>E845+G845</f>
        <v>1228</v>
      </c>
      <c r="J845" s="11">
        <f>F845+H845</f>
        <v>0</v>
      </c>
      <c r="K845" s="13">
        <v>3329</v>
      </c>
      <c r="L845" s="11">
        <v>0</v>
      </c>
      <c r="M845" s="11">
        <v>0</v>
      </c>
      <c r="N845" s="13">
        <v>24371</v>
      </c>
      <c r="O845" s="11">
        <v>0</v>
      </c>
      <c r="P845" s="11">
        <v>0</v>
      </c>
      <c r="Q845" s="13">
        <f>K845+N845</f>
        <v>27700</v>
      </c>
      <c r="R845" s="11">
        <f>L845+O845</f>
        <v>0</v>
      </c>
      <c r="S845" s="11">
        <f>M845+P845</f>
        <v>0</v>
      </c>
      <c r="T845" s="8">
        <f>I845-Q845</f>
        <v>-26472</v>
      </c>
      <c r="U845" s="18">
        <v>2.3429991170131604E-2</v>
      </c>
      <c r="V845" s="11">
        <v>0</v>
      </c>
      <c r="W845" s="11">
        <v>0</v>
      </c>
      <c r="X845" s="11">
        <v>2</v>
      </c>
      <c r="Y845" s="11">
        <v>2</v>
      </c>
      <c r="Z845" t="s">
        <v>14</v>
      </c>
    </row>
    <row r="846" spans="1:26" x14ac:dyDescent="0.25">
      <c r="A846" s="20" t="s">
        <v>1385</v>
      </c>
      <c r="B846" s="20" t="s">
        <v>124</v>
      </c>
      <c r="C846" s="20" t="s">
        <v>1386</v>
      </c>
      <c r="D846" s="20" t="s">
        <v>216</v>
      </c>
      <c r="E846" s="13">
        <v>4154</v>
      </c>
      <c r="F846" s="11">
        <v>0</v>
      </c>
      <c r="G846" s="13">
        <v>2806</v>
      </c>
      <c r="H846" s="11">
        <v>0</v>
      </c>
      <c r="I846" s="13">
        <f>E846+G846</f>
        <v>6960</v>
      </c>
      <c r="J846" s="11">
        <f>F846+H846</f>
        <v>0</v>
      </c>
      <c r="K846" s="13">
        <v>4249.6000000000004</v>
      </c>
      <c r="L846" s="11">
        <v>0</v>
      </c>
      <c r="M846" s="11">
        <v>0</v>
      </c>
      <c r="N846" s="13">
        <v>2690</v>
      </c>
      <c r="O846" s="11">
        <v>0</v>
      </c>
      <c r="P846" s="11">
        <v>0</v>
      </c>
      <c r="Q846" s="13">
        <f>K846+N846</f>
        <v>6939.6</v>
      </c>
      <c r="R846" s="11">
        <f>L846+O846</f>
        <v>0</v>
      </c>
      <c r="S846" s="11">
        <f>M846+P846</f>
        <v>0</v>
      </c>
      <c r="T846" s="8">
        <f>I846-Q846</f>
        <v>20.399999999999636</v>
      </c>
      <c r="U846" s="18">
        <v>0.10667204739925605</v>
      </c>
      <c r="V846" s="11">
        <v>0</v>
      </c>
      <c r="W846" s="11">
        <v>0</v>
      </c>
      <c r="X846" s="11">
        <v>1</v>
      </c>
      <c r="Y846" s="11">
        <v>0</v>
      </c>
      <c r="Z846" t="s">
        <v>14</v>
      </c>
    </row>
    <row r="847" spans="1:26" x14ac:dyDescent="0.25">
      <c r="A847" s="20" t="s">
        <v>218</v>
      </c>
      <c r="B847" s="20" t="s">
        <v>218</v>
      </c>
      <c r="C847" s="20" t="s">
        <v>1375</v>
      </c>
      <c r="D847" s="20" t="s">
        <v>216</v>
      </c>
      <c r="E847" s="13">
        <v>6708</v>
      </c>
      <c r="F847" s="11">
        <v>0</v>
      </c>
      <c r="G847" s="13">
        <v>38.19</v>
      </c>
      <c r="H847" s="11">
        <v>0</v>
      </c>
      <c r="I847" s="13">
        <f>E847+G847</f>
        <v>6746.19</v>
      </c>
      <c r="J847" s="11">
        <f>F847+H847</f>
        <v>0</v>
      </c>
      <c r="K847" s="13">
        <v>6095</v>
      </c>
      <c r="L847" s="11">
        <v>0</v>
      </c>
      <c r="M847" s="11">
        <v>0</v>
      </c>
      <c r="N847" s="13">
        <v>-1570.22</v>
      </c>
      <c r="O847" s="11">
        <v>0</v>
      </c>
      <c r="P847" s="11">
        <v>0</v>
      </c>
      <c r="Q847" s="13">
        <f>K847+N847</f>
        <v>4524.78</v>
      </c>
      <c r="R847" s="11">
        <f>L847+O847</f>
        <v>0</v>
      </c>
      <c r="S847" s="11">
        <f>M847+P847</f>
        <v>0</v>
      </c>
      <c r="T847" s="8">
        <f>I847-Q847</f>
        <v>2221.41</v>
      </c>
      <c r="U847" s="18">
        <v>8.6837200727944167E-2</v>
      </c>
      <c r="V847" s="11">
        <v>0</v>
      </c>
      <c r="W847" s="11">
        <v>0</v>
      </c>
      <c r="X847" s="11">
        <v>2</v>
      </c>
      <c r="Y847" s="11">
        <v>0</v>
      </c>
      <c r="Z847" t="s">
        <v>14</v>
      </c>
    </row>
    <row r="848" spans="1:26" x14ac:dyDescent="0.25">
      <c r="A848" s="20" t="s">
        <v>1388</v>
      </c>
      <c r="B848" s="20" t="s">
        <v>124</v>
      </c>
      <c r="C848" s="20" t="s">
        <v>1389</v>
      </c>
      <c r="D848" s="20" t="s">
        <v>216</v>
      </c>
      <c r="E848" s="13">
        <v>0</v>
      </c>
      <c r="F848" s="11">
        <v>0</v>
      </c>
      <c r="G848" s="13">
        <v>11996</v>
      </c>
      <c r="H848" s="11">
        <v>0</v>
      </c>
      <c r="I848" s="13">
        <f>E848+G848</f>
        <v>11996</v>
      </c>
      <c r="J848" s="11">
        <f>F848+H848</f>
        <v>0</v>
      </c>
      <c r="K848" s="13">
        <v>0</v>
      </c>
      <c r="L848" s="11">
        <v>0</v>
      </c>
      <c r="M848" s="11">
        <v>0</v>
      </c>
      <c r="N848" s="13">
        <v>11654</v>
      </c>
      <c r="O848" s="11">
        <v>0</v>
      </c>
      <c r="P848" s="11">
        <v>0</v>
      </c>
      <c r="Q848" s="13">
        <f>K848+N848</f>
        <v>11654</v>
      </c>
      <c r="R848" s="11">
        <f>L848+O848</f>
        <v>0</v>
      </c>
      <c r="S848" s="11">
        <f>M848+P848</f>
        <v>0</v>
      </c>
      <c r="T848" s="8">
        <f>I848-Q848</f>
        <v>342</v>
      </c>
      <c r="U848" s="18">
        <v>5.7335957055910325E-2</v>
      </c>
      <c r="V848" s="11">
        <v>0</v>
      </c>
      <c r="W848" s="11">
        <v>0</v>
      </c>
      <c r="X848" s="11">
        <v>6</v>
      </c>
      <c r="Y848" s="11">
        <v>0</v>
      </c>
      <c r="Z848" t="s">
        <v>14</v>
      </c>
    </row>
    <row r="849" spans="1:26" x14ac:dyDescent="0.25">
      <c r="A849" s="20" t="s">
        <v>1390</v>
      </c>
      <c r="B849" s="20" t="s">
        <v>1390</v>
      </c>
      <c r="C849" s="20" t="s">
        <v>1391</v>
      </c>
      <c r="D849" s="20" t="s">
        <v>216</v>
      </c>
      <c r="E849" s="13">
        <v>22767</v>
      </c>
      <c r="F849" s="11">
        <v>0</v>
      </c>
      <c r="G849" s="13">
        <v>1128</v>
      </c>
      <c r="H849" s="11">
        <v>0</v>
      </c>
      <c r="I849" s="13">
        <f>E849+G849</f>
        <v>23895</v>
      </c>
      <c r="J849" s="11">
        <f>F849+H849</f>
        <v>0</v>
      </c>
      <c r="K849" s="13">
        <v>4561</v>
      </c>
      <c r="L849" s="11">
        <v>0</v>
      </c>
      <c r="M849" s="11">
        <v>2</v>
      </c>
      <c r="N849" s="13">
        <v>0</v>
      </c>
      <c r="O849" s="11">
        <v>0</v>
      </c>
      <c r="P849" s="11">
        <v>2</v>
      </c>
      <c r="Q849" s="13">
        <f>K849+N849</f>
        <v>4561</v>
      </c>
      <c r="R849" s="11">
        <f>L849+O849</f>
        <v>0</v>
      </c>
      <c r="S849" s="11">
        <f>M849+P849</f>
        <v>4</v>
      </c>
      <c r="T849" s="8">
        <f>I849-Q849</f>
        <v>19334</v>
      </c>
      <c r="U849" s="18">
        <v>2.0194934685315791</v>
      </c>
      <c r="V849" s="11">
        <v>0.4</v>
      </c>
      <c r="W849" s="11">
        <v>4</v>
      </c>
      <c r="X849" s="11">
        <v>6</v>
      </c>
      <c r="Y849" s="11">
        <v>1</v>
      </c>
      <c r="Z849" t="s">
        <v>14</v>
      </c>
    </row>
    <row r="850" spans="1:26" x14ac:dyDescent="0.25">
      <c r="A850" s="20" t="s">
        <v>3281</v>
      </c>
      <c r="B850" s="20" t="s">
        <v>60</v>
      </c>
      <c r="C850" s="20" t="s">
        <v>3282</v>
      </c>
      <c r="D850" s="20" t="s">
        <v>216</v>
      </c>
      <c r="E850" s="13">
        <v>0</v>
      </c>
      <c r="F850" s="11">
        <v>0</v>
      </c>
      <c r="G850" s="13">
        <v>0</v>
      </c>
      <c r="H850" s="11">
        <v>0</v>
      </c>
      <c r="I850" s="13">
        <f>E850+G850</f>
        <v>0</v>
      </c>
      <c r="J850" s="11">
        <f>F850+H850</f>
        <v>0</v>
      </c>
      <c r="K850" s="13">
        <v>0</v>
      </c>
      <c r="L850" s="11">
        <v>0</v>
      </c>
      <c r="M850" s="11">
        <v>0</v>
      </c>
      <c r="N850" s="13">
        <v>0</v>
      </c>
      <c r="O850" s="11">
        <v>0</v>
      </c>
      <c r="P850" s="11">
        <v>0</v>
      </c>
      <c r="Q850" s="13">
        <f>K850+N850</f>
        <v>0</v>
      </c>
      <c r="R850" s="11">
        <f>L850+O850</f>
        <v>0</v>
      </c>
      <c r="S850" s="11">
        <f>M850+P850</f>
        <v>0</v>
      </c>
      <c r="T850" s="8">
        <f>I850-Q850</f>
        <v>0</v>
      </c>
      <c r="U850" s="18" t="s">
        <v>1803</v>
      </c>
      <c r="V850" s="11">
        <v>0</v>
      </c>
      <c r="W850" s="11">
        <v>0</v>
      </c>
      <c r="X850" s="11">
        <v>0</v>
      </c>
      <c r="Y850" s="11">
        <v>0</v>
      </c>
      <c r="Z850" t="s">
        <v>14</v>
      </c>
    </row>
    <row r="851" spans="1:26" x14ac:dyDescent="0.25">
      <c r="A851" s="20" t="s">
        <v>1392</v>
      </c>
      <c r="B851" s="20" t="s">
        <v>60</v>
      </c>
      <c r="C851" s="20" t="s">
        <v>1393</v>
      </c>
      <c r="D851" s="20" t="s">
        <v>216</v>
      </c>
      <c r="E851" s="13">
        <v>39874.910000000003</v>
      </c>
      <c r="F851" s="11">
        <v>0</v>
      </c>
      <c r="G851" s="13">
        <v>28900.87</v>
      </c>
      <c r="H851" s="11">
        <v>0</v>
      </c>
      <c r="I851" s="13">
        <f>E851+G851</f>
        <v>68775.78</v>
      </c>
      <c r="J851" s="11">
        <f>F851+H851</f>
        <v>0</v>
      </c>
      <c r="K851" s="13">
        <v>38344.93</v>
      </c>
      <c r="L851" s="11">
        <v>1</v>
      </c>
      <c r="M851" s="11">
        <v>7</v>
      </c>
      <c r="N851" s="13">
        <v>25010.6</v>
      </c>
      <c r="O851" s="11">
        <v>1</v>
      </c>
      <c r="P851" s="11">
        <v>1</v>
      </c>
      <c r="Q851" s="13">
        <f>K851+N851</f>
        <v>63355.53</v>
      </c>
      <c r="R851" s="11">
        <f>L851+O851</f>
        <v>2</v>
      </c>
      <c r="S851" s="11">
        <f>M851+P851</f>
        <v>8</v>
      </c>
      <c r="T851" s="8">
        <f>I851-Q851</f>
        <v>5420.25</v>
      </c>
      <c r="U851" s="18">
        <v>2.261094588940283E-2</v>
      </c>
      <c r="V851" s="11">
        <v>0.41</v>
      </c>
      <c r="W851" s="11">
        <v>7</v>
      </c>
      <c r="X851" s="11">
        <v>10</v>
      </c>
      <c r="Y851" s="11">
        <v>3</v>
      </c>
      <c r="Z851" t="s">
        <v>14</v>
      </c>
    </row>
    <row r="852" spans="1:26" x14ac:dyDescent="0.25">
      <c r="A852" s="20" t="s">
        <v>1400</v>
      </c>
      <c r="B852" s="20" t="s">
        <v>60</v>
      </c>
      <c r="C852" s="20" t="s">
        <v>1401</v>
      </c>
      <c r="D852" s="20" t="s">
        <v>216</v>
      </c>
      <c r="E852" s="13">
        <v>5847</v>
      </c>
      <c r="F852" s="11">
        <v>0</v>
      </c>
      <c r="G852" s="13">
        <v>0</v>
      </c>
      <c r="H852" s="11">
        <v>0</v>
      </c>
      <c r="I852" s="13">
        <f>E852+G852</f>
        <v>5847</v>
      </c>
      <c r="J852" s="11">
        <f>F852+H852</f>
        <v>0</v>
      </c>
      <c r="K852" s="13">
        <v>4581</v>
      </c>
      <c r="L852" s="11">
        <v>0</v>
      </c>
      <c r="M852" s="11">
        <v>0</v>
      </c>
      <c r="N852" s="13">
        <v>0</v>
      </c>
      <c r="O852" s="11">
        <v>0</v>
      </c>
      <c r="P852" s="11">
        <v>0</v>
      </c>
      <c r="Q852" s="13">
        <f>K852+N852</f>
        <v>4581</v>
      </c>
      <c r="R852" s="11">
        <f>L852+O852</f>
        <v>0</v>
      </c>
      <c r="S852" s="11">
        <f>M852+P852</f>
        <v>0</v>
      </c>
      <c r="T852" s="8">
        <f>I852-Q852</f>
        <v>1266</v>
      </c>
      <c r="U852" s="18">
        <v>2.9956859969289814E-2</v>
      </c>
      <c r="V852" s="11">
        <v>0</v>
      </c>
      <c r="W852" s="11">
        <v>0</v>
      </c>
      <c r="X852" s="11">
        <v>4</v>
      </c>
      <c r="Y852" s="11">
        <v>0</v>
      </c>
      <c r="Z852" t="s">
        <v>14</v>
      </c>
    </row>
    <row r="853" spans="1:26" x14ac:dyDescent="0.25">
      <c r="A853" s="20" t="s">
        <v>1402</v>
      </c>
      <c r="B853" s="20" t="s">
        <v>124</v>
      </c>
      <c r="C853" s="20" t="s">
        <v>1403</v>
      </c>
      <c r="D853" s="20" t="s">
        <v>216</v>
      </c>
      <c r="E853" s="13">
        <v>31656</v>
      </c>
      <c r="F853" s="11">
        <v>0</v>
      </c>
      <c r="G853" s="13">
        <v>1985</v>
      </c>
      <c r="H853" s="11">
        <v>0</v>
      </c>
      <c r="I853" s="13">
        <f>E853+G853</f>
        <v>33641</v>
      </c>
      <c r="J853" s="11">
        <f>F853+H853</f>
        <v>0</v>
      </c>
      <c r="K853" s="13">
        <v>30576</v>
      </c>
      <c r="L853" s="11">
        <v>0</v>
      </c>
      <c r="M853" s="11">
        <v>5</v>
      </c>
      <c r="N853" s="13">
        <v>1985</v>
      </c>
      <c r="O853" s="11">
        <v>1</v>
      </c>
      <c r="P853" s="11">
        <v>7</v>
      </c>
      <c r="Q853" s="13">
        <f>K853+N853</f>
        <v>32561</v>
      </c>
      <c r="R853" s="11">
        <f>L853+O853</f>
        <v>1</v>
      </c>
      <c r="S853" s="11">
        <f>M853+P853</f>
        <v>12</v>
      </c>
      <c r="T853" s="8">
        <f>I853-Q853</f>
        <v>1080</v>
      </c>
      <c r="U853" s="18">
        <v>0.47643298273810314</v>
      </c>
      <c r="V853" s="11">
        <v>0.37</v>
      </c>
      <c r="W853" s="11">
        <v>10</v>
      </c>
      <c r="X853" s="11">
        <v>17</v>
      </c>
      <c r="Y853" s="11">
        <v>2</v>
      </c>
      <c r="Z853" t="s">
        <v>14</v>
      </c>
    </row>
    <row r="854" spans="1:26" x14ac:dyDescent="0.25">
      <c r="A854" s="20" t="s">
        <v>1404</v>
      </c>
      <c r="B854" s="20" t="s">
        <v>83</v>
      </c>
      <c r="C854" s="20" t="s">
        <v>3649</v>
      </c>
      <c r="D854" s="20" t="s">
        <v>215</v>
      </c>
      <c r="E854" s="13">
        <v>-933.99</v>
      </c>
      <c r="F854" s="11">
        <v>0</v>
      </c>
      <c r="G854" s="13">
        <v>0</v>
      </c>
      <c r="H854" s="11">
        <v>0</v>
      </c>
      <c r="I854" s="13">
        <f>E854+G854</f>
        <v>-933.99</v>
      </c>
      <c r="J854" s="11">
        <f>F854+H854</f>
        <v>0</v>
      </c>
      <c r="K854" s="13">
        <v>6846</v>
      </c>
      <c r="L854" s="11">
        <v>0</v>
      </c>
      <c r="M854" s="11">
        <v>0</v>
      </c>
      <c r="N854" s="13">
        <v>41.1</v>
      </c>
      <c r="O854" s="11">
        <v>0</v>
      </c>
      <c r="P854" s="11">
        <v>1</v>
      </c>
      <c r="Q854" s="13">
        <f>K854+N854</f>
        <v>6887.1</v>
      </c>
      <c r="R854" s="11">
        <f>L854+O854</f>
        <v>0</v>
      </c>
      <c r="S854" s="11">
        <f>M854+P854</f>
        <v>1</v>
      </c>
      <c r="T854" s="8">
        <f>I854-Q854</f>
        <v>-7821.09</v>
      </c>
      <c r="U854" s="18" t="s">
        <v>1803</v>
      </c>
      <c r="V854" s="11">
        <v>0.18</v>
      </c>
      <c r="W854" s="11">
        <v>2</v>
      </c>
      <c r="X854" s="11">
        <v>9</v>
      </c>
      <c r="Y854" s="11">
        <v>3</v>
      </c>
      <c r="Z854" t="s">
        <v>14</v>
      </c>
    </row>
    <row r="855" spans="1:26" x14ac:dyDescent="0.25">
      <c r="A855" s="20" t="s">
        <v>1405</v>
      </c>
      <c r="B855" s="20" t="s">
        <v>77</v>
      </c>
      <c r="C855" s="20" t="s">
        <v>1381</v>
      </c>
      <c r="D855" s="20" t="s">
        <v>216</v>
      </c>
      <c r="E855" s="13">
        <v>0</v>
      </c>
      <c r="F855" s="11">
        <v>0</v>
      </c>
      <c r="G855" s="13">
        <v>0</v>
      </c>
      <c r="H855" s="11">
        <v>0</v>
      </c>
      <c r="I855" s="13">
        <f>E855+G855</f>
        <v>0</v>
      </c>
      <c r="J855" s="11">
        <f>F855+H855</f>
        <v>0</v>
      </c>
      <c r="K855" s="13">
        <v>-2701.59</v>
      </c>
      <c r="L855" s="11">
        <v>0</v>
      </c>
      <c r="M855" s="11">
        <v>1</v>
      </c>
      <c r="N855" s="13">
        <v>0</v>
      </c>
      <c r="O855" s="11">
        <v>0</v>
      </c>
      <c r="P855" s="11">
        <v>0</v>
      </c>
      <c r="Q855" s="13">
        <f>K855+N855</f>
        <v>-2701.59</v>
      </c>
      <c r="R855" s="11">
        <f>L855+O855</f>
        <v>0</v>
      </c>
      <c r="S855" s="11">
        <f>M855+P855</f>
        <v>1</v>
      </c>
      <c r="T855" s="8">
        <f>I855-Q855</f>
        <v>2701.59</v>
      </c>
      <c r="U855" s="18">
        <v>0.4383655512037421</v>
      </c>
      <c r="V855" s="11">
        <v>0</v>
      </c>
      <c r="W855" s="11">
        <v>1</v>
      </c>
      <c r="X855" s="11"/>
      <c r="Y855" s="11">
        <v>0</v>
      </c>
      <c r="Z855" t="s">
        <v>14</v>
      </c>
    </row>
    <row r="856" spans="1:26" x14ac:dyDescent="0.25">
      <c r="A856" s="20" t="s">
        <v>1407</v>
      </c>
      <c r="B856" s="20" t="s">
        <v>77</v>
      </c>
      <c r="C856" s="20" t="s">
        <v>1352</v>
      </c>
      <c r="D856" s="20" t="s">
        <v>216</v>
      </c>
      <c r="E856" s="13">
        <v>85576.09</v>
      </c>
      <c r="F856" s="11">
        <v>1</v>
      </c>
      <c r="G856" s="13">
        <v>12110</v>
      </c>
      <c r="H856" s="11">
        <v>0</v>
      </c>
      <c r="I856" s="13">
        <f>E856+G856</f>
        <v>97686.09</v>
      </c>
      <c r="J856" s="11">
        <f>F856+H856</f>
        <v>1</v>
      </c>
      <c r="K856" s="13">
        <v>73743.98</v>
      </c>
      <c r="L856" s="11">
        <v>0</v>
      </c>
      <c r="M856" s="11">
        <v>3</v>
      </c>
      <c r="N856" s="13">
        <v>-929.39</v>
      </c>
      <c r="O856" s="11">
        <v>0</v>
      </c>
      <c r="P856" s="11">
        <v>3</v>
      </c>
      <c r="Q856" s="13">
        <f>K856+N856</f>
        <v>72814.59</v>
      </c>
      <c r="R856" s="11">
        <f>L856+O856</f>
        <v>0</v>
      </c>
      <c r="S856" s="11">
        <f>M856+P856</f>
        <v>6</v>
      </c>
      <c r="T856" s="8">
        <f>I856-Q856</f>
        <v>24871.5</v>
      </c>
      <c r="U856" s="18">
        <v>0.20348445208436974</v>
      </c>
      <c r="V856" s="11">
        <v>0.47</v>
      </c>
      <c r="W856" s="11">
        <v>7</v>
      </c>
      <c r="X856" s="11">
        <v>8</v>
      </c>
      <c r="Y856" s="11">
        <v>1</v>
      </c>
      <c r="Z856" t="s">
        <v>14</v>
      </c>
    </row>
    <row r="857" spans="1:26" x14ac:dyDescent="0.25">
      <c r="A857" s="20" t="s">
        <v>1409</v>
      </c>
      <c r="B857" s="20" t="s">
        <v>1390</v>
      </c>
      <c r="C857" s="20" t="s">
        <v>3423</v>
      </c>
      <c r="D857" s="20" t="s">
        <v>215</v>
      </c>
      <c r="E857" s="13">
        <v>0</v>
      </c>
      <c r="F857" s="11">
        <v>0</v>
      </c>
      <c r="G857" s="13">
        <v>0</v>
      </c>
      <c r="H857" s="11">
        <v>0</v>
      </c>
      <c r="I857" s="13">
        <f>E857+G857</f>
        <v>0</v>
      </c>
      <c r="J857" s="11">
        <f>F857+H857</f>
        <v>0</v>
      </c>
      <c r="K857" s="13">
        <v>14396</v>
      </c>
      <c r="L857" s="11">
        <v>0</v>
      </c>
      <c r="M857" s="11">
        <v>0</v>
      </c>
      <c r="N857" s="13">
        <v>0</v>
      </c>
      <c r="O857" s="11">
        <v>0</v>
      </c>
      <c r="P857" s="11">
        <v>0</v>
      </c>
      <c r="Q857" s="13">
        <f>K857+N857</f>
        <v>14396</v>
      </c>
      <c r="R857" s="11">
        <f>L857+O857</f>
        <v>0</v>
      </c>
      <c r="S857" s="11">
        <f>M857+P857</f>
        <v>0</v>
      </c>
      <c r="T857" s="8">
        <f>I857-Q857</f>
        <v>-14396</v>
      </c>
      <c r="U857" s="18" t="s">
        <v>1803</v>
      </c>
      <c r="V857" s="11">
        <v>0</v>
      </c>
      <c r="W857" s="11">
        <v>0</v>
      </c>
      <c r="X857" s="11">
        <v>0</v>
      </c>
      <c r="Y857" s="11">
        <v>0</v>
      </c>
      <c r="Z857" t="s">
        <v>14</v>
      </c>
    </row>
    <row r="858" spans="1:26" x14ac:dyDescent="0.25">
      <c r="A858" s="20" t="s">
        <v>507</v>
      </c>
      <c r="B858" s="20" t="s">
        <v>3183</v>
      </c>
      <c r="C858" s="20" t="s">
        <v>3184</v>
      </c>
      <c r="D858" s="20" t="s">
        <v>216</v>
      </c>
      <c r="E858" s="13">
        <v>1049</v>
      </c>
      <c r="F858" s="11">
        <v>0</v>
      </c>
      <c r="G858" s="13">
        <v>0</v>
      </c>
      <c r="H858" s="11">
        <v>0</v>
      </c>
      <c r="I858" s="13">
        <f>E858+G858</f>
        <v>1049</v>
      </c>
      <c r="J858" s="11">
        <f>F858+H858</f>
        <v>0</v>
      </c>
      <c r="K858" s="13">
        <v>999</v>
      </c>
      <c r="L858" s="11">
        <v>0</v>
      </c>
      <c r="M858" s="11">
        <v>1</v>
      </c>
      <c r="N858" s="13">
        <v>0</v>
      </c>
      <c r="O858" s="11">
        <v>0</v>
      </c>
      <c r="P858" s="11">
        <v>1</v>
      </c>
      <c r="Q858" s="13">
        <f>K858+N858</f>
        <v>999</v>
      </c>
      <c r="R858" s="11">
        <f>L858+O858</f>
        <v>0</v>
      </c>
      <c r="S858" s="11">
        <f>M858+P858</f>
        <v>2</v>
      </c>
      <c r="T858" s="8">
        <f>I858-Q858</f>
        <v>50</v>
      </c>
      <c r="U858" s="18">
        <v>1.4340027976101975E-2</v>
      </c>
      <c r="V858" s="11">
        <v>0.28999999999999998</v>
      </c>
      <c r="W858" s="11">
        <v>2</v>
      </c>
      <c r="X858" s="11">
        <v>5</v>
      </c>
      <c r="Y858" s="11">
        <v>2</v>
      </c>
      <c r="Z858" t="s">
        <v>14</v>
      </c>
    </row>
    <row r="859" spans="1:26" x14ac:dyDescent="0.25">
      <c r="A859" s="20" t="s">
        <v>1410</v>
      </c>
      <c r="B859" s="20" t="s">
        <v>1410</v>
      </c>
      <c r="C859" s="20" t="s">
        <v>1411</v>
      </c>
      <c r="D859" s="20" t="s">
        <v>215</v>
      </c>
      <c r="E859" s="13">
        <v>0</v>
      </c>
      <c r="F859" s="11">
        <v>0</v>
      </c>
      <c r="G859" s="13">
        <v>0</v>
      </c>
      <c r="H859" s="11">
        <v>0</v>
      </c>
      <c r="I859" s="13">
        <f>E859+G859</f>
        <v>0</v>
      </c>
      <c r="J859" s="11">
        <f>F859+H859</f>
        <v>0</v>
      </c>
      <c r="K859" s="13">
        <v>4275</v>
      </c>
      <c r="L859" s="11">
        <v>0</v>
      </c>
      <c r="M859" s="11">
        <v>0</v>
      </c>
      <c r="N859" s="13">
        <v>0</v>
      </c>
      <c r="O859" s="11">
        <v>0</v>
      </c>
      <c r="P859" s="11">
        <v>0</v>
      </c>
      <c r="Q859" s="13">
        <f>K859+N859</f>
        <v>4275</v>
      </c>
      <c r="R859" s="11">
        <f>L859+O859</f>
        <v>0</v>
      </c>
      <c r="S859" s="11">
        <f>M859+P859</f>
        <v>0</v>
      </c>
      <c r="T859" s="8">
        <f>I859-Q859</f>
        <v>-4275</v>
      </c>
      <c r="U859" s="18">
        <v>-1.1775756374625494E-2</v>
      </c>
      <c r="V859" s="11">
        <v>0</v>
      </c>
      <c r="W859" s="11">
        <v>0</v>
      </c>
      <c r="X859" s="11">
        <v>2</v>
      </c>
      <c r="Y859" s="11">
        <v>2</v>
      </c>
      <c r="Z859" t="s">
        <v>14</v>
      </c>
    </row>
    <row r="860" spans="1:26" x14ac:dyDescent="0.25">
      <c r="A860" s="20" t="s">
        <v>1413</v>
      </c>
      <c r="B860" s="20" t="s">
        <v>1410</v>
      </c>
      <c r="C860" s="20" t="s">
        <v>1414</v>
      </c>
      <c r="D860" s="20" t="s">
        <v>216</v>
      </c>
      <c r="E860" s="13">
        <v>0</v>
      </c>
      <c r="F860" s="11">
        <v>0</v>
      </c>
      <c r="G860" s="13">
        <v>0</v>
      </c>
      <c r="H860" s="11">
        <v>0</v>
      </c>
      <c r="I860" s="13">
        <f>E860+G860</f>
        <v>0</v>
      </c>
      <c r="J860" s="11">
        <f>F860+H860</f>
        <v>0</v>
      </c>
      <c r="K860" s="13">
        <v>0</v>
      </c>
      <c r="L860" s="11">
        <v>0</v>
      </c>
      <c r="M860" s="11">
        <v>0</v>
      </c>
      <c r="N860" s="13">
        <v>0</v>
      </c>
      <c r="O860" s="11">
        <v>0</v>
      </c>
      <c r="P860" s="11">
        <v>0</v>
      </c>
      <c r="Q860" s="13">
        <f>K860+N860</f>
        <v>0</v>
      </c>
      <c r="R860" s="11">
        <f>L860+O860</f>
        <v>0</v>
      </c>
      <c r="S860" s="11">
        <f>M860+P860</f>
        <v>0</v>
      </c>
      <c r="T860" s="8">
        <f>I860-Q860</f>
        <v>0</v>
      </c>
      <c r="U860" s="18" t="s">
        <v>1803</v>
      </c>
      <c r="V860" s="11">
        <v>0</v>
      </c>
      <c r="W860" s="11">
        <v>0</v>
      </c>
      <c r="X860" s="11">
        <v>0</v>
      </c>
      <c r="Y860" s="11">
        <v>0</v>
      </c>
      <c r="Z860" t="s">
        <v>14</v>
      </c>
    </row>
    <row r="861" spans="1:26" x14ac:dyDescent="0.25">
      <c r="A861" s="20" t="s">
        <v>1415</v>
      </c>
      <c r="B861" s="20" t="s">
        <v>77</v>
      </c>
      <c r="C861" s="20" t="s">
        <v>1349</v>
      </c>
      <c r="D861" s="20" t="s">
        <v>215</v>
      </c>
      <c r="E861" s="13">
        <v>49362</v>
      </c>
      <c r="F861" s="11">
        <v>1</v>
      </c>
      <c r="G861" s="13">
        <v>6030.25</v>
      </c>
      <c r="H861" s="11">
        <v>0</v>
      </c>
      <c r="I861" s="13">
        <f>E861+G861</f>
        <v>55392.25</v>
      </c>
      <c r="J861" s="11">
        <f>F861+H861</f>
        <v>1</v>
      </c>
      <c r="K861" s="13">
        <v>56565</v>
      </c>
      <c r="L861" s="11">
        <v>1</v>
      </c>
      <c r="M861" s="11">
        <v>4</v>
      </c>
      <c r="N861" s="13">
        <v>11395</v>
      </c>
      <c r="O861" s="11">
        <v>0</v>
      </c>
      <c r="P861" s="11">
        <v>0</v>
      </c>
      <c r="Q861" s="13">
        <f>K861+N861</f>
        <v>67960</v>
      </c>
      <c r="R861" s="11">
        <f>L861+O861</f>
        <v>1</v>
      </c>
      <c r="S861" s="11">
        <f>M861+P861</f>
        <v>4</v>
      </c>
      <c r="T861" s="8">
        <f>I861-Q861</f>
        <v>-12567.75</v>
      </c>
      <c r="U861" s="18" t="s">
        <v>1803</v>
      </c>
      <c r="V861" s="11">
        <v>0.31</v>
      </c>
      <c r="W861" s="11">
        <v>4</v>
      </c>
      <c r="X861" s="11">
        <v>9</v>
      </c>
      <c r="Y861" s="11">
        <v>1</v>
      </c>
      <c r="Z861" t="s">
        <v>14</v>
      </c>
    </row>
    <row r="862" spans="1:26" x14ac:dyDescent="0.25">
      <c r="A862" s="20" t="s">
        <v>1416</v>
      </c>
      <c r="B862" s="20" t="s">
        <v>60</v>
      </c>
      <c r="C862" s="20" t="s">
        <v>1417</v>
      </c>
      <c r="D862" s="20" t="s">
        <v>216</v>
      </c>
      <c r="E862" s="13">
        <v>0</v>
      </c>
      <c r="F862" s="11">
        <v>0</v>
      </c>
      <c r="G862" s="13">
        <v>3217</v>
      </c>
      <c r="H862" s="11">
        <v>1</v>
      </c>
      <c r="I862" s="13">
        <f>E862+G862</f>
        <v>3217</v>
      </c>
      <c r="J862" s="11">
        <f>F862+H862</f>
        <v>1</v>
      </c>
      <c r="K862" s="13">
        <v>-7226.72</v>
      </c>
      <c r="L862" s="11">
        <v>0</v>
      </c>
      <c r="M862" s="11">
        <v>2</v>
      </c>
      <c r="N862" s="13">
        <v>0</v>
      </c>
      <c r="O862" s="11">
        <v>0</v>
      </c>
      <c r="P862" s="11">
        <v>2</v>
      </c>
      <c r="Q862" s="13">
        <f>K862+N862</f>
        <v>-7226.72</v>
      </c>
      <c r="R862" s="11">
        <f>L862+O862</f>
        <v>0</v>
      </c>
      <c r="S862" s="11">
        <f>M862+P862</f>
        <v>4</v>
      </c>
      <c r="T862" s="8">
        <f>I862-Q862</f>
        <v>10443.720000000001</v>
      </c>
      <c r="U862" s="18">
        <v>0.18230385334148488</v>
      </c>
      <c r="V862" s="11">
        <v>0.28000000000000003</v>
      </c>
      <c r="W862" s="11">
        <v>5</v>
      </c>
      <c r="X862" s="11">
        <v>13</v>
      </c>
      <c r="Y862" s="11">
        <v>0</v>
      </c>
      <c r="Z862" t="s">
        <v>14</v>
      </c>
    </row>
    <row r="863" spans="1:26" x14ac:dyDescent="0.25">
      <c r="A863" s="20" t="s">
        <v>1418</v>
      </c>
      <c r="B863" s="20" t="s">
        <v>91</v>
      </c>
      <c r="C863" s="20" t="s">
        <v>1379</v>
      </c>
      <c r="D863" s="20" t="s">
        <v>216</v>
      </c>
      <c r="E863" s="13">
        <v>5883</v>
      </c>
      <c r="F863" s="11">
        <v>0</v>
      </c>
      <c r="G863" s="13">
        <v>991</v>
      </c>
      <c r="H863" s="11">
        <v>0</v>
      </c>
      <c r="I863" s="13">
        <f>E863+G863</f>
        <v>6874</v>
      </c>
      <c r="J863" s="11">
        <f>F863+H863</f>
        <v>0</v>
      </c>
      <c r="K863" s="13">
        <v>5141</v>
      </c>
      <c r="L863" s="11">
        <v>0</v>
      </c>
      <c r="M863" s="11">
        <v>0</v>
      </c>
      <c r="N863" s="13">
        <v>967</v>
      </c>
      <c r="O863" s="11">
        <v>0</v>
      </c>
      <c r="P863" s="11">
        <v>1</v>
      </c>
      <c r="Q863" s="13">
        <f>K863+N863</f>
        <v>6108</v>
      </c>
      <c r="R863" s="11">
        <f>L863+O863</f>
        <v>0</v>
      </c>
      <c r="S863" s="11">
        <f>M863+P863</f>
        <v>1</v>
      </c>
      <c r="T863" s="8">
        <f>I863-Q863</f>
        <v>766</v>
      </c>
      <c r="U863" s="18">
        <v>0.59158745826446246</v>
      </c>
      <c r="V863" s="11">
        <v>0.1</v>
      </c>
      <c r="W863" s="11">
        <v>1</v>
      </c>
      <c r="X863" s="11">
        <v>9</v>
      </c>
      <c r="Y863" s="11">
        <v>0</v>
      </c>
      <c r="Z863" t="s">
        <v>14</v>
      </c>
    </row>
    <row r="864" spans="1:26" x14ac:dyDescent="0.25">
      <c r="A864" s="20" t="s">
        <v>1419</v>
      </c>
      <c r="B864" s="20" t="s">
        <v>519</v>
      </c>
      <c r="C864" s="20" t="s">
        <v>221</v>
      </c>
      <c r="D864" s="20" t="s">
        <v>216</v>
      </c>
      <c r="E864" s="13">
        <v>46534</v>
      </c>
      <c r="F864" s="11">
        <v>1</v>
      </c>
      <c r="G864" s="13">
        <v>47206.79</v>
      </c>
      <c r="H864" s="11">
        <v>0</v>
      </c>
      <c r="I864" s="13">
        <f>E864+G864</f>
        <v>93740.790000000008</v>
      </c>
      <c r="J864" s="11">
        <f>F864+H864</f>
        <v>1</v>
      </c>
      <c r="K864" s="13">
        <v>36115</v>
      </c>
      <c r="L864" s="11">
        <v>0</v>
      </c>
      <c r="M864" s="11">
        <v>3</v>
      </c>
      <c r="N864" s="13">
        <v>49964</v>
      </c>
      <c r="O864" s="11">
        <v>1</v>
      </c>
      <c r="P864" s="11">
        <v>2</v>
      </c>
      <c r="Q864" s="13">
        <f>K864+N864</f>
        <v>86079</v>
      </c>
      <c r="R864" s="11">
        <f>L864+O864</f>
        <v>1</v>
      </c>
      <c r="S864" s="11">
        <f>M864+P864</f>
        <v>5</v>
      </c>
      <c r="T864" s="8">
        <f>I864-Q864</f>
        <v>7661.7900000000081</v>
      </c>
      <c r="U864" s="18">
        <v>0.17365258892667551</v>
      </c>
      <c r="V864" s="11">
        <v>0.36</v>
      </c>
      <c r="W864" s="11">
        <v>5</v>
      </c>
      <c r="X864" s="11">
        <v>9</v>
      </c>
      <c r="Y864" s="11">
        <v>1</v>
      </c>
      <c r="Z864" t="s">
        <v>14</v>
      </c>
    </row>
    <row r="865" spans="1:26" x14ac:dyDescent="0.25">
      <c r="A865" s="20" t="s">
        <v>1420</v>
      </c>
      <c r="B865" s="20" t="s">
        <v>81</v>
      </c>
      <c r="C865" s="20" t="s">
        <v>171</v>
      </c>
      <c r="D865" s="20" t="s">
        <v>216</v>
      </c>
      <c r="E865" s="13">
        <v>4974</v>
      </c>
      <c r="F865" s="11">
        <v>0</v>
      </c>
      <c r="G865" s="13">
        <v>4142.5</v>
      </c>
      <c r="H865" s="11">
        <v>0</v>
      </c>
      <c r="I865" s="13">
        <f>E865+G865</f>
        <v>9116.5</v>
      </c>
      <c r="J865" s="11">
        <f>F865+H865</f>
        <v>0</v>
      </c>
      <c r="K865" s="13">
        <v>9166</v>
      </c>
      <c r="L865" s="11">
        <v>0</v>
      </c>
      <c r="M865" s="11">
        <v>0</v>
      </c>
      <c r="N865" s="13">
        <v>0</v>
      </c>
      <c r="O865" s="11">
        <v>0</v>
      </c>
      <c r="P865" s="11">
        <v>0</v>
      </c>
      <c r="Q865" s="13">
        <f>K865+N865</f>
        <v>9166</v>
      </c>
      <c r="R865" s="11">
        <f>L865+O865</f>
        <v>0</v>
      </c>
      <c r="S865" s="11">
        <f>M865+P865</f>
        <v>0</v>
      </c>
      <c r="T865" s="8">
        <f>I865-Q865</f>
        <v>-49.5</v>
      </c>
      <c r="U865" s="18">
        <v>-3.7237453949867154E-2</v>
      </c>
      <c r="V865" s="11">
        <v>0</v>
      </c>
      <c r="W865" s="11">
        <v>0</v>
      </c>
      <c r="X865" s="11">
        <v>0</v>
      </c>
      <c r="Y865" s="11">
        <v>0</v>
      </c>
      <c r="Z865" t="s">
        <v>14</v>
      </c>
    </row>
    <row r="866" spans="1:26" x14ac:dyDescent="0.25">
      <c r="A866" s="20" t="s">
        <v>1422</v>
      </c>
      <c r="B866" s="20" t="s">
        <v>1422</v>
      </c>
      <c r="C866" s="20" t="s">
        <v>1423</v>
      </c>
      <c r="D866" s="20" t="s">
        <v>216</v>
      </c>
      <c r="E866" s="13">
        <v>0</v>
      </c>
      <c r="F866" s="11">
        <v>0</v>
      </c>
      <c r="G866" s="13">
        <v>0</v>
      </c>
      <c r="H866" s="11">
        <v>0</v>
      </c>
      <c r="I866" s="13">
        <f>E866+G866</f>
        <v>0</v>
      </c>
      <c r="J866" s="11">
        <f>F866+H866</f>
        <v>0</v>
      </c>
      <c r="K866" s="13">
        <v>2011.59</v>
      </c>
      <c r="L866" s="11">
        <v>0</v>
      </c>
      <c r="M866" s="11">
        <v>0</v>
      </c>
      <c r="N866" s="13">
        <v>0</v>
      </c>
      <c r="O866" s="11">
        <v>0</v>
      </c>
      <c r="P866" s="11">
        <v>0</v>
      </c>
      <c r="Q866" s="13">
        <f>K866+N866</f>
        <v>2011.59</v>
      </c>
      <c r="R866" s="11">
        <f>L866+O866</f>
        <v>0</v>
      </c>
      <c r="S866" s="11">
        <f>M866+P866</f>
        <v>0</v>
      </c>
      <c r="T866" s="8">
        <f>I866-Q866</f>
        <v>-2011.59</v>
      </c>
      <c r="U866" s="18">
        <v>7.0642101206082039E-2</v>
      </c>
      <c r="V866" s="11">
        <v>0</v>
      </c>
      <c r="W866" s="11">
        <v>0</v>
      </c>
      <c r="X866" s="11">
        <v>0</v>
      </c>
      <c r="Y866" s="11">
        <v>0</v>
      </c>
      <c r="Z866" t="s">
        <v>14</v>
      </c>
    </row>
    <row r="867" spans="1:26" x14ac:dyDescent="0.25">
      <c r="A867" s="20" t="s">
        <v>1396</v>
      </c>
      <c r="B867" s="20" t="s">
        <v>1396</v>
      </c>
      <c r="C867" s="20" t="s">
        <v>1397</v>
      </c>
      <c r="D867" s="20" t="s">
        <v>216</v>
      </c>
      <c r="E867" s="13">
        <v>21420</v>
      </c>
      <c r="F867" s="11">
        <v>0</v>
      </c>
      <c r="G867" s="13">
        <v>156.52000000000001</v>
      </c>
      <c r="H867" s="11">
        <v>0</v>
      </c>
      <c r="I867" s="13">
        <f>E867+G867</f>
        <v>21576.52</v>
      </c>
      <c r="J867" s="11">
        <f>F867+H867</f>
        <v>0</v>
      </c>
      <c r="K867" s="13">
        <v>15674</v>
      </c>
      <c r="L867" s="11">
        <v>1</v>
      </c>
      <c r="M867" s="11">
        <v>1</v>
      </c>
      <c r="N867" s="13">
        <v>0</v>
      </c>
      <c r="O867" s="11">
        <v>0</v>
      </c>
      <c r="P867" s="11">
        <v>3</v>
      </c>
      <c r="Q867" s="13">
        <f>K867+N867</f>
        <v>15674</v>
      </c>
      <c r="R867" s="11">
        <f>L867+O867</f>
        <v>1</v>
      </c>
      <c r="S867" s="11">
        <f>M867+P867</f>
        <v>4</v>
      </c>
      <c r="T867" s="8">
        <f>I867-Q867</f>
        <v>5902.52</v>
      </c>
      <c r="U867" s="18">
        <v>0.13119565654395673</v>
      </c>
      <c r="V867" s="11">
        <v>0.21</v>
      </c>
      <c r="W867" s="11">
        <v>3</v>
      </c>
      <c r="X867" s="11">
        <v>11</v>
      </c>
      <c r="Y867" s="11">
        <v>0</v>
      </c>
      <c r="Z867" t="s">
        <v>14</v>
      </c>
    </row>
    <row r="868" spans="1:26" x14ac:dyDescent="0.25">
      <c r="A868" s="20" t="s">
        <v>1428</v>
      </c>
      <c r="B868" s="20" t="s">
        <v>60</v>
      </c>
      <c r="C868" s="20" t="s">
        <v>221</v>
      </c>
      <c r="D868" s="20" t="s">
        <v>216</v>
      </c>
      <c r="E868" s="13">
        <v>0</v>
      </c>
      <c r="F868" s="11">
        <v>0</v>
      </c>
      <c r="G868" s="13">
        <v>19779</v>
      </c>
      <c r="H868" s="11">
        <v>0</v>
      </c>
      <c r="I868" s="13">
        <f>E868+G868</f>
        <v>19779</v>
      </c>
      <c r="J868" s="11">
        <f>F868+H868</f>
        <v>0</v>
      </c>
      <c r="K868" s="13">
        <v>0</v>
      </c>
      <c r="L868" s="11">
        <v>0</v>
      </c>
      <c r="M868" s="11">
        <v>0</v>
      </c>
      <c r="N868" s="13">
        <v>19456</v>
      </c>
      <c r="O868" s="11">
        <v>1</v>
      </c>
      <c r="P868" s="11">
        <v>1</v>
      </c>
      <c r="Q868" s="13">
        <f>K868+N868</f>
        <v>19456</v>
      </c>
      <c r="R868" s="11">
        <f>L868+O868</f>
        <v>1</v>
      </c>
      <c r="S868" s="11">
        <f>M868+P868</f>
        <v>1</v>
      </c>
      <c r="T868" s="8">
        <f>I868-Q868</f>
        <v>323</v>
      </c>
      <c r="U868" s="18">
        <v>5.3575847082065996E-2</v>
      </c>
      <c r="V868" s="11">
        <v>0</v>
      </c>
      <c r="W868" s="11">
        <v>0</v>
      </c>
      <c r="X868" s="11">
        <v>0</v>
      </c>
      <c r="Y868" s="11">
        <v>0</v>
      </c>
      <c r="Z868" t="s">
        <v>14</v>
      </c>
    </row>
    <row r="869" spans="1:26" x14ac:dyDescent="0.25">
      <c r="A869" s="20" t="s">
        <v>2991</v>
      </c>
      <c r="B869" s="20" t="s">
        <v>60</v>
      </c>
      <c r="C869" s="20" t="s">
        <v>2992</v>
      </c>
      <c r="D869" s="20" t="s">
        <v>216</v>
      </c>
      <c r="E869" s="13">
        <v>0</v>
      </c>
      <c r="F869" s="11">
        <v>0</v>
      </c>
      <c r="G869" s="13">
        <v>2614</v>
      </c>
      <c r="H869" s="11">
        <v>0</v>
      </c>
      <c r="I869" s="13">
        <f>E869+G869</f>
        <v>2614</v>
      </c>
      <c r="J869" s="11">
        <f>F869+H869</f>
        <v>0</v>
      </c>
      <c r="K869" s="13">
        <v>0</v>
      </c>
      <c r="L869" s="11">
        <v>0</v>
      </c>
      <c r="M869" s="11">
        <v>2</v>
      </c>
      <c r="N869" s="13">
        <v>0</v>
      </c>
      <c r="O869" s="11">
        <v>0</v>
      </c>
      <c r="P869" s="11">
        <v>2</v>
      </c>
      <c r="Q869" s="13">
        <f>K869+N869</f>
        <v>0</v>
      </c>
      <c r="R869" s="11">
        <f>L869+O869</f>
        <v>0</v>
      </c>
      <c r="S869" s="11">
        <f>M869+P869</f>
        <v>4</v>
      </c>
      <c r="T869" s="8">
        <f>I869-Q869</f>
        <v>2614</v>
      </c>
      <c r="U869" s="18">
        <v>0.10096348221466719</v>
      </c>
      <c r="V869" s="11">
        <v>0.33</v>
      </c>
      <c r="W869" s="11">
        <v>4</v>
      </c>
      <c r="X869" s="11">
        <v>8</v>
      </c>
      <c r="Y869" s="11">
        <v>0</v>
      </c>
      <c r="Z869" t="s">
        <v>14</v>
      </c>
    </row>
    <row r="870" spans="1:26" x14ac:dyDescent="0.25">
      <c r="A870" s="20" t="s">
        <v>3054</v>
      </c>
      <c r="B870" s="20" t="s">
        <v>949</v>
      </c>
      <c r="C870" s="20" t="s">
        <v>3055</v>
      </c>
      <c r="D870" s="20" t="s">
        <v>216</v>
      </c>
      <c r="E870" s="13">
        <v>51829.26</v>
      </c>
      <c r="F870" s="11">
        <v>0</v>
      </c>
      <c r="G870" s="13">
        <v>25252.58</v>
      </c>
      <c r="H870" s="11">
        <v>0</v>
      </c>
      <c r="I870" s="13">
        <f>E870+G870</f>
        <v>77081.84</v>
      </c>
      <c r="J870" s="11">
        <f>F870+H870</f>
        <v>0</v>
      </c>
      <c r="K870" s="13">
        <v>34962</v>
      </c>
      <c r="L870" s="11">
        <v>2</v>
      </c>
      <c r="M870" s="11">
        <v>10</v>
      </c>
      <c r="N870" s="13">
        <v>35472.5</v>
      </c>
      <c r="O870" s="11">
        <v>2</v>
      </c>
      <c r="P870" s="11">
        <v>7</v>
      </c>
      <c r="Q870" s="13">
        <f>K870+N870</f>
        <v>70434.5</v>
      </c>
      <c r="R870" s="11">
        <f>L870+O870</f>
        <v>4</v>
      </c>
      <c r="S870" s="11">
        <f>M870+P870</f>
        <v>17</v>
      </c>
      <c r="T870" s="8">
        <f>I870-Q870</f>
        <v>6647.3399999999965</v>
      </c>
      <c r="U870" s="18">
        <v>7.9429598690239342E-2</v>
      </c>
      <c r="V870" s="11">
        <v>0.39</v>
      </c>
      <c r="W870" s="11">
        <v>13</v>
      </c>
      <c r="X870" s="11">
        <v>20</v>
      </c>
      <c r="Y870" s="11">
        <v>2</v>
      </c>
      <c r="Z870" t="s">
        <v>14</v>
      </c>
    </row>
    <row r="871" spans="1:26" x14ac:dyDescent="0.25">
      <c r="A871" s="20" t="s">
        <v>3107</v>
      </c>
      <c r="B871" s="20" t="s">
        <v>58</v>
      </c>
      <c r="C871" s="20" t="s">
        <v>3108</v>
      </c>
      <c r="D871" s="20" t="s">
        <v>216</v>
      </c>
      <c r="E871" s="13">
        <v>0</v>
      </c>
      <c r="F871" s="11">
        <v>0</v>
      </c>
      <c r="G871" s="13">
        <v>0</v>
      </c>
      <c r="H871" s="11">
        <v>0</v>
      </c>
      <c r="I871" s="13">
        <f>E871+G871</f>
        <v>0</v>
      </c>
      <c r="J871" s="11">
        <f>F871+H871</f>
        <v>0</v>
      </c>
      <c r="K871" s="13">
        <v>0</v>
      </c>
      <c r="L871" s="11">
        <v>0</v>
      </c>
      <c r="M871" s="11">
        <v>0</v>
      </c>
      <c r="N871" s="13">
        <v>0</v>
      </c>
      <c r="O871" s="11">
        <v>0</v>
      </c>
      <c r="P871" s="11">
        <v>0</v>
      </c>
      <c r="Q871" s="13">
        <f>K871+N871</f>
        <v>0</v>
      </c>
      <c r="R871" s="11">
        <f>L871+O871</f>
        <v>0</v>
      </c>
      <c r="S871" s="11">
        <f>M871+P871</f>
        <v>0</v>
      </c>
      <c r="T871" s="8">
        <f>I871-Q871</f>
        <v>0</v>
      </c>
      <c r="U871" s="18">
        <v>6.0310562767621478E-2</v>
      </c>
      <c r="V871" s="11">
        <v>0</v>
      </c>
      <c r="W871" s="11">
        <v>0</v>
      </c>
      <c r="X871" s="11">
        <v>0</v>
      </c>
      <c r="Y871" s="11">
        <v>0</v>
      </c>
      <c r="Z871" t="s">
        <v>14</v>
      </c>
    </row>
    <row r="872" spans="1:26" x14ac:dyDescent="0.25">
      <c r="A872" s="20" t="s">
        <v>3132</v>
      </c>
      <c r="B872" s="20" t="s">
        <v>257</v>
      </c>
      <c r="C872" s="20" t="s">
        <v>3133</v>
      </c>
      <c r="D872" s="20" t="s">
        <v>216</v>
      </c>
      <c r="E872" s="13">
        <v>0</v>
      </c>
      <c r="F872" s="11">
        <v>0</v>
      </c>
      <c r="G872" s="13">
        <v>9403.25</v>
      </c>
      <c r="H872" s="11">
        <v>0</v>
      </c>
      <c r="I872" s="13">
        <f>E872+G872</f>
        <v>9403.25</v>
      </c>
      <c r="J872" s="11">
        <f>F872+H872</f>
        <v>0</v>
      </c>
      <c r="K872" s="13">
        <v>0</v>
      </c>
      <c r="L872" s="11">
        <v>0</v>
      </c>
      <c r="M872" s="11">
        <v>1</v>
      </c>
      <c r="N872" s="13">
        <v>8915</v>
      </c>
      <c r="O872" s="11">
        <v>0</v>
      </c>
      <c r="P872" s="11">
        <v>0</v>
      </c>
      <c r="Q872" s="13">
        <f>K872+N872</f>
        <v>8915</v>
      </c>
      <c r="R872" s="11">
        <f>L872+O872</f>
        <v>0</v>
      </c>
      <c r="S872" s="11">
        <f>M872+P872</f>
        <v>1</v>
      </c>
      <c r="T872" s="8">
        <f>I872-Q872</f>
        <v>488.25</v>
      </c>
      <c r="U872" s="18">
        <v>3.9906619914825206E-2</v>
      </c>
      <c r="V872" s="11">
        <v>0.33</v>
      </c>
      <c r="W872" s="11">
        <v>1</v>
      </c>
      <c r="X872" s="11">
        <v>2</v>
      </c>
      <c r="Y872" s="11">
        <v>0</v>
      </c>
      <c r="Z872" t="s">
        <v>14</v>
      </c>
    </row>
    <row r="873" spans="1:26" x14ac:dyDescent="0.25">
      <c r="A873" s="20" t="s">
        <v>3145</v>
      </c>
      <c r="B873" s="20" t="s">
        <v>60</v>
      </c>
      <c r="C873" s="20" t="s">
        <v>3387</v>
      </c>
      <c r="D873" s="20" t="s">
        <v>216</v>
      </c>
      <c r="E873" s="13">
        <v>0</v>
      </c>
      <c r="F873" s="11">
        <v>0</v>
      </c>
      <c r="G873" s="13">
        <v>0</v>
      </c>
      <c r="H873" s="11">
        <v>0</v>
      </c>
      <c r="I873" s="13">
        <f>E873+G873</f>
        <v>0</v>
      </c>
      <c r="J873" s="11">
        <f>F873+H873</f>
        <v>0</v>
      </c>
      <c r="K873" s="13">
        <v>-1719.09</v>
      </c>
      <c r="L873" s="11">
        <v>0</v>
      </c>
      <c r="M873" s="11">
        <v>1</v>
      </c>
      <c r="N873" s="13">
        <v>0</v>
      </c>
      <c r="O873" s="11">
        <v>0</v>
      </c>
      <c r="P873" s="11">
        <v>0</v>
      </c>
      <c r="Q873" s="13">
        <f>K873+N873</f>
        <v>-1719.09</v>
      </c>
      <c r="R873" s="11">
        <f>L873+O873</f>
        <v>0</v>
      </c>
      <c r="S873" s="11">
        <f>M873+P873</f>
        <v>1</v>
      </c>
      <c r="T873" s="8">
        <f>I873-Q873</f>
        <v>1719.09</v>
      </c>
      <c r="U873" s="18">
        <v>6.3127695979396353E-2</v>
      </c>
      <c r="V873" s="11">
        <v>0.25</v>
      </c>
      <c r="W873" s="11">
        <v>1</v>
      </c>
      <c r="X873" s="11">
        <v>3</v>
      </c>
      <c r="Y873" s="11">
        <v>0</v>
      </c>
      <c r="Z873" t="s">
        <v>14</v>
      </c>
    </row>
    <row r="874" spans="1:26" x14ac:dyDescent="0.25">
      <c r="A874" s="20" t="s">
        <v>3146</v>
      </c>
      <c r="B874" s="20" t="s">
        <v>949</v>
      </c>
      <c r="C874" s="20" t="s">
        <v>3055</v>
      </c>
      <c r="D874" s="20" t="s">
        <v>215</v>
      </c>
      <c r="E874" s="13">
        <v>1294</v>
      </c>
      <c r="F874" s="11">
        <v>0</v>
      </c>
      <c r="G874" s="13">
        <v>0</v>
      </c>
      <c r="H874" s="11">
        <v>0</v>
      </c>
      <c r="I874" s="13">
        <f>E874+G874</f>
        <v>1294</v>
      </c>
      <c r="J874" s="11">
        <f>F874+H874</f>
        <v>0</v>
      </c>
      <c r="K874" s="13">
        <v>1294</v>
      </c>
      <c r="L874" s="11">
        <v>0</v>
      </c>
      <c r="M874" s="11">
        <v>0</v>
      </c>
      <c r="N874" s="13">
        <v>-621.70000000000005</v>
      </c>
      <c r="O874" s="11">
        <v>0</v>
      </c>
      <c r="P874" s="11">
        <v>0</v>
      </c>
      <c r="Q874" s="13">
        <f>K874+N874</f>
        <v>672.3</v>
      </c>
      <c r="R874" s="11">
        <f>L874+O874</f>
        <v>0</v>
      </c>
      <c r="S874" s="11">
        <f>M874+P874</f>
        <v>0</v>
      </c>
      <c r="T874" s="8">
        <f>I874-Q874</f>
        <v>621.70000000000005</v>
      </c>
      <c r="U874" s="18" t="s">
        <v>1803</v>
      </c>
      <c r="V874" s="11">
        <v>0</v>
      </c>
      <c r="W874" s="11">
        <v>0</v>
      </c>
      <c r="X874" s="11">
        <v>0</v>
      </c>
      <c r="Y874" s="11">
        <v>0</v>
      </c>
      <c r="Z874" t="s">
        <v>14</v>
      </c>
    </row>
    <row r="875" spans="1:26" x14ac:dyDescent="0.25">
      <c r="A875" s="20" t="s">
        <v>3183</v>
      </c>
      <c r="B875" s="20" t="s">
        <v>3183</v>
      </c>
      <c r="C875" s="20" t="s">
        <v>3184</v>
      </c>
      <c r="D875" s="20" t="s">
        <v>216</v>
      </c>
      <c r="E875" s="13">
        <v>0</v>
      </c>
      <c r="F875" s="11">
        <v>0</v>
      </c>
      <c r="G875" s="13">
        <v>0</v>
      </c>
      <c r="H875" s="11">
        <v>0</v>
      </c>
      <c r="I875" s="13">
        <f>E875+G875</f>
        <v>0</v>
      </c>
      <c r="J875" s="11">
        <f>F875+H875</f>
        <v>0</v>
      </c>
      <c r="K875" s="13">
        <v>0</v>
      </c>
      <c r="L875" s="11">
        <v>0</v>
      </c>
      <c r="M875" s="11">
        <v>0</v>
      </c>
      <c r="N875" s="13">
        <v>0</v>
      </c>
      <c r="O875" s="11">
        <v>0</v>
      </c>
      <c r="P875" s="11">
        <v>0</v>
      </c>
      <c r="Q875" s="13">
        <f>K875+N875</f>
        <v>0</v>
      </c>
      <c r="R875" s="11">
        <f>L875+O875</f>
        <v>0</v>
      </c>
      <c r="S875" s="11">
        <f>M875+P875</f>
        <v>0</v>
      </c>
      <c r="T875" s="8">
        <f>I875-Q875</f>
        <v>0</v>
      </c>
      <c r="U875" s="18" t="s">
        <v>1803</v>
      </c>
      <c r="V875" s="11">
        <v>0</v>
      </c>
      <c r="W875" s="11">
        <v>0</v>
      </c>
      <c r="X875" s="11">
        <v>0</v>
      </c>
      <c r="Y875" s="11">
        <v>0</v>
      </c>
      <c r="Z875" t="s">
        <v>14</v>
      </c>
    </row>
    <row r="876" spans="1:26" x14ac:dyDescent="0.25">
      <c r="A876" s="20" t="s">
        <v>3205</v>
      </c>
      <c r="B876" s="20" t="s">
        <v>1000</v>
      </c>
      <c r="C876" s="20" t="s">
        <v>1001</v>
      </c>
      <c r="D876" s="20" t="s">
        <v>216</v>
      </c>
      <c r="E876" s="13">
        <v>2952.13</v>
      </c>
      <c r="F876" s="11">
        <v>1</v>
      </c>
      <c r="G876" s="13">
        <v>-4732.9399999999996</v>
      </c>
      <c r="H876" s="11">
        <v>0</v>
      </c>
      <c r="I876" s="13">
        <f>E876+G876</f>
        <v>-1780.8099999999995</v>
      </c>
      <c r="J876" s="11">
        <f>F876+H876</f>
        <v>1</v>
      </c>
      <c r="K876" s="13">
        <v>0</v>
      </c>
      <c r="L876" s="11">
        <v>0</v>
      </c>
      <c r="M876" s="11">
        <v>1</v>
      </c>
      <c r="N876" s="13">
        <v>0</v>
      </c>
      <c r="O876" s="11">
        <v>0</v>
      </c>
      <c r="P876" s="11">
        <v>1</v>
      </c>
      <c r="Q876" s="13">
        <f>K876+N876</f>
        <v>0</v>
      </c>
      <c r="R876" s="11">
        <f>L876+O876</f>
        <v>0</v>
      </c>
      <c r="S876" s="11">
        <f>M876+P876</f>
        <v>2</v>
      </c>
      <c r="T876" s="8">
        <f>I876-Q876</f>
        <v>-1780.8099999999995</v>
      </c>
      <c r="U876" s="18">
        <v>0.13494045830134291</v>
      </c>
      <c r="V876" s="11">
        <v>0.38</v>
      </c>
      <c r="W876" s="11">
        <v>3</v>
      </c>
      <c r="X876" s="11">
        <v>5</v>
      </c>
      <c r="Y876" s="11">
        <v>0</v>
      </c>
      <c r="Z876" t="s">
        <v>14</v>
      </c>
    </row>
    <row r="877" spans="1:26" x14ac:dyDescent="0.25">
      <c r="A877" s="20" t="s">
        <v>3210</v>
      </c>
      <c r="B877" s="20" t="s">
        <v>60</v>
      </c>
      <c r="C877" s="20" t="s">
        <v>3211</v>
      </c>
      <c r="D877" s="20" t="s">
        <v>216</v>
      </c>
      <c r="E877" s="13">
        <v>0</v>
      </c>
      <c r="F877" s="11">
        <v>0</v>
      </c>
      <c r="G877" s="13">
        <v>0</v>
      </c>
      <c r="H877" s="11">
        <v>0</v>
      </c>
      <c r="I877" s="13">
        <f>E877+G877</f>
        <v>0</v>
      </c>
      <c r="J877" s="11">
        <f>F877+H877</f>
        <v>0</v>
      </c>
      <c r="K877" s="13">
        <v>0</v>
      </c>
      <c r="L877" s="11">
        <v>0</v>
      </c>
      <c r="M877" s="11">
        <v>0</v>
      </c>
      <c r="N877" s="13">
        <v>0</v>
      </c>
      <c r="O877" s="11">
        <v>0</v>
      </c>
      <c r="P877" s="11">
        <v>0</v>
      </c>
      <c r="Q877" s="13">
        <f>K877+N877</f>
        <v>0</v>
      </c>
      <c r="R877" s="11">
        <f>L877+O877</f>
        <v>0</v>
      </c>
      <c r="S877" s="11">
        <f>M877+P877</f>
        <v>0</v>
      </c>
      <c r="T877" s="8">
        <f>I877-Q877</f>
        <v>0</v>
      </c>
      <c r="U877" s="18">
        <v>8.9862335680959401E-2</v>
      </c>
      <c r="V877" s="11">
        <v>0</v>
      </c>
      <c r="W877" s="11">
        <v>0</v>
      </c>
      <c r="X877" s="11">
        <v>0</v>
      </c>
      <c r="Y877" s="11">
        <v>0</v>
      </c>
      <c r="Z877" t="s">
        <v>14</v>
      </c>
    </row>
    <row r="878" spans="1:26" x14ac:dyDescent="0.25">
      <c r="A878" s="20" t="s">
        <v>3257</v>
      </c>
      <c r="B878" s="20" t="s">
        <v>60</v>
      </c>
      <c r="C878" s="20" t="s">
        <v>3258</v>
      </c>
      <c r="D878" s="20" t="s">
        <v>216</v>
      </c>
      <c r="E878" s="13">
        <v>0</v>
      </c>
      <c r="F878" s="11">
        <v>0</v>
      </c>
      <c r="G878" s="13">
        <v>2921.65</v>
      </c>
      <c r="H878" s="11">
        <v>1</v>
      </c>
      <c r="I878" s="13">
        <f>E878+G878</f>
        <v>2921.65</v>
      </c>
      <c r="J878" s="11">
        <f>F878+H878</f>
        <v>1</v>
      </c>
      <c r="K878" s="13">
        <v>0</v>
      </c>
      <c r="L878" s="11">
        <v>0</v>
      </c>
      <c r="M878" s="11">
        <v>0</v>
      </c>
      <c r="N878" s="13">
        <v>0</v>
      </c>
      <c r="O878" s="11">
        <v>0</v>
      </c>
      <c r="P878" s="11">
        <v>0</v>
      </c>
      <c r="Q878" s="13">
        <f>K878+N878</f>
        <v>0</v>
      </c>
      <c r="R878" s="11">
        <f>L878+O878</f>
        <v>0</v>
      </c>
      <c r="S878" s="11">
        <f>M878+P878</f>
        <v>0</v>
      </c>
      <c r="T878" s="8">
        <f>I878-Q878</f>
        <v>2921.65</v>
      </c>
      <c r="U878" s="18">
        <v>0.1674985969067268</v>
      </c>
      <c r="V878" s="11">
        <v>0.5</v>
      </c>
      <c r="W878" s="11">
        <v>1</v>
      </c>
      <c r="X878" s="11">
        <v>1</v>
      </c>
      <c r="Y878" s="11">
        <v>0</v>
      </c>
      <c r="Z878" t="s">
        <v>14</v>
      </c>
    </row>
    <row r="879" spans="1:26" x14ac:dyDescent="0.25">
      <c r="A879" s="20" t="s">
        <v>3270</v>
      </c>
      <c r="B879" s="20" t="s">
        <v>1410</v>
      </c>
      <c r="C879" s="20" t="s">
        <v>3271</v>
      </c>
      <c r="D879" s="20" t="s">
        <v>216</v>
      </c>
      <c r="E879" s="13">
        <v>0</v>
      </c>
      <c r="F879" s="11">
        <v>0</v>
      </c>
      <c r="G879" s="13">
        <v>0</v>
      </c>
      <c r="H879" s="11">
        <v>0</v>
      </c>
      <c r="I879" s="13">
        <f>E879+G879</f>
        <v>0</v>
      </c>
      <c r="J879" s="11">
        <f>F879+H879</f>
        <v>0</v>
      </c>
      <c r="K879" s="13">
        <v>-1525.01</v>
      </c>
      <c r="L879" s="11">
        <v>0</v>
      </c>
      <c r="M879" s="11">
        <v>0</v>
      </c>
      <c r="N879" s="13">
        <v>0</v>
      </c>
      <c r="O879" s="11">
        <v>0</v>
      </c>
      <c r="P879" s="11">
        <v>0</v>
      </c>
      <c r="Q879" s="13">
        <f>K879+N879</f>
        <v>-1525.01</v>
      </c>
      <c r="R879" s="11">
        <f>L879+O879</f>
        <v>0</v>
      </c>
      <c r="S879" s="11">
        <f>M879+P879</f>
        <v>0</v>
      </c>
      <c r="T879" s="8">
        <f>I879-Q879</f>
        <v>1525.01</v>
      </c>
      <c r="U879" s="18">
        <v>1.9166716513503143E-2</v>
      </c>
      <c r="V879" s="11">
        <v>0</v>
      </c>
      <c r="W879" s="11">
        <v>0</v>
      </c>
      <c r="X879" s="11">
        <v>0</v>
      </c>
      <c r="Y879" s="11">
        <v>0</v>
      </c>
      <c r="Z879" t="s">
        <v>14</v>
      </c>
    </row>
    <row r="880" spans="1:26" x14ac:dyDescent="0.25">
      <c r="A880" s="20" t="s">
        <v>3272</v>
      </c>
      <c r="B880" s="20" t="s">
        <v>60</v>
      </c>
      <c r="C880" s="20" t="s">
        <v>3273</v>
      </c>
      <c r="D880" s="20" t="s">
        <v>216</v>
      </c>
      <c r="E880" s="13">
        <v>0</v>
      </c>
      <c r="F880" s="11">
        <v>0</v>
      </c>
      <c r="G880" s="13">
        <v>0</v>
      </c>
      <c r="H880" s="11">
        <v>0</v>
      </c>
      <c r="I880" s="13">
        <f>E880+G880</f>
        <v>0</v>
      </c>
      <c r="J880" s="11">
        <f>F880+H880</f>
        <v>0</v>
      </c>
      <c r="K880" s="13">
        <v>0</v>
      </c>
      <c r="L880" s="11">
        <v>0</v>
      </c>
      <c r="M880" s="11">
        <v>0</v>
      </c>
      <c r="N880" s="13">
        <v>0</v>
      </c>
      <c r="O880" s="11">
        <v>0</v>
      </c>
      <c r="P880" s="11">
        <v>0</v>
      </c>
      <c r="Q880" s="13">
        <f>K880+N880</f>
        <v>0</v>
      </c>
      <c r="R880" s="11">
        <f>L880+O880</f>
        <v>0</v>
      </c>
      <c r="S880" s="11">
        <f>M880+P880</f>
        <v>0</v>
      </c>
      <c r="T880" s="8">
        <f>I880-Q880</f>
        <v>0</v>
      </c>
      <c r="U880" s="18">
        <v>7.1784156054994663E-2</v>
      </c>
      <c r="V880" s="11">
        <v>0</v>
      </c>
      <c r="W880" s="11">
        <v>0</v>
      </c>
      <c r="X880" s="11">
        <v>0</v>
      </c>
      <c r="Y880" s="11">
        <v>0</v>
      </c>
      <c r="Z880" t="s">
        <v>14</v>
      </c>
    </row>
    <row r="881" spans="1:26" x14ac:dyDescent="0.25">
      <c r="A881" s="20" t="s">
        <v>3278</v>
      </c>
      <c r="B881" s="20" t="s">
        <v>3203</v>
      </c>
      <c r="C881" s="20" t="s">
        <v>3011</v>
      </c>
      <c r="D881" s="20" t="s">
        <v>216</v>
      </c>
      <c r="E881" s="13">
        <v>250</v>
      </c>
      <c r="F881" s="11">
        <v>0</v>
      </c>
      <c r="G881" s="13">
        <v>8831</v>
      </c>
      <c r="H881" s="11">
        <v>0</v>
      </c>
      <c r="I881" s="13">
        <f>E881+G881</f>
        <v>9081</v>
      </c>
      <c r="J881" s="11">
        <f>F881+H881</f>
        <v>0</v>
      </c>
      <c r="K881" s="13">
        <v>13662</v>
      </c>
      <c r="L881" s="11">
        <v>1</v>
      </c>
      <c r="M881" s="11">
        <v>1</v>
      </c>
      <c r="N881" s="13">
        <v>8521</v>
      </c>
      <c r="O881" s="11">
        <v>0</v>
      </c>
      <c r="P881" s="11">
        <v>1</v>
      </c>
      <c r="Q881" s="13">
        <f>K881+N881</f>
        <v>22183</v>
      </c>
      <c r="R881" s="11">
        <f>L881+O881</f>
        <v>1</v>
      </c>
      <c r="S881" s="11">
        <f>M881+P881</f>
        <v>2</v>
      </c>
      <c r="T881" s="8">
        <f>I881-Q881</f>
        <v>-13102</v>
      </c>
      <c r="U881" s="18">
        <v>0.68520810420625688</v>
      </c>
      <c r="V881" s="11">
        <v>0.25</v>
      </c>
      <c r="W881" s="11">
        <v>1</v>
      </c>
      <c r="X881" s="11">
        <v>3</v>
      </c>
      <c r="Y881" s="11">
        <v>0</v>
      </c>
      <c r="Z881" t="s">
        <v>14</v>
      </c>
    </row>
    <row r="882" spans="1:26" x14ac:dyDescent="0.25">
      <c r="A882" s="20" t="s">
        <v>3315</v>
      </c>
      <c r="B882" s="20" t="s">
        <v>3203</v>
      </c>
      <c r="C882" s="20" t="s">
        <v>1367</v>
      </c>
      <c r="D882" s="20" t="s">
        <v>216</v>
      </c>
      <c r="E882" s="13">
        <v>-10195.16</v>
      </c>
      <c r="F882" s="11">
        <v>0</v>
      </c>
      <c r="G882" s="13">
        <v>2109</v>
      </c>
      <c r="H882" s="11">
        <v>0</v>
      </c>
      <c r="I882" s="13">
        <f>E882+G882</f>
        <v>-8086.16</v>
      </c>
      <c r="J882" s="11">
        <f>F882+H882</f>
        <v>0</v>
      </c>
      <c r="K882" s="13">
        <v>0</v>
      </c>
      <c r="L882" s="11">
        <v>0</v>
      </c>
      <c r="M882" s="11">
        <v>2</v>
      </c>
      <c r="N882" s="13">
        <v>2021</v>
      </c>
      <c r="O882" s="11">
        <v>0</v>
      </c>
      <c r="P882" s="11">
        <v>1</v>
      </c>
      <c r="Q882" s="13">
        <f>K882+N882</f>
        <v>2021</v>
      </c>
      <c r="R882" s="11">
        <f>L882+O882</f>
        <v>0</v>
      </c>
      <c r="S882" s="11">
        <f>M882+P882</f>
        <v>3</v>
      </c>
      <c r="T882" s="8">
        <f>I882-Q882</f>
        <v>-10107.16</v>
      </c>
      <c r="U882" s="18">
        <v>0.88186913789808219</v>
      </c>
      <c r="V882" s="11">
        <v>0.3</v>
      </c>
      <c r="W882" s="11">
        <v>3</v>
      </c>
      <c r="X882" s="11">
        <v>7</v>
      </c>
      <c r="Y882" s="11">
        <v>1</v>
      </c>
      <c r="Z882" t="s">
        <v>14</v>
      </c>
    </row>
    <row r="883" spans="1:26" x14ac:dyDescent="0.25">
      <c r="A883" s="20" t="s">
        <v>3346</v>
      </c>
      <c r="B883" s="20" t="s">
        <v>3203</v>
      </c>
      <c r="C883" s="20" t="s">
        <v>3345</v>
      </c>
      <c r="D883" s="20" t="s">
        <v>216</v>
      </c>
      <c r="E883" s="13">
        <v>24096</v>
      </c>
      <c r="F883" s="11">
        <v>1</v>
      </c>
      <c r="G883" s="13">
        <v>600</v>
      </c>
      <c r="H883" s="11">
        <v>0</v>
      </c>
      <c r="I883" s="13">
        <f>E883+G883</f>
        <v>24696</v>
      </c>
      <c r="J883" s="11">
        <f>F883+H883</f>
        <v>1</v>
      </c>
      <c r="K883" s="13">
        <v>49001.65</v>
      </c>
      <c r="L883" s="11">
        <v>0</v>
      </c>
      <c r="M883" s="11">
        <v>2</v>
      </c>
      <c r="N883" s="13">
        <v>3393.5</v>
      </c>
      <c r="O883" s="11">
        <v>0</v>
      </c>
      <c r="P883" s="11">
        <v>0</v>
      </c>
      <c r="Q883" s="13">
        <f>K883+N883</f>
        <v>52395.15</v>
      </c>
      <c r="R883" s="11">
        <f>L883+O883</f>
        <v>0</v>
      </c>
      <c r="S883" s="11">
        <f>M883+P883</f>
        <v>2</v>
      </c>
      <c r="T883" s="8">
        <f>I883-Q883</f>
        <v>-27699.15</v>
      </c>
      <c r="U883" s="18">
        <v>0.640417910627889</v>
      </c>
      <c r="V883" s="11">
        <v>0.75</v>
      </c>
      <c r="W883" s="11">
        <v>3</v>
      </c>
      <c r="X883" s="11">
        <v>1</v>
      </c>
      <c r="Y883" s="11">
        <v>0</v>
      </c>
      <c r="Z883" t="s">
        <v>14</v>
      </c>
    </row>
    <row r="884" spans="1:26" x14ac:dyDescent="0.25">
      <c r="A884" s="20" t="s">
        <v>3372</v>
      </c>
      <c r="B884" s="20" t="s">
        <v>104</v>
      </c>
      <c r="C884" s="20" t="s">
        <v>3371</v>
      </c>
      <c r="D884" s="20" t="s">
        <v>216</v>
      </c>
      <c r="E884" s="13">
        <v>0</v>
      </c>
      <c r="F884" s="11">
        <v>0</v>
      </c>
      <c r="G884" s="13">
        <v>31212</v>
      </c>
      <c r="H884" s="11">
        <v>7</v>
      </c>
      <c r="I884" s="13">
        <f>E884+G884</f>
        <v>31212</v>
      </c>
      <c r="J884" s="11">
        <f>F884+H884</f>
        <v>7</v>
      </c>
      <c r="K884" s="13">
        <v>0</v>
      </c>
      <c r="L884" s="11">
        <v>0</v>
      </c>
      <c r="M884" s="11">
        <v>0</v>
      </c>
      <c r="N884" s="13">
        <v>5854</v>
      </c>
      <c r="O884" s="11">
        <v>1</v>
      </c>
      <c r="P884" s="11">
        <v>21</v>
      </c>
      <c r="Q884" s="13">
        <f>K884+N884</f>
        <v>5854</v>
      </c>
      <c r="R884" s="11">
        <f>L884+O884</f>
        <v>1</v>
      </c>
      <c r="S884" s="11">
        <f>M884+P884</f>
        <v>21</v>
      </c>
      <c r="T884" s="8">
        <f>I884-Q884</f>
        <v>25358</v>
      </c>
      <c r="U884" s="18">
        <v>1.3211697943791808E-2</v>
      </c>
      <c r="V884" s="11">
        <v>0.4</v>
      </c>
      <c r="W884" s="11">
        <v>27</v>
      </c>
      <c r="X884" s="11">
        <v>41</v>
      </c>
      <c r="Y884" s="11">
        <v>0</v>
      </c>
      <c r="Z884" t="s">
        <v>14</v>
      </c>
    </row>
    <row r="885" spans="1:26" x14ac:dyDescent="0.25">
      <c r="A885" s="20" t="s">
        <v>3396</v>
      </c>
      <c r="B885" s="20" t="s">
        <v>60</v>
      </c>
      <c r="C885" s="20" t="s">
        <v>3397</v>
      </c>
      <c r="D885" s="20" t="s">
        <v>216</v>
      </c>
      <c r="E885" s="13">
        <v>5020</v>
      </c>
      <c r="F885" s="11">
        <v>1</v>
      </c>
      <c r="G885" s="13">
        <v>10804</v>
      </c>
      <c r="H885" s="11">
        <v>0</v>
      </c>
      <c r="I885" s="13">
        <f>E885+G885</f>
        <v>15824</v>
      </c>
      <c r="J885" s="11">
        <f>F885+H885</f>
        <v>1</v>
      </c>
      <c r="K885" s="13">
        <v>0</v>
      </c>
      <c r="L885" s="11">
        <v>0</v>
      </c>
      <c r="M885" s="11">
        <v>1</v>
      </c>
      <c r="N885" s="13">
        <v>10248</v>
      </c>
      <c r="O885" s="11">
        <v>1</v>
      </c>
      <c r="P885" s="11">
        <v>1</v>
      </c>
      <c r="Q885" s="13">
        <f>K885+N885</f>
        <v>10248</v>
      </c>
      <c r="R885" s="11">
        <f>L885+O885</f>
        <v>1</v>
      </c>
      <c r="S885" s="11">
        <f>M885+P885</f>
        <v>2</v>
      </c>
      <c r="T885" s="8">
        <f>I885-Q885</f>
        <v>5576</v>
      </c>
      <c r="U885" s="18">
        <v>0.13309796781971167</v>
      </c>
      <c r="V885" s="11">
        <v>0.25</v>
      </c>
      <c r="W885" s="11">
        <v>2</v>
      </c>
      <c r="X885" s="11">
        <v>6</v>
      </c>
      <c r="Y885" s="11">
        <v>1</v>
      </c>
      <c r="Z885" t="s">
        <v>14</v>
      </c>
    </row>
    <row r="886" spans="1:26" x14ac:dyDescent="0.25">
      <c r="A886" s="20" t="s">
        <v>3637</v>
      </c>
      <c r="B886" s="20" t="s">
        <v>459</v>
      </c>
      <c r="C886" s="20" t="s">
        <v>3608</v>
      </c>
      <c r="D886" s="20" t="s">
        <v>216</v>
      </c>
      <c r="E886" s="13">
        <v>0</v>
      </c>
      <c r="F886" s="11">
        <v>0</v>
      </c>
      <c r="G886" s="13">
        <v>0</v>
      </c>
      <c r="H886" s="11">
        <v>0</v>
      </c>
      <c r="I886" s="13">
        <f>E886+G886</f>
        <v>0</v>
      </c>
      <c r="J886" s="11">
        <f>F886+H886</f>
        <v>0</v>
      </c>
      <c r="K886" s="13">
        <v>0</v>
      </c>
      <c r="L886" s="11">
        <v>0</v>
      </c>
      <c r="M886" s="11">
        <v>0</v>
      </c>
      <c r="N886" s="13">
        <v>0</v>
      </c>
      <c r="O886" s="11">
        <v>0</v>
      </c>
      <c r="P886" s="11">
        <v>0</v>
      </c>
      <c r="Q886" s="13">
        <f>K886+N886</f>
        <v>0</v>
      </c>
      <c r="R886" s="11">
        <f>L886+O886</f>
        <v>0</v>
      </c>
      <c r="S886" s="11">
        <f>M886+P886</f>
        <v>0</v>
      </c>
      <c r="T886" s="8">
        <f>I886-Q886</f>
        <v>0</v>
      </c>
      <c r="U886" s="18">
        <v>-9.2705041372428861E-3</v>
      </c>
      <c r="V886" s="11">
        <v>0</v>
      </c>
      <c r="W886" s="11">
        <v>0</v>
      </c>
      <c r="X886" s="11">
        <v>0</v>
      </c>
      <c r="Y886" s="11">
        <v>0</v>
      </c>
      <c r="Z886" t="s">
        <v>14</v>
      </c>
    </row>
    <row r="887" spans="1:26" x14ac:dyDescent="0.25">
      <c r="A887" s="20" t="s">
        <v>3650</v>
      </c>
      <c r="B887" s="20" t="s">
        <v>83</v>
      </c>
      <c r="C887" s="20" t="s">
        <v>3649</v>
      </c>
      <c r="D887" s="20" t="s">
        <v>216</v>
      </c>
      <c r="E887" s="13">
        <v>0</v>
      </c>
      <c r="F887" s="11">
        <v>0</v>
      </c>
      <c r="G887" s="13">
        <v>0</v>
      </c>
      <c r="H887" s="11">
        <v>0</v>
      </c>
      <c r="I887" s="13">
        <f>E887+G887</f>
        <v>0</v>
      </c>
      <c r="J887" s="11">
        <f>F887+H887</f>
        <v>0</v>
      </c>
      <c r="K887" s="13">
        <v>0</v>
      </c>
      <c r="L887" s="11">
        <v>0</v>
      </c>
      <c r="M887" s="11">
        <v>0</v>
      </c>
      <c r="N887" s="13">
        <v>0</v>
      </c>
      <c r="O887" s="11">
        <v>0</v>
      </c>
      <c r="P887" s="11">
        <v>0</v>
      </c>
      <c r="Q887" s="13">
        <f>K887+N887</f>
        <v>0</v>
      </c>
      <c r="R887" s="11">
        <f>L887+O887</f>
        <v>0</v>
      </c>
      <c r="S887" s="11">
        <f>M887+P887</f>
        <v>0</v>
      </c>
      <c r="T887" s="8">
        <f>I887-Q887</f>
        <v>0</v>
      </c>
      <c r="U887" s="18">
        <v>3.1260995591954921</v>
      </c>
      <c r="V887" s="11">
        <v>0</v>
      </c>
      <c r="W887" s="11">
        <v>0</v>
      </c>
      <c r="X887" s="11">
        <v>0</v>
      </c>
      <c r="Y887" s="11">
        <v>0</v>
      </c>
      <c r="Z887" t="s">
        <v>14</v>
      </c>
    </row>
    <row r="888" spans="1:26" x14ac:dyDescent="0.25">
      <c r="A888" s="20" t="s">
        <v>3671</v>
      </c>
      <c r="B888" s="20" t="s">
        <v>77</v>
      </c>
      <c r="C888" s="20" t="s">
        <v>1349</v>
      </c>
      <c r="D888" s="20" t="s">
        <v>216</v>
      </c>
      <c r="E888" s="13">
        <v>0</v>
      </c>
      <c r="F888" s="11">
        <v>0</v>
      </c>
      <c r="G888" s="13">
        <v>3492</v>
      </c>
      <c r="H888" s="11">
        <v>1</v>
      </c>
      <c r="I888" s="13">
        <f>E888+G888</f>
        <v>3492</v>
      </c>
      <c r="J888" s="11">
        <f>F888+H888</f>
        <v>1</v>
      </c>
      <c r="K888" s="13">
        <v>0</v>
      </c>
      <c r="L888" s="11">
        <v>0</v>
      </c>
      <c r="M888" s="11">
        <v>1</v>
      </c>
      <c r="N888" s="13">
        <v>0</v>
      </c>
      <c r="O888" s="11">
        <v>0</v>
      </c>
      <c r="P888" s="11">
        <v>0</v>
      </c>
      <c r="Q888" s="13">
        <f>K888+N888</f>
        <v>0</v>
      </c>
      <c r="R888" s="11">
        <f>L888+O888</f>
        <v>0</v>
      </c>
      <c r="S888" s="11">
        <f>M888+P888</f>
        <v>1</v>
      </c>
      <c r="T888" s="8">
        <f>I888-Q888</f>
        <v>3492</v>
      </c>
      <c r="U888" s="18">
        <v>0.89776920458933906</v>
      </c>
      <c r="V888" s="11">
        <v>0.5</v>
      </c>
      <c r="W888" s="11">
        <v>1</v>
      </c>
      <c r="X888" s="11">
        <v>1</v>
      </c>
      <c r="Y888" s="11">
        <v>0</v>
      </c>
      <c r="Z888" t="s">
        <v>14</v>
      </c>
    </row>
    <row r="889" spans="1:26" x14ac:dyDescent="0.25">
      <c r="A889" s="20" t="s">
        <v>1430</v>
      </c>
      <c r="B889" s="20" t="s">
        <v>60</v>
      </c>
      <c r="C889" s="20" t="s">
        <v>1431</v>
      </c>
      <c r="D889" s="20" t="s">
        <v>216</v>
      </c>
      <c r="E889" s="13">
        <v>85199.5</v>
      </c>
      <c r="F889" s="11">
        <v>1</v>
      </c>
      <c r="G889" s="13">
        <v>1418.17</v>
      </c>
      <c r="H889" s="11">
        <v>0</v>
      </c>
      <c r="I889" s="13">
        <f>E889+G889</f>
        <v>86617.67</v>
      </c>
      <c r="J889" s="11">
        <f>F889+H889</f>
        <v>1</v>
      </c>
      <c r="K889" s="13">
        <v>104891.41</v>
      </c>
      <c r="L889" s="11">
        <v>1</v>
      </c>
      <c r="M889" s="11">
        <v>5</v>
      </c>
      <c r="N889" s="13">
        <v>0</v>
      </c>
      <c r="O889" s="11">
        <v>0</v>
      </c>
      <c r="P889" s="11">
        <v>4</v>
      </c>
      <c r="Q889" s="13">
        <f>K889+N889</f>
        <v>104891.41</v>
      </c>
      <c r="R889" s="11">
        <f>L889+O889</f>
        <v>1</v>
      </c>
      <c r="S889" s="11">
        <f>M889+P889</f>
        <v>9</v>
      </c>
      <c r="T889" s="8">
        <f>I889-Q889</f>
        <v>-18273.740000000005</v>
      </c>
      <c r="U889" s="18">
        <v>1.9804382684942488</v>
      </c>
      <c r="V889" s="11">
        <v>0.33</v>
      </c>
      <c r="W889" s="11">
        <v>10</v>
      </c>
      <c r="X889" s="11">
        <v>20</v>
      </c>
      <c r="Y889" s="11">
        <v>4</v>
      </c>
      <c r="Z889" t="s">
        <v>14</v>
      </c>
    </row>
    <row r="890" spans="1:26" x14ac:dyDescent="0.25">
      <c r="A890" s="20" t="s">
        <v>1438</v>
      </c>
      <c r="B890" s="20" t="s">
        <v>1438</v>
      </c>
      <c r="C890" s="20" t="s">
        <v>1439</v>
      </c>
      <c r="D890" s="20" t="s">
        <v>216</v>
      </c>
      <c r="E890" s="13">
        <v>0</v>
      </c>
      <c r="F890" s="11">
        <v>0</v>
      </c>
      <c r="G890" s="13">
        <v>26722.37</v>
      </c>
      <c r="H890" s="11">
        <v>1</v>
      </c>
      <c r="I890" s="13">
        <f>E890+G890</f>
        <v>26722.37</v>
      </c>
      <c r="J890" s="11">
        <f>F890+H890</f>
        <v>1</v>
      </c>
      <c r="K890" s="13">
        <v>-2717.36</v>
      </c>
      <c r="L890" s="11">
        <v>0</v>
      </c>
      <c r="M890" s="11">
        <v>0</v>
      </c>
      <c r="N890" s="13">
        <v>7522</v>
      </c>
      <c r="O890" s="11">
        <v>0</v>
      </c>
      <c r="P890" s="11">
        <v>2</v>
      </c>
      <c r="Q890" s="13">
        <f>K890+N890</f>
        <v>4804.6399999999994</v>
      </c>
      <c r="R890" s="11">
        <f>L890+O890</f>
        <v>0</v>
      </c>
      <c r="S890" s="11">
        <f>M890+P890</f>
        <v>2</v>
      </c>
      <c r="T890" s="8">
        <f>I890-Q890</f>
        <v>21917.73</v>
      </c>
      <c r="U890" s="18">
        <v>0.16024570550848627</v>
      </c>
      <c r="V890" s="11">
        <v>0.14000000000000001</v>
      </c>
      <c r="W890" s="11">
        <v>3</v>
      </c>
      <c r="X890" s="11">
        <v>18</v>
      </c>
      <c r="Y890" s="11">
        <v>3</v>
      </c>
      <c r="Z890" t="s">
        <v>15</v>
      </c>
    </row>
    <row r="891" spans="1:26" x14ac:dyDescent="0.25">
      <c r="A891" s="20" t="s">
        <v>2536</v>
      </c>
      <c r="B891" s="20" t="s">
        <v>60</v>
      </c>
      <c r="C891" s="20" t="s">
        <v>3121</v>
      </c>
      <c r="D891" s="20" t="s">
        <v>216</v>
      </c>
      <c r="E891" s="13">
        <v>5618</v>
      </c>
      <c r="F891" s="11">
        <v>1</v>
      </c>
      <c r="G891" s="13">
        <v>16014</v>
      </c>
      <c r="H891" s="11">
        <v>0</v>
      </c>
      <c r="I891" s="13">
        <f>E891+G891</f>
        <v>21632</v>
      </c>
      <c r="J891" s="11">
        <f>F891+H891</f>
        <v>1</v>
      </c>
      <c r="K891" s="13">
        <v>6116</v>
      </c>
      <c r="L891" s="11">
        <v>1</v>
      </c>
      <c r="M891" s="11">
        <v>5</v>
      </c>
      <c r="N891" s="13">
        <v>14615</v>
      </c>
      <c r="O891" s="11">
        <v>2</v>
      </c>
      <c r="P891" s="11">
        <v>4</v>
      </c>
      <c r="Q891" s="13">
        <f>K891+N891</f>
        <v>20731</v>
      </c>
      <c r="R891" s="11">
        <f>L891+O891</f>
        <v>3</v>
      </c>
      <c r="S891" s="11">
        <f>M891+P891</f>
        <v>9</v>
      </c>
      <c r="T891" s="8">
        <f>I891-Q891</f>
        <v>901</v>
      </c>
      <c r="U891" s="18">
        <v>3.3793828628590573E-2</v>
      </c>
      <c r="V891" s="11">
        <v>0.12</v>
      </c>
      <c r="W891" s="11">
        <v>7</v>
      </c>
      <c r="X891" s="11">
        <v>52</v>
      </c>
      <c r="Y891" s="11">
        <v>7</v>
      </c>
      <c r="Z891" t="s">
        <v>15</v>
      </c>
    </row>
    <row r="892" spans="1:26" x14ac:dyDescent="0.25">
      <c r="A892" s="20" t="s">
        <v>624</v>
      </c>
      <c r="B892" s="20" t="s">
        <v>624</v>
      </c>
      <c r="C892" s="20" t="s">
        <v>3408</v>
      </c>
      <c r="D892" s="20" t="s">
        <v>216</v>
      </c>
      <c r="E892" s="13">
        <v>0</v>
      </c>
      <c r="F892" s="11">
        <v>0</v>
      </c>
      <c r="G892" s="13">
        <v>0</v>
      </c>
      <c r="H892" s="11">
        <v>0</v>
      </c>
      <c r="I892" s="13">
        <f>E892+G892</f>
        <v>0</v>
      </c>
      <c r="J892" s="11">
        <f>F892+H892</f>
        <v>0</v>
      </c>
      <c r="K892" s="13">
        <v>0</v>
      </c>
      <c r="L892" s="11">
        <v>0</v>
      </c>
      <c r="M892" s="11">
        <v>0</v>
      </c>
      <c r="N892" s="13">
        <v>7963</v>
      </c>
      <c r="O892" s="11">
        <v>0</v>
      </c>
      <c r="P892" s="11">
        <v>1</v>
      </c>
      <c r="Q892" s="13">
        <f>K892+N892</f>
        <v>7963</v>
      </c>
      <c r="R892" s="11">
        <f>L892+O892</f>
        <v>0</v>
      </c>
      <c r="S892" s="11">
        <f>M892+P892</f>
        <v>1</v>
      </c>
      <c r="T892" s="8">
        <f>I892-Q892</f>
        <v>-7963</v>
      </c>
      <c r="U892" s="18">
        <v>3.3258829623062391</v>
      </c>
      <c r="V892" s="11">
        <v>0.5</v>
      </c>
      <c r="W892" s="11">
        <v>1</v>
      </c>
      <c r="X892" s="11">
        <v>1</v>
      </c>
      <c r="Y892" s="11">
        <v>1</v>
      </c>
      <c r="Z892" t="s">
        <v>15</v>
      </c>
    </row>
    <row r="893" spans="1:26" x14ac:dyDescent="0.25">
      <c r="A893" s="20" t="s">
        <v>1442</v>
      </c>
      <c r="B893" s="20" t="s">
        <v>189</v>
      </c>
      <c r="C893" s="20" t="s">
        <v>1443</v>
      </c>
      <c r="D893" s="20" t="s">
        <v>216</v>
      </c>
      <c r="E893" s="13">
        <v>0</v>
      </c>
      <c r="F893" s="11">
        <v>0</v>
      </c>
      <c r="G893" s="13">
        <v>18290</v>
      </c>
      <c r="H893" s="11">
        <v>1</v>
      </c>
      <c r="I893" s="13">
        <f>E893+G893</f>
        <v>18290</v>
      </c>
      <c r="J893" s="11">
        <f>F893+H893</f>
        <v>1</v>
      </c>
      <c r="K893" s="13">
        <v>0</v>
      </c>
      <c r="L893" s="11">
        <v>0</v>
      </c>
      <c r="M893" s="11">
        <v>0</v>
      </c>
      <c r="N893" s="13">
        <v>0</v>
      </c>
      <c r="O893" s="11">
        <v>0</v>
      </c>
      <c r="P893" s="11">
        <v>2</v>
      </c>
      <c r="Q893" s="13">
        <f>K893+N893</f>
        <v>0</v>
      </c>
      <c r="R893" s="11">
        <f>L893+O893</f>
        <v>0</v>
      </c>
      <c r="S893" s="11">
        <f>M893+P893</f>
        <v>2</v>
      </c>
      <c r="T893" s="8">
        <f>I893-Q893</f>
        <v>18290</v>
      </c>
      <c r="U893" s="18">
        <v>0.13812999041550333</v>
      </c>
      <c r="V893" s="11">
        <v>0.38</v>
      </c>
      <c r="W893" s="11">
        <v>3</v>
      </c>
      <c r="X893" s="11">
        <v>5</v>
      </c>
      <c r="Y893" s="11">
        <v>4</v>
      </c>
      <c r="Z893" t="s">
        <v>15</v>
      </c>
    </row>
    <row r="894" spans="1:26" x14ac:dyDescent="0.25">
      <c r="A894" s="20" t="s">
        <v>1444</v>
      </c>
      <c r="B894" s="20" t="s">
        <v>77</v>
      </c>
      <c r="C894" s="20" t="s">
        <v>1445</v>
      </c>
      <c r="D894" s="20" t="s">
        <v>216</v>
      </c>
      <c r="E894" s="13">
        <v>7629.53</v>
      </c>
      <c r="F894" s="11">
        <v>0</v>
      </c>
      <c r="G894" s="13">
        <v>0</v>
      </c>
      <c r="H894" s="11">
        <v>0</v>
      </c>
      <c r="I894" s="13">
        <f>E894+G894</f>
        <v>7629.53</v>
      </c>
      <c r="J894" s="11">
        <f>F894+H894</f>
        <v>0</v>
      </c>
      <c r="K894" s="13">
        <v>5192.4799999999996</v>
      </c>
      <c r="L894" s="11">
        <v>0</v>
      </c>
      <c r="M894" s="11">
        <v>0</v>
      </c>
      <c r="N894" s="13">
        <v>0</v>
      </c>
      <c r="O894" s="11">
        <v>0</v>
      </c>
      <c r="P894" s="11">
        <v>2</v>
      </c>
      <c r="Q894" s="13">
        <f>K894+N894</f>
        <v>5192.4799999999996</v>
      </c>
      <c r="R894" s="11">
        <f>L894+O894</f>
        <v>0</v>
      </c>
      <c r="S894" s="11">
        <f>M894+P894</f>
        <v>2</v>
      </c>
      <c r="T894" s="8">
        <f>I894-Q894</f>
        <v>2437.0500000000002</v>
      </c>
      <c r="U894" s="18">
        <v>0.27876901924744812</v>
      </c>
      <c r="V894" s="11">
        <v>0.4</v>
      </c>
      <c r="W894" s="11">
        <v>2</v>
      </c>
      <c r="X894" s="11">
        <v>3</v>
      </c>
      <c r="Y894" s="11">
        <v>0</v>
      </c>
      <c r="Z894" t="s">
        <v>15</v>
      </c>
    </row>
    <row r="895" spans="1:26" x14ac:dyDescent="0.25">
      <c r="A895" s="20" t="s">
        <v>590</v>
      </c>
      <c r="B895" s="20" t="s">
        <v>590</v>
      </c>
      <c r="C895" s="20" t="s">
        <v>1434</v>
      </c>
      <c r="D895" s="20" t="s">
        <v>216</v>
      </c>
      <c r="E895" s="13">
        <v>23629.39</v>
      </c>
      <c r="F895" s="11">
        <v>0</v>
      </c>
      <c r="G895" s="13">
        <v>16121.78</v>
      </c>
      <c r="H895" s="11">
        <v>3</v>
      </c>
      <c r="I895" s="13">
        <f>E895+G895</f>
        <v>39751.17</v>
      </c>
      <c r="J895" s="11">
        <f>F895+H895</f>
        <v>3</v>
      </c>
      <c r="K895" s="13">
        <v>23523</v>
      </c>
      <c r="L895" s="11">
        <v>0</v>
      </c>
      <c r="M895" s="11">
        <v>1</v>
      </c>
      <c r="N895" s="13">
        <v>10887.9</v>
      </c>
      <c r="O895" s="11">
        <v>0</v>
      </c>
      <c r="P895" s="11">
        <v>5</v>
      </c>
      <c r="Q895" s="13">
        <f>K895+N895</f>
        <v>34410.9</v>
      </c>
      <c r="R895" s="11">
        <f>L895+O895</f>
        <v>0</v>
      </c>
      <c r="S895" s="11">
        <f>M895+P895</f>
        <v>6</v>
      </c>
      <c r="T895" s="8">
        <f>I895-Q895</f>
        <v>5340.2699999999968</v>
      </c>
      <c r="U895" s="18">
        <v>0.2122235367084476</v>
      </c>
      <c r="V895" s="11">
        <v>0.36</v>
      </c>
      <c r="W895" s="11">
        <v>9</v>
      </c>
      <c r="X895" s="11">
        <v>16</v>
      </c>
      <c r="Y895" s="11">
        <v>8</v>
      </c>
      <c r="Z895" t="s">
        <v>15</v>
      </c>
    </row>
    <row r="896" spans="1:26" x14ac:dyDescent="0.25">
      <c r="A896" s="20" t="s">
        <v>1448</v>
      </c>
      <c r="B896" s="20" t="s">
        <v>3203</v>
      </c>
      <c r="C896" s="20" t="s">
        <v>1449</v>
      </c>
      <c r="D896" s="20" t="s">
        <v>216</v>
      </c>
      <c r="E896" s="13">
        <v>0</v>
      </c>
      <c r="F896" s="11">
        <v>0</v>
      </c>
      <c r="G896" s="13">
        <v>0</v>
      </c>
      <c r="H896" s="11">
        <v>0</v>
      </c>
      <c r="I896" s="13">
        <f>E896+G896</f>
        <v>0</v>
      </c>
      <c r="J896" s="11">
        <f>F896+H896</f>
        <v>0</v>
      </c>
      <c r="K896" s="13">
        <v>0</v>
      </c>
      <c r="L896" s="11">
        <v>0</v>
      </c>
      <c r="M896" s="11">
        <v>0</v>
      </c>
      <c r="N896" s="13">
        <v>0</v>
      </c>
      <c r="O896" s="11">
        <v>0</v>
      </c>
      <c r="P896" s="11">
        <v>0</v>
      </c>
      <c r="Q896" s="13">
        <f>K896+N896</f>
        <v>0</v>
      </c>
      <c r="R896" s="11">
        <f>L896+O896</f>
        <v>0</v>
      </c>
      <c r="S896" s="11">
        <f>M896+P896</f>
        <v>0</v>
      </c>
      <c r="T896" s="8">
        <f>I896-Q896</f>
        <v>0</v>
      </c>
      <c r="U896" s="18">
        <v>0.2311815333927778</v>
      </c>
      <c r="V896" s="11">
        <v>0</v>
      </c>
      <c r="W896" s="11">
        <v>0</v>
      </c>
      <c r="X896" s="11">
        <v>2</v>
      </c>
      <c r="Y896" s="11">
        <v>1</v>
      </c>
      <c r="Z896" t="s">
        <v>15</v>
      </c>
    </row>
    <row r="897" spans="1:26" x14ac:dyDescent="0.25">
      <c r="A897" s="20" t="s">
        <v>610</v>
      </c>
      <c r="B897" s="20" t="s">
        <v>218</v>
      </c>
      <c r="C897" s="20" t="s">
        <v>1450</v>
      </c>
      <c r="D897" s="20" t="s">
        <v>216</v>
      </c>
      <c r="E897" s="13">
        <v>0</v>
      </c>
      <c r="F897" s="11">
        <v>0</v>
      </c>
      <c r="G897" s="13">
        <v>0</v>
      </c>
      <c r="H897" s="11">
        <v>0</v>
      </c>
      <c r="I897" s="13">
        <f>E897+G897</f>
        <v>0</v>
      </c>
      <c r="J897" s="11">
        <f>F897+H897</f>
        <v>0</v>
      </c>
      <c r="K897" s="13">
        <v>0</v>
      </c>
      <c r="L897" s="11">
        <v>0</v>
      </c>
      <c r="M897" s="11">
        <v>0</v>
      </c>
      <c r="N897" s="13">
        <v>26075</v>
      </c>
      <c r="O897" s="11">
        <v>0</v>
      </c>
      <c r="P897" s="11">
        <v>1</v>
      </c>
      <c r="Q897" s="13">
        <f>K897+N897</f>
        <v>26075</v>
      </c>
      <c r="R897" s="11">
        <f>L897+O897</f>
        <v>0</v>
      </c>
      <c r="S897" s="11">
        <f>M897+P897</f>
        <v>1</v>
      </c>
      <c r="T897" s="8">
        <f>I897-Q897</f>
        <v>-26075</v>
      </c>
      <c r="U897" s="18">
        <v>1.4804886703104762E-2</v>
      </c>
      <c r="V897" s="11">
        <v>0.33</v>
      </c>
      <c r="W897" s="11">
        <v>1</v>
      </c>
      <c r="X897" s="11">
        <v>2</v>
      </c>
      <c r="Y897" s="11">
        <v>0</v>
      </c>
      <c r="Z897" t="s">
        <v>15</v>
      </c>
    </row>
    <row r="898" spans="1:26" x14ac:dyDescent="0.25">
      <c r="A898" s="20" t="s">
        <v>1451</v>
      </c>
      <c r="B898" s="20" t="s">
        <v>60</v>
      </c>
      <c r="C898" s="20" t="s">
        <v>1452</v>
      </c>
      <c r="D898" s="20" t="s">
        <v>216</v>
      </c>
      <c r="E898" s="13">
        <v>0</v>
      </c>
      <c r="F898" s="11">
        <v>0</v>
      </c>
      <c r="G898" s="13">
        <v>0</v>
      </c>
      <c r="H898" s="11">
        <v>0</v>
      </c>
      <c r="I898" s="13">
        <f>E898+G898</f>
        <v>0</v>
      </c>
      <c r="J898" s="11">
        <f>F898+H898</f>
        <v>0</v>
      </c>
      <c r="K898" s="13">
        <v>2075</v>
      </c>
      <c r="L898" s="11">
        <v>0</v>
      </c>
      <c r="M898" s="11">
        <v>0</v>
      </c>
      <c r="N898" s="13">
        <v>0</v>
      </c>
      <c r="O898" s="11">
        <v>0</v>
      </c>
      <c r="P898" s="11">
        <v>0</v>
      </c>
      <c r="Q898" s="13">
        <f>K898+N898</f>
        <v>2075</v>
      </c>
      <c r="R898" s="11">
        <f>L898+O898</f>
        <v>0</v>
      </c>
      <c r="S898" s="11">
        <f>M898+P898</f>
        <v>0</v>
      </c>
      <c r="T898" s="8">
        <f>I898-Q898</f>
        <v>-2075</v>
      </c>
      <c r="U898" s="18">
        <v>4.90848954613076E-2</v>
      </c>
      <c r="V898" s="11">
        <v>0</v>
      </c>
      <c r="W898" s="11">
        <v>0</v>
      </c>
      <c r="X898" s="11">
        <v>2</v>
      </c>
      <c r="Y898" s="11">
        <v>0</v>
      </c>
      <c r="Z898" t="s">
        <v>15</v>
      </c>
    </row>
    <row r="899" spans="1:26" x14ac:dyDescent="0.25">
      <c r="A899" s="20" t="s">
        <v>1453</v>
      </c>
      <c r="B899" s="20" t="s">
        <v>83</v>
      </c>
      <c r="C899" s="20" t="s">
        <v>1447</v>
      </c>
      <c r="D899" s="20" t="s">
        <v>216</v>
      </c>
      <c r="E899" s="13">
        <v>-4082</v>
      </c>
      <c r="F899" s="11">
        <v>0</v>
      </c>
      <c r="G899" s="13">
        <v>5586.09</v>
      </c>
      <c r="H899" s="11">
        <v>0</v>
      </c>
      <c r="I899" s="13">
        <f>E899+G899</f>
        <v>1504.0900000000001</v>
      </c>
      <c r="J899" s="11">
        <f>F899+H899</f>
        <v>0</v>
      </c>
      <c r="K899" s="13">
        <v>0</v>
      </c>
      <c r="L899" s="11">
        <v>0</v>
      </c>
      <c r="M899" s="11">
        <v>0</v>
      </c>
      <c r="N899" s="13">
        <v>6695</v>
      </c>
      <c r="O899" s="11">
        <v>0</v>
      </c>
      <c r="P899" s="11">
        <v>1</v>
      </c>
      <c r="Q899" s="13">
        <f>K899+N899</f>
        <v>6695</v>
      </c>
      <c r="R899" s="11">
        <f>L899+O899</f>
        <v>0</v>
      </c>
      <c r="S899" s="11">
        <f>M899+P899</f>
        <v>1</v>
      </c>
      <c r="T899" s="8">
        <f>I899-Q899</f>
        <v>-5190.91</v>
      </c>
      <c r="U899" s="18">
        <v>7.7576561432621205E-2</v>
      </c>
      <c r="V899" s="11">
        <v>0.17</v>
      </c>
      <c r="W899" s="11">
        <v>1</v>
      </c>
      <c r="X899" s="11">
        <v>5</v>
      </c>
      <c r="Y899" s="11">
        <v>4</v>
      </c>
      <c r="Z899" t="s">
        <v>15</v>
      </c>
    </row>
    <row r="900" spans="1:26" x14ac:dyDescent="0.25">
      <c r="A900" s="20" t="s">
        <v>1455</v>
      </c>
      <c r="B900" s="20" t="s">
        <v>3203</v>
      </c>
      <c r="C900" s="20" t="s">
        <v>1449</v>
      </c>
      <c r="D900" s="20" t="s">
        <v>215</v>
      </c>
      <c r="E900" s="13">
        <v>0</v>
      </c>
      <c r="F900" s="11">
        <v>0</v>
      </c>
      <c r="G900" s="13">
        <v>0</v>
      </c>
      <c r="H900" s="11">
        <v>0</v>
      </c>
      <c r="I900" s="13">
        <f>E900+G900</f>
        <v>0</v>
      </c>
      <c r="J900" s="11">
        <f>F900+H900</f>
        <v>0</v>
      </c>
      <c r="K900" s="13">
        <v>566</v>
      </c>
      <c r="L900" s="11">
        <v>0</v>
      </c>
      <c r="M900" s="11">
        <v>0</v>
      </c>
      <c r="N900" s="13">
        <v>-1512.55</v>
      </c>
      <c r="O900" s="11">
        <v>0</v>
      </c>
      <c r="P900" s="11">
        <v>2</v>
      </c>
      <c r="Q900" s="13">
        <f>K900+N900</f>
        <v>-946.55</v>
      </c>
      <c r="R900" s="11">
        <f>L900+O900</f>
        <v>0</v>
      </c>
      <c r="S900" s="11">
        <f>M900+P900</f>
        <v>2</v>
      </c>
      <c r="T900" s="8">
        <f>I900-Q900</f>
        <v>946.55</v>
      </c>
      <c r="U900" s="18" t="s">
        <v>1803</v>
      </c>
      <c r="V900" s="11">
        <v>0.4</v>
      </c>
      <c r="W900" s="11">
        <v>2</v>
      </c>
      <c r="X900" s="11">
        <v>3</v>
      </c>
      <c r="Y900" s="11">
        <v>1</v>
      </c>
      <c r="Z900" t="s">
        <v>15</v>
      </c>
    </row>
    <row r="901" spans="1:26" x14ac:dyDescent="0.25">
      <c r="A901" s="20" t="s">
        <v>1456</v>
      </c>
      <c r="B901" s="20" t="s">
        <v>189</v>
      </c>
      <c r="C901" s="20" t="s">
        <v>1457</v>
      </c>
      <c r="D901" s="20" t="s">
        <v>216</v>
      </c>
      <c r="E901" s="13">
        <v>804</v>
      </c>
      <c r="F901" s="11">
        <v>0</v>
      </c>
      <c r="G901" s="13">
        <v>7101</v>
      </c>
      <c r="H901" s="11">
        <v>0</v>
      </c>
      <c r="I901" s="13">
        <f>E901+G901</f>
        <v>7905</v>
      </c>
      <c r="J901" s="11">
        <f>F901+H901</f>
        <v>0</v>
      </c>
      <c r="K901" s="13">
        <v>1952</v>
      </c>
      <c r="L901" s="11">
        <v>0</v>
      </c>
      <c r="M901" s="11">
        <v>1</v>
      </c>
      <c r="N901" s="13">
        <v>5018</v>
      </c>
      <c r="O901" s="11">
        <v>0</v>
      </c>
      <c r="P901" s="11">
        <v>0</v>
      </c>
      <c r="Q901" s="13">
        <f>K901+N901</f>
        <v>6970</v>
      </c>
      <c r="R901" s="11">
        <f>L901+O901</f>
        <v>0</v>
      </c>
      <c r="S901" s="11">
        <f>M901+P901</f>
        <v>1</v>
      </c>
      <c r="T901" s="8">
        <f>I901-Q901</f>
        <v>935</v>
      </c>
      <c r="U901" s="18">
        <v>0.3532853188612648</v>
      </c>
      <c r="V901" s="11">
        <v>0.33</v>
      </c>
      <c r="W901" s="11">
        <v>1</v>
      </c>
      <c r="X901" s="11">
        <v>2</v>
      </c>
      <c r="Y901" s="11">
        <v>2</v>
      </c>
      <c r="Z901" t="s">
        <v>15</v>
      </c>
    </row>
    <row r="902" spans="1:26" x14ac:dyDescent="0.25">
      <c r="A902" s="20" t="s">
        <v>1461</v>
      </c>
      <c r="B902" s="20" t="s">
        <v>189</v>
      </c>
      <c r="C902" s="20" t="s">
        <v>212</v>
      </c>
      <c r="D902" s="20" t="s">
        <v>216</v>
      </c>
      <c r="E902" s="13">
        <v>4936.13</v>
      </c>
      <c r="F902" s="11">
        <v>0</v>
      </c>
      <c r="G902" s="13">
        <v>1034.74</v>
      </c>
      <c r="H902" s="11">
        <v>0</v>
      </c>
      <c r="I902" s="13">
        <f>E902+G902</f>
        <v>5970.87</v>
      </c>
      <c r="J902" s="11">
        <f>F902+H902</f>
        <v>0</v>
      </c>
      <c r="K902" s="13">
        <v>18611.669999999998</v>
      </c>
      <c r="L902" s="11">
        <v>0</v>
      </c>
      <c r="M902" s="11">
        <v>2</v>
      </c>
      <c r="N902" s="13">
        <v>-2525.36</v>
      </c>
      <c r="O902" s="11">
        <v>0</v>
      </c>
      <c r="P902" s="11">
        <v>3</v>
      </c>
      <c r="Q902" s="13">
        <f>K902+N902</f>
        <v>16086.309999999998</v>
      </c>
      <c r="R902" s="11">
        <f>L902+O902</f>
        <v>0</v>
      </c>
      <c r="S902" s="11">
        <f>M902+P902</f>
        <v>5</v>
      </c>
      <c r="T902" s="8">
        <f>I902-Q902</f>
        <v>-10115.439999999999</v>
      </c>
      <c r="U902" s="18">
        <v>0.85305187080791456</v>
      </c>
      <c r="V902" s="11">
        <v>0.28999999999999998</v>
      </c>
      <c r="W902" s="11">
        <v>5</v>
      </c>
      <c r="X902" s="11">
        <v>12</v>
      </c>
      <c r="Y902" s="11">
        <v>9</v>
      </c>
      <c r="Z902" t="s">
        <v>15</v>
      </c>
    </row>
    <row r="903" spans="1:26" x14ac:dyDescent="0.25">
      <c r="A903" s="20" t="s">
        <v>1462</v>
      </c>
      <c r="B903" s="20" t="s">
        <v>1432</v>
      </c>
      <c r="C903" s="20" t="s">
        <v>1433</v>
      </c>
      <c r="D903" s="20" t="s">
        <v>216</v>
      </c>
      <c r="E903" s="13">
        <v>6229.75</v>
      </c>
      <c r="F903" s="11">
        <v>0</v>
      </c>
      <c r="G903" s="13">
        <v>3166</v>
      </c>
      <c r="H903" s="11">
        <v>0</v>
      </c>
      <c r="I903" s="13">
        <f>E903+G903</f>
        <v>9395.75</v>
      </c>
      <c r="J903" s="11">
        <f>F903+H903</f>
        <v>0</v>
      </c>
      <c r="K903" s="13">
        <v>8724</v>
      </c>
      <c r="L903" s="11">
        <v>0</v>
      </c>
      <c r="M903" s="11">
        <v>0</v>
      </c>
      <c r="N903" s="13">
        <v>16076</v>
      </c>
      <c r="O903" s="11">
        <v>0</v>
      </c>
      <c r="P903" s="11">
        <v>0</v>
      </c>
      <c r="Q903" s="13">
        <f>K903+N903</f>
        <v>24800</v>
      </c>
      <c r="R903" s="11">
        <f>L903+O903</f>
        <v>0</v>
      </c>
      <c r="S903" s="11">
        <f>M903+P903</f>
        <v>0</v>
      </c>
      <c r="T903" s="8">
        <f>I903-Q903</f>
        <v>-15404.25</v>
      </c>
      <c r="U903" s="18">
        <v>-8.3847095180758058E-2</v>
      </c>
      <c r="V903" s="11">
        <v>0</v>
      </c>
      <c r="W903" s="11">
        <v>0</v>
      </c>
      <c r="X903" s="11">
        <v>3</v>
      </c>
      <c r="Y903" s="11">
        <v>1</v>
      </c>
      <c r="Z903" t="s">
        <v>15</v>
      </c>
    </row>
    <row r="904" spans="1:26" x14ac:dyDescent="0.25">
      <c r="A904" s="20" t="s">
        <v>668</v>
      </c>
      <c r="B904" s="20" t="s">
        <v>668</v>
      </c>
      <c r="C904" s="20" t="s">
        <v>669</v>
      </c>
      <c r="D904" s="20" t="s">
        <v>216</v>
      </c>
      <c r="E904" s="13">
        <v>10691</v>
      </c>
      <c r="F904" s="11">
        <v>0</v>
      </c>
      <c r="G904" s="13">
        <v>11253</v>
      </c>
      <c r="H904" s="11">
        <v>0</v>
      </c>
      <c r="I904" s="13">
        <f>E904+G904</f>
        <v>21944</v>
      </c>
      <c r="J904" s="11">
        <f>F904+H904</f>
        <v>0</v>
      </c>
      <c r="K904" s="13">
        <v>15553.05</v>
      </c>
      <c r="L904" s="11">
        <v>2</v>
      </c>
      <c r="M904" s="11">
        <v>3</v>
      </c>
      <c r="N904" s="13">
        <v>9849.4500000000007</v>
      </c>
      <c r="O904" s="11">
        <v>0</v>
      </c>
      <c r="P904" s="11">
        <v>5</v>
      </c>
      <c r="Q904" s="13">
        <f>K904+N904</f>
        <v>25402.5</v>
      </c>
      <c r="R904" s="11">
        <f>L904+O904</f>
        <v>2</v>
      </c>
      <c r="S904" s="11">
        <f>M904+P904</f>
        <v>8</v>
      </c>
      <c r="T904" s="8">
        <f>I904-Q904</f>
        <v>-3458.5</v>
      </c>
      <c r="U904" s="18">
        <v>0.40636859479039522</v>
      </c>
      <c r="V904" s="11">
        <v>0.24</v>
      </c>
      <c r="W904" s="11">
        <v>6</v>
      </c>
      <c r="X904" s="11">
        <v>19</v>
      </c>
      <c r="Y904" s="11">
        <v>2</v>
      </c>
      <c r="Z904" t="s">
        <v>15</v>
      </c>
    </row>
    <row r="905" spans="1:26" x14ac:dyDescent="0.25">
      <c r="A905" s="20" t="s">
        <v>1459</v>
      </c>
      <c r="B905" s="20" t="s">
        <v>1459</v>
      </c>
      <c r="C905" s="20" t="s">
        <v>1460</v>
      </c>
      <c r="D905" s="20" t="s">
        <v>216</v>
      </c>
      <c r="E905" s="13">
        <v>24472.01</v>
      </c>
      <c r="F905" s="11">
        <v>0</v>
      </c>
      <c r="G905" s="13">
        <v>11308.65</v>
      </c>
      <c r="H905" s="11">
        <v>2</v>
      </c>
      <c r="I905" s="13">
        <f>E905+G905</f>
        <v>35780.659999999996</v>
      </c>
      <c r="J905" s="11">
        <f>F905+H905</f>
        <v>2</v>
      </c>
      <c r="K905" s="13">
        <v>16335.97</v>
      </c>
      <c r="L905" s="11">
        <v>0</v>
      </c>
      <c r="M905" s="11">
        <v>2</v>
      </c>
      <c r="N905" s="13">
        <v>31798.68</v>
      </c>
      <c r="O905" s="11">
        <v>0</v>
      </c>
      <c r="P905" s="11">
        <v>2</v>
      </c>
      <c r="Q905" s="13">
        <f>K905+N905</f>
        <v>48134.65</v>
      </c>
      <c r="R905" s="11">
        <f>L905+O905</f>
        <v>0</v>
      </c>
      <c r="S905" s="11">
        <f>M905+P905</f>
        <v>4</v>
      </c>
      <c r="T905" s="8">
        <f>I905-Q905</f>
        <v>-12353.990000000005</v>
      </c>
      <c r="U905" s="18">
        <v>1.9533152765140581E-2</v>
      </c>
      <c r="V905" s="11">
        <v>0.38</v>
      </c>
      <c r="W905" s="11">
        <v>6</v>
      </c>
      <c r="X905" s="11">
        <v>10</v>
      </c>
      <c r="Y905" s="11">
        <v>4</v>
      </c>
      <c r="Z905" t="s">
        <v>15</v>
      </c>
    </row>
    <row r="906" spans="1:26" x14ac:dyDescent="0.25">
      <c r="A906" s="20" t="s">
        <v>1465</v>
      </c>
      <c r="B906" s="20" t="s">
        <v>1465</v>
      </c>
      <c r="C906" s="20" t="s">
        <v>1473</v>
      </c>
      <c r="D906" s="20" t="s">
        <v>216</v>
      </c>
      <c r="E906" s="13">
        <v>0</v>
      </c>
      <c r="F906" s="11">
        <v>0</v>
      </c>
      <c r="G906" s="13">
        <v>0</v>
      </c>
      <c r="H906" s="11">
        <v>0</v>
      </c>
      <c r="I906" s="13">
        <f>E906+G906</f>
        <v>0</v>
      </c>
      <c r="J906" s="11">
        <f>F906+H906</f>
        <v>0</v>
      </c>
      <c r="K906" s="13">
        <v>0</v>
      </c>
      <c r="L906" s="11">
        <v>0</v>
      </c>
      <c r="M906" s="11">
        <v>0</v>
      </c>
      <c r="N906" s="13">
        <v>0</v>
      </c>
      <c r="O906" s="11">
        <v>0</v>
      </c>
      <c r="P906" s="11">
        <v>0</v>
      </c>
      <c r="Q906" s="13">
        <f>K906+N906</f>
        <v>0</v>
      </c>
      <c r="R906" s="11">
        <f>L906+O906</f>
        <v>0</v>
      </c>
      <c r="S906" s="11">
        <f>M906+P906</f>
        <v>0</v>
      </c>
      <c r="T906" s="8">
        <f>I906-Q906</f>
        <v>0</v>
      </c>
      <c r="U906" s="18" t="s">
        <v>1803</v>
      </c>
      <c r="V906" s="11">
        <v>0</v>
      </c>
      <c r="W906" s="11">
        <v>0</v>
      </c>
      <c r="X906" s="11">
        <v>0</v>
      </c>
      <c r="Y906" s="11">
        <v>0</v>
      </c>
      <c r="Z906" t="s">
        <v>15</v>
      </c>
    </row>
    <row r="907" spans="1:26" x14ac:dyDescent="0.25">
      <c r="A907" s="20" t="s">
        <v>1478</v>
      </c>
      <c r="B907" s="20" t="s">
        <v>60</v>
      </c>
      <c r="C907" s="20" t="s">
        <v>1479</v>
      </c>
      <c r="D907" s="20" t="s">
        <v>216</v>
      </c>
      <c r="E907" s="13">
        <v>1216</v>
      </c>
      <c r="F907" s="11">
        <v>0</v>
      </c>
      <c r="G907" s="13">
        <v>0</v>
      </c>
      <c r="H907" s="11">
        <v>0</v>
      </c>
      <c r="I907" s="13">
        <f>E907+G907</f>
        <v>1216</v>
      </c>
      <c r="J907" s="11">
        <f>F907+H907</f>
        <v>0</v>
      </c>
      <c r="K907" s="13">
        <v>1349</v>
      </c>
      <c r="L907" s="11">
        <v>0</v>
      </c>
      <c r="M907" s="11">
        <v>0</v>
      </c>
      <c r="N907" s="13">
        <v>0</v>
      </c>
      <c r="O907" s="11">
        <v>0</v>
      </c>
      <c r="P907" s="11">
        <v>0</v>
      </c>
      <c r="Q907" s="13">
        <f>K907+N907</f>
        <v>1349</v>
      </c>
      <c r="R907" s="11">
        <f>L907+O907</f>
        <v>0</v>
      </c>
      <c r="S907" s="11">
        <f>M907+P907</f>
        <v>0</v>
      </c>
      <c r="T907" s="8">
        <f>I907-Q907</f>
        <v>-133</v>
      </c>
      <c r="U907" s="18">
        <v>-0.12510479779968417</v>
      </c>
      <c r="V907" s="11">
        <v>0</v>
      </c>
      <c r="W907" s="11">
        <v>0</v>
      </c>
      <c r="X907" s="11">
        <v>2</v>
      </c>
      <c r="Y907" s="11">
        <v>0</v>
      </c>
      <c r="Z907" t="s">
        <v>15</v>
      </c>
    </row>
    <row r="908" spans="1:26" x14ac:dyDescent="0.25">
      <c r="A908" s="20" t="s">
        <v>1480</v>
      </c>
      <c r="B908" s="20" t="s">
        <v>189</v>
      </c>
      <c r="C908" s="20" t="s">
        <v>1481</v>
      </c>
      <c r="D908" s="20" t="s">
        <v>216</v>
      </c>
      <c r="E908" s="13">
        <v>0</v>
      </c>
      <c r="F908" s="11">
        <v>0</v>
      </c>
      <c r="G908" s="13">
        <v>0</v>
      </c>
      <c r="H908" s="11">
        <v>0</v>
      </c>
      <c r="I908" s="13">
        <f>E908+G908</f>
        <v>0</v>
      </c>
      <c r="J908" s="11">
        <f>F908+H908</f>
        <v>0</v>
      </c>
      <c r="K908" s="13">
        <v>0</v>
      </c>
      <c r="L908" s="11">
        <v>0</v>
      </c>
      <c r="M908" s="11">
        <v>0</v>
      </c>
      <c r="N908" s="13">
        <v>0</v>
      </c>
      <c r="O908" s="11">
        <v>0</v>
      </c>
      <c r="P908" s="11">
        <v>0</v>
      </c>
      <c r="Q908" s="13">
        <f>K908+N908</f>
        <v>0</v>
      </c>
      <c r="R908" s="11">
        <f>L908+O908</f>
        <v>0</v>
      </c>
      <c r="S908" s="11">
        <f>M908+P908</f>
        <v>0</v>
      </c>
      <c r="T908" s="8">
        <f>I908-Q908</f>
        <v>0</v>
      </c>
      <c r="U908" s="18">
        <v>-1.6851450374247855E-2</v>
      </c>
      <c r="V908" s="11">
        <v>0</v>
      </c>
      <c r="W908" s="11">
        <v>0</v>
      </c>
      <c r="X908" s="11">
        <v>0</v>
      </c>
      <c r="Y908" s="11">
        <v>0</v>
      </c>
      <c r="Z908" t="s">
        <v>15</v>
      </c>
    </row>
    <row r="909" spans="1:26" x14ac:dyDescent="0.25">
      <c r="A909" s="20" t="s">
        <v>912</v>
      </c>
      <c r="B909" s="20" t="s">
        <v>912</v>
      </c>
      <c r="C909" s="20" t="s">
        <v>1471</v>
      </c>
      <c r="D909" s="20" t="s">
        <v>216</v>
      </c>
      <c r="E909" s="13">
        <v>0</v>
      </c>
      <c r="F909" s="11">
        <v>0</v>
      </c>
      <c r="G909" s="13">
        <v>0</v>
      </c>
      <c r="H909" s="11">
        <v>0</v>
      </c>
      <c r="I909" s="13">
        <f>E909+G909</f>
        <v>0</v>
      </c>
      <c r="J909" s="11">
        <f>F909+H909</f>
        <v>0</v>
      </c>
      <c r="K909" s="13">
        <v>0</v>
      </c>
      <c r="L909" s="11">
        <v>0</v>
      </c>
      <c r="M909" s="11">
        <v>0</v>
      </c>
      <c r="N909" s="13">
        <v>0</v>
      </c>
      <c r="O909" s="11">
        <v>0</v>
      </c>
      <c r="P909" s="11">
        <v>2</v>
      </c>
      <c r="Q909" s="13">
        <f>K909+N909</f>
        <v>0</v>
      </c>
      <c r="R909" s="11">
        <f>L909+O909</f>
        <v>0</v>
      </c>
      <c r="S909" s="11">
        <f>M909+P909</f>
        <v>2</v>
      </c>
      <c r="T909" s="8">
        <f>I909-Q909</f>
        <v>0</v>
      </c>
      <c r="U909" s="18">
        <v>4.946250180165334E-2</v>
      </c>
      <c r="V909" s="11">
        <v>0.5</v>
      </c>
      <c r="W909" s="11">
        <v>2</v>
      </c>
      <c r="X909" s="11">
        <v>2</v>
      </c>
      <c r="Y909" s="11">
        <v>0</v>
      </c>
      <c r="Z909" t="s">
        <v>15</v>
      </c>
    </row>
    <row r="910" spans="1:26" x14ac:dyDescent="0.25">
      <c r="A910" s="20" t="s">
        <v>1482</v>
      </c>
      <c r="B910" s="20" t="s">
        <v>91</v>
      </c>
      <c r="C910" s="20" t="s">
        <v>1483</v>
      </c>
      <c r="D910" s="20" t="s">
        <v>216</v>
      </c>
      <c r="E910" s="13">
        <v>15569.97</v>
      </c>
      <c r="F910" s="11">
        <v>1</v>
      </c>
      <c r="G910" s="13">
        <v>14244.12</v>
      </c>
      <c r="H910" s="11">
        <v>1</v>
      </c>
      <c r="I910" s="13">
        <f>E910+G910</f>
        <v>29814.09</v>
      </c>
      <c r="J910" s="11">
        <f>F910+H910</f>
        <v>2</v>
      </c>
      <c r="K910" s="13">
        <v>10166</v>
      </c>
      <c r="L910" s="11">
        <v>2</v>
      </c>
      <c r="M910" s="11">
        <v>11</v>
      </c>
      <c r="N910" s="13">
        <v>5389</v>
      </c>
      <c r="O910" s="11">
        <v>0</v>
      </c>
      <c r="P910" s="11">
        <v>4</v>
      </c>
      <c r="Q910" s="13">
        <f>K910+N910</f>
        <v>15555</v>
      </c>
      <c r="R910" s="11">
        <f>L910+O910</f>
        <v>2</v>
      </c>
      <c r="S910" s="11">
        <f>M910+P910</f>
        <v>15</v>
      </c>
      <c r="T910" s="8">
        <f>I910-Q910</f>
        <v>14259.09</v>
      </c>
      <c r="U910" s="18">
        <v>0.2353077467838629</v>
      </c>
      <c r="V910" s="11">
        <v>0.38</v>
      </c>
      <c r="W910" s="11">
        <v>18</v>
      </c>
      <c r="X910" s="11">
        <v>29</v>
      </c>
      <c r="Y910" s="11">
        <v>1</v>
      </c>
      <c r="Z910" t="s">
        <v>15</v>
      </c>
    </row>
    <row r="911" spans="1:26" x14ac:dyDescent="0.25">
      <c r="A911" s="20" t="s">
        <v>1484</v>
      </c>
      <c r="B911" s="20" t="s">
        <v>60</v>
      </c>
      <c r="C911" s="20" t="s">
        <v>1485</v>
      </c>
      <c r="D911" s="20" t="s">
        <v>216</v>
      </c>
      <c r="E911" s="13">
        <v>0</v>
      </c>
      <c r="F911" s="11">
        <v>0</v>
      </c>
      <c r="G911" s="13">
        <v>0</v>
      </c>
      <c r="H911" s="11">
        <v>0</v>
      </c>
      <c r="I911" s="13">
        <f>E911+G911</f>
        <v>0</v>
      </c>
      <c r="J911" s="11">
        <f>F911+H911</f>
        <v>0</v>
      </c>
      <c r="K911" s="13">
        <v>0</v>
      </c>
      <c r="L911" s="11">
        <v>0</v>
      </c>
      <c r="M911" s="11">
        <v>0</v>
      </c>
      <c r="N911" s="13">
        <v>1547</v>
      </c>
      <c r="O911" s="11">
        <v>1</v>
      </c>
      <c r="P911" s="11">
        <v>2</v>
      </c>
      <c r="Q911" s="13">
        <f>K911+N911</f>
        <v>1547</v>
      </c>
      <c r="R911" s="11">
        <f>L911+O911</f>
        <v>1</v>
      </c>
      <c r="S911" s="11">
        <f>M911+P911</f>
        <v>2</v>
      </c>
      <c r="T911" s="8">
        <f>I911-Q911</f>
        <v>-1547</v>
      </c>
      <c r="U911" s="18">
        <v>0.44375262895380918</v>
      </c>
      <c r="V911" s="11">
        <v>0.5</v>
      </c>
      <c r="W911" s="11">
        <v>1</v>
      </c>
      <c r="X911" s="11">
        <v>1</v>
      </c>
      <c r="Y911" s="11">
        <v>2</v>
      </c>
      <c r="Z911" t="s">
        <v>15</v>
      </c>
    </row>
    <row r="912" spans="1:26" x14ac:dyDescent="0.25">
      <c r="A912" s="20" t="s">
        <v>1486</v>
      </c>
      <c r="B912" s="20" t="s">
        <v>91</v>
      </c>
      <c r="C912" s="20" t="s">
        <v>1487</v>
      </c>
      <c r="D912" s="20" t="s">
        <v>216</v>
      </c>
      <c r="E912" s="13">
        <v>0</v>
      </c>
      <c r="F912" s="11">
        <v>0</v>
      </c>
      <c r="G912" s="13">
        <v>0</v>
      </c>
      <c r="H912" s="11">
        <v>0</v>
      </c>
      <c r="I912" s="13">
        <f>E912+G912</f>
        <v>0</v>
      </c>
      <c r="J912" s="11">
        <f>F912+H912</f>
        <v>0</v>
      </c>
      <c r="K912" s="13">
        <v>0</v>
      </c>
      <c r="L912" s="11">
        <v>0</v>
      </c>
      <c r="M912" s="11">
        <v>0</v>
      </c>
      <c r="N912" s="13">
        <v>0</v>
      </c>
      <c r="O912" s="11">
        <v>0</v>
      </c>
      <c r="P912" s="11">
        <v>0</v>
      </c>
      <c r="Q912" s="13">
        <f>K912+N912</f>
        <v>0</v>
      </c>
      <c r="R912" s="11">
        <f>L912+O912</f>
        <v>0</v>
      </c>
      <c r="S912" s="11">
        <f>M912+P912</f>
        <v>0</v>
      </c>
      <c r="T912" s="8">
        <f>I912-Q912</f>
        <v>0</v>
      </c>
      <c r="U912" s="18">
        <v>-0.20118658530043187</v>
      </c>
      <c r="V912" s="11">
        <v>0</v>
      </c>
      <c r="W912" s="11">
        <v>0</v>
      </c>
      <c r="X912" s="11">
        <v>0</v>
      </c>
      <c r="Y912" s="11">
        <v>0</v>
      </c>
      <c r="Z912" t="s">
        <v>15</v>
      </c>
    </row>
    <row r="913" spans="1:26" x14ac:dyDescent="0.25">
      <c r="A913" s="20" t="s">
        <v>1468</v>
      </c>
      <c r="B913" s="20" t="s">
        <v>3591</v>
      </c>
      <c r="C913" s="20" t="s">
        <v>3592</v>
      </c>
      <c r="D913" s="20" t="s">
        <v>215</v>
      </c>
      <c r="E913" s="13">
        <v>0</v>
      </c>
      <c r="F913" s="11">
        <v>0</v>
      </c>
      <c r="G913" s="13">
        <v>0</v>
      </c>
      <c r="H913" s="11">
        <v>0</v>
      </c>
      <c r="I913" s="13">
        <f>E913+G913</f>
        <v>0</v>
      </c>
      <c r="J913" s="11">
        <f>F913+H913</f>
        <v>0</v>
      </c>
      <c r="K913" s="13">
        <v>274.55</v>
      </c>
      <c r="L913" s="11">
        <v>0</v>
      </c>
      <c r="M913" s="11">
        <v>0</v>
      </c>
      <c r="N913" s="13">
        <v>0</v>
      </c>
      <c r="O913" s="11">
        <v>0</v>
      </c>
      <c r="P913" s="11">
        <v>0</v>
      </c>
      <c r="Q913" s="13">
        <f>K913+N913</f>
        <v>274.55</v>
      </c>
      <c r="R913" s="11">
        <f>L913+O913</f>
        <v>0</v>
      </c>
      <c r="S913" s="11">
        <f>M913+P913</f>
        <v>0</v>
      </c>
      <c r="T913" s="8">
        <f>I913-Q913</f>
        <v>-274.55</v>
      </c>
      <c r="U913" s="18" t="s">
        <v>1803</v>
      </c>
      <c r="V913" s="11">
        <v>0</v>
      </c>
      <c r="W913" s="11">
        <v>0</v>
      </c>
      <c r="X913" s="11">
        <v>3</v>
      </c>
      <c r="Y913" s="11">
        <v>0</v>
      </c>
      <c r="Z913" t="s">
        <v>15</v>
      </c>
    </row>
    <row r="914" spans="1:26" x14ac:dyDescent="0.25">
      <c r="A914" s="20" t="s">
        <v>1489</v>
      </c>
      <c r="B914" s="20" t="s">
        <v>756</v>
      </c>
      <c r="C914" s="20" t="s">
        <v>1490</v>
      </c>
      <c r="D914" s="20" t="s">
        <v>216</v>
      </c>
      <c r="E914" s="13">
        <v>0</v>
      </c>
      <c r="F914" s="11">
        <v>0</v>
      </c>
      <c r="G914" s="13">
        <v>0</v>
      </c>
      <c r="H914" s="11">
        <v>0</v>
      </c>
      <c r="I914" s="13">
        <f>E914+G914</f>
        <v>0</v>
      </c>
      <c r="J914" s="11">
        <f>F914+H914</f>
        <v>0</v>
      </c>
      <c r="K914" s="13">
        <v>0</v>
      </c>
      <c r="L914" s="11">
        <v>0</v>
      </c>
      <c r="M914" s="11">
        <v>0</v>
      </c>
      <c r="N914" s="13">
        <v>0</v>
      </c>
      <c r="O914" s="11">
        <v>0</v>
      </c>
      <c r="P914" s="11">
        <v>0</v>
      </c>
      <c r="Q914" s="13">
        <f>K914+N914</f>
        <v>0</v>
      </c>
      <c r="R914" s="11">
        <f>L914+O914</f>
        <v>0</v>
      </c>
      <c r="S914" s="11">
        <f>M914+P914</f>
        <v>0</v>
      </c>
      <c r="T914" s="8">
        <f>I914-Q914</f>
        <v>0</v>
      </c>
      <c r="U914" s="18" t="s">
        <v>1803</v>
      </c>
      <c r="V914" s="11">
        <v>0</v>
      </c>
      <c r="W914" s="11">
        <v>0</v>
      </c>
      <c r="X914" s="11">
        <v>0</v>
      </c>
      <c r="Y914" s="11">
        <v>0</v>
      </c>
      <c r="Z914" t="s">
        <v>15</v>
      </c>
    </row>
    <row r="915" spans="1:26" x14ac:dyDescent="0.25">
      <c r="A915" s="20" t="s">
        <v>1491</v>
      </c>
      <c r="B915" s="20" t="s">
        <v>756</v>
      </c>
      <c r="C915" s="20" t="s">
        <v>1492</v>
      </c>
      <c r="D915" s="20" t="s">
        <v>216</v>
      </c>
      <c r="E915" s="13">
        <v>0</v>
      </c>
      <c r="F915" s="11">
        <v>0</v>
      </c>
      <c r="G915" s="13">
        <v>0</v>
      </c>
      <c r="H915" s="11">
        <v>0</v>
      </c>
      <c r="I915" s="13">
        <f>E915+G915</f>
        <v>0</v>
      </c>
      <c r="J915" s="11">
        <f>F915+H915</f>
        <v>0</v>
      </c>
      <c r="K915" s="13">
        <v>0</v>
      </c>
      <c r="L915" s="11">
        <v>0</v>
      </c>
      <c r="M915" s="11">
        <v>0</v>
      </c>
      <c r="N915" s="13">
        <v>0</v>
      </c>
      <c r="O915" s="11">
        <v>0</v>
      </c>
      <c r="P915" s="11">
        <v>0</v>
      </c>
      <c r="Q915" s="13">
        <f>K915+N915</f>
        <v>0</v>
      </c>
      <c r="R915" s="11">
        <f>L915+O915</f>
        <v>0</v>
      </c>
      <c r="S915" s="11">
        <f>M915+P915</f>
        <v>0</v>
      </c>
      <c r="T915" s="8">
        <f>I915-Q915</f>
        <v>0</v>
      </c>
      <c r="U915" s="18" t="s">
        <v>1803</v>
      </c>
      <c r="V915" s="11">
        <v>0</v>
      </c>
      <c r="W915" s="11">
        <v>0</v>
      </c>
      <c r="X915" s="11">
        <v>0</v>
      </c>
      <c r="Y915" s="11">
        <v>0</v>
      </c>
      <c r="Z915" t="s">
        <v>15</v>
      </c>
    </row>
    <row r="916" spans="1:26" x14ac:dyDescent="0.25">
      <c r="A916" s="20" t="s">
        <v>1499</v>
      </c>
      <c r="B916" s="20" t="s">
        <v>202</v>
      </c>
      <c r="C916" s="20" t="s">
        <v>320</v>
      </c>
      <c r="D916" s="20" t="s">
        <v>216</v>
      </c>
      <c r="E916" s="13">
        <v>1379</v>
      </c>
      <c r="F916" s="11">
        <v>0</v>
      </c>
      <c r="G916" s="13">
        <v>3406</v>
      </c>
      <c r="H916" s="11">
        <v>1</v>
      </c>
      <c r="I916" s="13">
        <f>E916+G916</f>
        <v>4785</v>
      </c>
      <c r="J916" s="11">
        <f>F916+H916</f>
        <v>1</v>
      </c>
      <c r="K916" s="13">
        <v>19589</v>
      </c>
      <c r="L916" s="11">
        <v>0</v>
      </c>
      <c r="M916" s="11">
        <v>0</v>
      </c>
      <c r="N916" s="13">
        <v>23531.09</v>
      </c>
      <c r="O916" s="11">
        <v>4</v>
      </c>
      <c r="P916" s="11">
        <v>7</v>
      </c>
      <c r="Q916" s="13">
        <f>K916+N916</f>
        <v>43120.09</v>
      </c>
      <c r="R916" s="11">
        <f>L916+O916</f>
        <v>4</v>
      </c>
      <c r="S916" s="11">
        <f>M916+P916</f>
        <v>7</v>
      </c>
      <c r="T916" s="8">
        <f>I916-Q916</f>
        <v>-38335.089999999997</v>
      </c>
      <c r="U916" s="18">
        <v>1.8077644938908257E-2</v>
      </c>
      <c r="V916" s="11">
        <v>0.31</v>
      </c>
      <c r="W916" s="11">
        <v>4</v>
      </c>
      <c r="X916" s="11">
        <v>9</v>
      </c>
      <c r="Y916" s="11">
        <v>2</v>
      </c>
      <c r="Z916" t="s">
        <v>15</v>
      </c>
    </row>
    <row r="917" spans="1:26" x14ac:dyDescent="0.25">
      <c r="A917" s="20" t="s">
        <v>1500</v>
      </c>
      <c r="B917" s="20" t="s">
        <v>1465</v>
      </c>
      <c r="C917" s="20" t="s">
        <v>1501</v>
      </c>
      <c r="D917" s="20" t="s">
        <v>216</v>
      </c>
      <c r="E917" s="13">
        <v>0</v>
      </c>
      <c r="F917" s="11">
        <v>0</v>
      </c>
      <c r="G917" s="13">
        <v>0</v>
      </c>
      <c r="H917" s="11">
        <v>0</v>
      </c>
      <c r="I917" s="13">
        <f>E917+G917</f>
        <v>0</v>
      </c>
      <c r="J917" s="11">
        <f>F917+H917</f>
        <v>0</v>
      </c>
      <c r="K917" s="13">
        <v>0</v>
      </c>
      <c r="L917" s="11">
        <v>0</v>
      </c>
      <c r="M917" s="11">
        <v>0</v>
      </c>
      <c r="N917" s="13">
        <v>0</v>
      </c>
      <c r="O917" s="11">
        <v>0</v>
      </c>
      <c r="P917" s="11">
        <v>1</v>
      </c>
      <c r="Q917" s="13">
        <f>K917+N917</f>
        <v>0</v>
      </c>
      <c r="R917" s="11">
        <f>L917+O917</f>
        <v>0</v>
      </c>
      <c r="S917" s="11">
        <f>M917+P917</f>
        <v>1</v>
      </c>
      <c r="T917" s="8">
        <f>I917-Q917</f>
        <v>0</v>
      </c>
      <c r="U917" s="18">
        <v>9.1207201737208338E-2</v>
      </c>
      <c r="V917" s="11">
        <v>0.25</v>
      </c>
      <c r="W917" s="11">
        <v>1</v>
      </c>
      <c r="X917" s="11">
        <v>3</v>
      </c>
      <c r="Y917" s="11">
        <v>1</v>
      </c>
      <c r="Z917" t="s">
        <v>15</v>
      </c>
    </row>
    <row r="918" spans="1:26" x14ac:dyDescent="0.25">
      <c r="A918" s="20" t="s">
        <v>1504</v>
      </c>
      <c r="B918" s="20" t="s">
        <v>1465</v>
      </c>
      <c r="C918" s="20" t="s">
        <v>1505</v>
      </c>
      <c r="D918" s="20" t="s">
        <v>216</v>
      </c>
      <c r="E918" s="13">
        <v>0</v>
      </c>
      <c r="F918" s="11">
        <v>0</v>
      </c>
      <c r="G918" s="13">
        <v>7373</v>
      </c>
      <c r="H918" s="11">
        <v>0</v>
      </c>
      <c r="I918" s="13">
        <f>E918+G918</f>
        <v>7373</v>
      </c>
      <c r="J918" s="11">
        <f>F918+H918</f>
        <v>0</v>
      </c>
      <c r="K918" s="13">
        <v>0</v>
      </c>
      <c r="L918" s="11">
        <v>0</v>
      </c>
      <c r="M918" s="11">
        <v>0</v>
      </c>
      <c r="N918" s="13">
        <v>6767</v>
      </c>
      <c r="O918" s="11">
        <v>0</v>
      </c>
      <c r="P918" s="11">
        <v>0</v>
      </c>
      <c r="Q918" s="13">
        <f>K918+N918</f>
        <v>6767</v>
      </c>
      <c r="R918" s="11">
        <f>L918+O918</f>
        <v>0</v>
      </c>
      <c r="S918" s="11">
        <f>M918+P918</f>
        <v>0</v>
      </c>
      <c r="T918" s="8">
        <f>I918-Q918</f>
        <v>606</v>
      </c>
      <c r="U918" s="18">
        <v>6.4744833864223097E-2</v>
      </c>
      <c r="V918" s="11">
        <v>0</v>
      </c>
      <c r="W918" s="11">
        <v>0</v>
      </c>
      <c r="X918" s="11">
        <v>1</v>
      </c>
      <c r="Y918" s="11">
        <v>0</v>
      </c>
      <c r="Z918" t="s">
        <v>15</v>
      </c>
    </row>
    <row r="919" spans="1:26" x14ac:dyDescent="0.25">
      <c r="A919" s="20" t="s">
        <v>1508</v>
      </c>
      <c r="B919" s="20" t="s">
        <v>60</v>
      </c>
      <c r="C919" s="20" t="s">
        <v>1509</v>
      </c>
      <c r="D919" s="20" t="s">
        <v>216</v>
      </c>
      <c r="E919" s="13">
        <v>4636</v>
      </c>
      <c r="F919" s="11">
        <v>0</v>
      </c>
      <c r="G919" s="13">
        <v>0</v>
      </c>
      <c r="H919" s="11">
        <v>0</v>
      </c>
      <c r="I919" s="13">
        <f>E919+G919</f>
        <v>4636</v>
      </c>
      <c r="J919" s="11">
        <f>F919+H919</f>
        <v>0</v>
      </c>
      <c r="K919" s="13">
        <v>4389</v>
      </c>
      <c r="L919" s="11">
        <v>0</v>
      </c>
      <c r="M919" s="11">
        <v>0</v>
      </c>
      <c r="N919" s="13">
        <v>0</v>
      </c>
      <c r="O919" s="11">
        <v>0</v>
      </c>
      <c r="P919" s="11">
        <v>0</v>
      </c>
      <c r="Q919" s="13">
        <f>K919+N919</f>
        <v>4389</v>
      </c>
      <c r="R919" s="11">
        <f>L919+O919</f>
        <v>0</v>
      </c>
      <c r="S919" s="11">
        <f>M919+P919</f>
        <v>0</v>
      </c>
      <c r="T919" s="8">
        <f>I919-Q919</f>
        <v>247</v>
      </c>
      <c r="U919" s="18">
        <v>4.4155616552917949E-2</v>
      </c>
      <c r="V919" s="11">
        <v>0</v>
      </c>
      <c r="W919" s="11">
        <v>0</v>
      </c>
      <c r="X919" s="11">
        <v>0</v>
      </c>
      <c r="Y919" s="11">
        <v>0</v>
      </c>
      <c r="Z919" t="s">
        <v>15</v>
      </c>
    </row>
    <row r="920" spans="1:26" x14ac:dyDescent="0.25">
      <c r="A920" s="20" t="s">
        <v>1510</v>
      </c>
      <c r="B920" s="20" t="s">
        <v>257</v>
      </c>
      <c r="C920" s="20" t="s">
        <v>1477</v>
      </c>
      <c r="D920" s="20" t="s">
        <v>216</v>
      </c>
      <c r="E920" s="13">
        <v>19078.62</v>
      </c>
      <c r="F920" s="11">
        <v>1</v>
      </c>
      <c r="G920" s="13">
        <v>41887.25</v>
      </c>
      <c r="H920" s="11">
        <v>2</v>
      </c>
      <c r="I920" s="13">
        <f>E920+G920</f>
        <v>60965.869999999995</v>
      </c>
      <c r="J920" s="11">
        <f>F920+H920</f>
        <v>3</v>
      </c>
      <c r="K920" s="13">
        <v>17631.57</v>
      </c>
      <c r="L920" s="11">
        <v>3</v>
      </c>
      <c r="M920" s="11">
        <v>8</v>
      </c>
      <c r="N920" s="13">
        <v>35841.75</v>
      </c>
      <c r="O920" s="11">
        <v>4</v>
      </c>
      <c r="P920" s="11">
        <v>12</v>
      </c>
      <c r="Q920" s="13">
        <f>K920+N920</f>
        <v>53473.32</v>
      </c>
      <c r="R920" s="11">
        <f>L920+O920</f>
        <v>7</v>
      </c>
      <c r="S920" s="11">
        <f>M920+P920</f>
        <v>20</v>
      </c>
      <c r="T920" s="8">
        <f>I920-Q920</f>
        <v>7492.5499999999956</v>
      </c>
      <c r="U920" s="18">
        <v>0.32131509614420728</v>
      </c>
      <c r="V920" s="11">
        <v>0.41</v>
      </c>
      <c r="W920" s="11">
        <v>17</v>
      </c>
      <c r="X920" s="11">
        <v>24</v>
      </c>
      <c r="Y920" s="11">
        <v>4</v>
      </c>
      <c r="Z920" t="s">
        <v>15</v>
      </c>
    </row>
    <row r="921" spans="1:26" x14ac:dyDescent="0.25">
      <c r="A921" s="20" t="s">
        <v>1511</v>
      </c>
      <c r="B921" s="20" t="s">
        <v>1377</v>
      </c>
      <c r="C921" s="20" t="s">
        <v>1512</v>
      </c>
      <c r="D921" s="20" t="s">
        <v>216</v>
      </c>
      <c r="E921" s="13">
        <v>0</v>
      </c>
      <c r="F921" s="11">
        <v>0</v>
      </c>
      <c r="G921" s="13">
        <v>0</v>
      </c>
      <c r="H921" s="11">
        <v>0</v>
      </c>
      <c r="I921" s="13">
        <f>E921+G921</f>
        <v>0</v>
      </c>
      <c r="J921" s="11">
        <f>F921+H921</f>
        <v>0</v>
      </c>
      <c r="K921" s="13">
        <v>0</v>
      </c>
      <c r="L921" s="11">
        <v>0</v>
      </c>
      <c r="M921" s="11">
        <v>0</v>
      </c>
      <c r="N921" s="13">
        <v>0</v>
      </c>
      <c r="O921" s="11">
        <v>0</v>
      </c>
      <c r="P921" s="11">
        <v>0</v>
      </c>
      <c r="Q921" s="13">
        <f>K921+N921</f>
        <v>0</v>
      </c>
      <c r="R921" s="11">
        <f>L921+O921</f>
        <v>0</v>
      </c>
      <c r="S921" s="11">
        <f>M921+P921</f>
        <v>0</v>
      </c>
      <c r="T921" s="8">
        <f>I921-Q921</f>
        <v>0</v>
      </c>
      <c r="U921" s="18" t="s">
        <v>1803</v>
      </c>
      <c r="V921" s="11">
        <v>0</v>
      </c>
      <c r="W921" s="11">
        <v>0</v>
      </c>
      <c r="X921" s="11">
        <v>0</v>
      </c>
      <c r="Y921" s="11">
        <v>0</v>
      </c>
      <c r="Z921" t="s">
        <v>15</v>
      </c>
    </row>
    <row r="922" spans="1:26" x14ac:dyDescent="0.25">
      <c r="A922" s="20" t="s">
        <v>1814</v>
      </c>
      <c r="B922" s="20" t="s">
        <v>202</v>
      </c>
      <c r="C922" s="20" t="s">
        <v>203</v>
      </c>
      <c r="D922" s="20" t="s">
        <v>216</v>
      </c>
      <c r="E922" s="13">
        <v>5074</v>
      </c>
      <c r="F922" s="11">
        <v>0</v>
      </c>
      <c r="G922" s="13">
        <v>0</v>
      </c>
      <c r="H922" s="11">
        <v>0</v>
      </c>
      <c r="I922" s="13">
        <f>E922+G922</f>
        <v>5074</v>
      </c>
      <c r="J922" s="11">
        <f>F922+H922</f>
        <v>0</v>
      </c>
      <c r="K922" s="13">
        <v>5461</v>
      </c>
      <c r="L922" s="11">
        <v>0</v>
      </c>
      <c r="M922" s="11">
        <v>0</v>
      </c>
      <c r="N922" s="13">
        <v>-773.76</v>
      </c>
      <c r="O922" s="11">
        <v>0</v>
      </c>
      <c r="P922" s="11">
        <v>0</v>
      </c>
      <c r="Q922" s="13">
        <f>K922+N922</f>
        <v>4687.24</v>
      </c>
      <c r="R922" s="11">
        <f>L922+O922</f>
        <v>0</v>
      </c>
      <c r="S922" s="11">
        <f>M922+P922</f>
        <v>0</v>
      </c>
      <c r="T922" s="8">
        <f>I922-Q922</f>
        <v>386.76000000000022</v>
      </c>
      <c r="U922" s="18">
        <v>7.5713857237957993E-3</v>
      </c>
      <c r="V922" s="11">
        <v>0</v>
      </c>
      <c r="W922" s="11">
        <v>0</v>
      </c>
      <c r="X922" s="11">
        <v>4</v>
      </c>
      <c r="Y922" s="11">
        <v>0</v>
      </c>
      <c r="Z922" t="s">
        <v>15</v>
      </c>
    </row>
    <row r="923" spans="1:26" x14ac:dyDescent="0.25">
      <c r="A923" s="20" t="s">
        <v>3041</v>
      </c>
      <c r="B923" s="20" t="s">
        <v>202</v>
      </c>
      <c r="C923" s="20" t="s">
        <v>3042</v>
      </c>
      <c r="D923" s="20" t="s">
        <v>216</v>
      </c>
      <c r="E923" s="13">
        <v>0</v>
      </c>
      <c r="F923" s="11">
        <v>0</v>
      </c>
      <c r="G923" s="13">
        <v>2908</v>
      </c>
      <c r="H923" s="11">
        <v>1</v>
      </c>
      <c r="I923" s="13">
        <f>E923+G923</f>
        <v>2908</v>
      </c>
      <c r="J923" s="11">
        <f>F923+H923</f>
        <v>1</v>
      </c>
      <c r="K923" s="13">
        <v>4414.99</v>
      </c>
      <c r="L923" s="11">
        <v>1</v>
      </c>
      <c r="M923" s="11">
        <v>1</v>
      </c>
      <c r="N923" s="13">
        <v>-720.5</v>
      </c>
      <c r="O923" s="11">
        <v>0</v>
      </c>
      <c r="P923" s="11">
        <v>0</v>
      </c>
      <c r="Q923" s="13">
        <f>K923+N923</f>
        <v>3694.49</v>
      </c>
      <c r="R923" s="11">
        <f>L923+O923</f>
        <v>1</v>
      </c>
      <c r="S923" s="11">
        <f>M923+P923</f>
        <v>1</v>
      </c>
      <c r="T923" s="8">
        <f>I923-Q923</f>
        <v>-786.48999999999978</v>
      </c>
      <c r="U923" s="18">
        <v>6.4014173243362213E-2</v>
      </c>
      <c r="V923" s="11">
        <v>0.25</v>
      </c>
      <c r="W923" s="11">
        <v>1</v>
      </c>
      <c r="X923" s="11">
        <v>3</v>
      </c>
      <c r="Y923" s="11">
        <v>0</v>
      </c>
      <c r="Z923" t="s">
        <v>15</v>
      </c>
    </row>
    <row r="924" spans="1:26" x14ac:dyDescent="0.25">
      <c r="A924" s="20" t="s">
        <v>3043</v>
      </c>
      <c r="B924" s="20" t="s">
        <v>83</v>
      </c>
      <c r="C924" s="20" t="s">
        <v>638</v>
      </c>
      <c r="D924" s="20" t="s">
        <v>216</v>
      </c>
      <c r="E924" s="13">
        <v>0</v>
      </c>
      <c r="F924" s="11">
        <v>0</v>
      </c>
      <c r="G924" s="13">
        <v>0</v>
      </c>
      <c r="H924" s="11">
        <v>0</v>
      </c>
      <c r="I924" s="13">
        <f>E924+G924</f>
        <v>0</v>
      </c>
      <c r="J924" s="11">
        <f>F924+H924</f>
        <v>0</v>
      </c>
      <c r="K924" s="13">
        <v>0</v>
      </c>
      <c r="L924" s="11">
        <v>0</v>
      </c>
      <c r="M924" s="11">
        <v>0</v>
      </c>
      <c r="N924" s="13">
        <v>0</v>
      </c>
      <c r="O924" s="11">
        <v>0</v>
      </c>
      <c r="P924" s="11">
        <v>0</v>
      </c>
      <c r="Q924" s="13">
        <f>K924+N924</f>
        <v>0</v>
      </c>
      <c r="R924" s="11">
        <f>L924+O924</f>
        <v>0</v>
      </c>
      <c r="S924" s="11">
        <f>M924+P924</f>
        <v>0</v>
      </c>
      <c r="T924" s="8">
        <f>I924-Q924</f>
        <v>0</v>
      </c>
      <c r="U924" s="18">
        <v>2.541420798515143E-2</v>
      </c>
      <c r="V924" s="11">
        <v>0</v>
      </c>
      <c r="W924" s="11">
        <v>0</v>
      </c>
      <c r="X924" s="11">
        <v>1</v>
      </c>
      <c r="Y924" s="11">
        <v>0</v>
      </c>
      <c r="Z924" t="s">
        <v>15</v>
      </c>
    </row>
    <row r="925" spans="1:26" x14ac:dyDescent="0.25">
      <c r="A925" s="20" t="s">
        <v>3044</v>
      </c>
      <c r="B925" s="20" t="s">
        <v>91</v>
      </c>
      <c r="C925" s="20" t="s">
        <v>3045</v>
      </c>
      <c r="D925" s="20" t="s">
        <v>216</v>
      </c>
      <c r="E925" s="13">
        <v>0</v>
      </c>
      <c r="F925" s="11">
        <v>0</v>
      </c>
      <c r="G925" s="13">
        <v>0</v>
      </c>
      <c r="H925" s="11">
        <v>0</v>
      </c>
      <c r="I925" s="13">
        <f>E925+G925</f>
        <v>0</v>
      </c>
      <c r="J925" s="11">
        <f>F925+H925</f>
        <v>0</v>
      </c>
      <c r="K925" s="13">
        <v>0</v>
      </c>
      <c r="L925" s="11">
        <v>0</v>
      </c>
      <c r="M925" s="11">
        <v>0</v>
      </c>
      <c r="N925" s="13">
        <v>0</v>
      </c>
      <c r="O925" s="11">
        <v>0</v>
      </c>
      <c r="P925" s="11">
        <v>0</v>
      </c>
      <c r="Q925" s="13">
        <f>K925+N925</f>
        <v>0</v>
      </c>
      <c r="R925" s="11">
        <f>L925+O925</f>
        <v>0</v>
      </c>
      <c r="S925" s="11">
        <f>M925+P925</f>
        <v>0</v>
      </c>
      <c r="T925" s="8">
        <f>I925-Q925</f>
        <v>0</v>
      </c>
      <c r="U925" s="18">
        <v>3.1600446416474949E-2</v>
      </c>
      <c r="V925" s="11">
        <v>0</v>
      </c>
      <c r="W925" s="11">
        <v>0</v>
      </c>
      <c r="X925" s="11">
        <v>5</v>
      </c>
      <c r="Y925" s="11">
        <v>7</v>
      </c>
      <c r="Z925" t="s">
        <v>15</v>
      </c>
    </row>
    <row r="926" spans="1:26" x14ac:dyDescent="0.25">
      <c r="A926" s="20" t="s">
        <v>3056</v>
      </c>
      <c r="B926" s="20" t="s">
        <v>257</v>
      </c>
      <c r="C926" s="20" t="s">
        <v>1436</v>
      </c>
      <c r="D926" s="20" t="s">
        <v>216</v>
      </c>
      <c r="E926" s="13">
        <v>38455.699999999997</v>
      </c>
      <c r="F926" s="11">
        <v>1</v>
      </c>
      <c r="G926" s="13">
        <v>48887</v>
      </c>
      <c r="H926" s="11">
        <v>2</v>
      </c>
      <c r="I926" s="13">
        <f>E926+G926</f>
        <v>87342.7</v>
      </c>
      <c r="J926" s="11">
        <f>F926+H926</f>
        <v>3</v>
      </c>
      <c r="K926" s="13">
        <v>47680.99</v>
      </c>
      <c r="L926" s="11">
        <v>0</v>
      </c>
      <c r="M926" s="11">
        <v>1</v>
      </c>
      <c r="N926" s="13">
        <v>56820</v>
      </c>
      <c r="O926" s="11">
        <v>0</v>
      </c>
      <c r="P926" s="11">
        <v>6</v>
      </c>
      <c r="Q926" s="13">
        <f>K926+N926</f>
        <v>104500.98999999999</v>
      </c>
      <c r="R926" s="11">
        <f>L926+O926</f>
        <v>0</v>
      </c>
      <c r="S926" s="11">
        <f>M926+P926</f>
        <v>7</v>
      </c>
      <c r="T926" s="8">
        <f>I926-Q926</f>
        <v>-17158.289999999994</v>
      </c>
      <c r="U926" s="18">
        <v>7.6411750146958599E-2</v>
      </c>
      <c r="V926" s="11">
        <v>0.22</v>
      </c>
      <c r="W926" s="11">
        <v>10</v>
      </c>
      <c r="X926" s="11">
        <v>36</v>
      </c>
      <c r="Y926" s="11">
        <v>14</v>
      </c>
      <c r="Z926" t="s">
        <v>15</v>
      </c>
    </row>
    <row r="927" spans="1:26" x14ac:dyDescent="0.25">
      <c r="A927" s="20" t="s">
        <v>3122</v>
      </c>
      <c r="B927" s="20" t="s">
        <v>60</v>
      </c>
      <c r="C927" s="20" t="s">
        <v>3123</v>
      </c>
      <c r="D927" s="20" t="s">
        <v>216</v>
      </c>
      <c r="E927" s="13">
        <v>0</v>
      </c>
      <c r="F927" s="11">
        <v>0</v>
      </c>
      <c r="G927" s="13">
        <v>0</v>
      </c>
      <c r="H927" s="11">
        <v>0</v>
      </c>
      <c r="I927" s="13">
        <f>E927+G927</f>
        <v>0</v>
      </c>
      <c r="J927" s="11">
        <f>F927+H927</f>
        <v>0</v>
      </c>
      <c r="K927" s="13">
        <v>18379</v>
      </c>
      <c r="L927" s="11">
        <v>2</v>
      </c>
      <c r="M927" s="11">
        <v>4</v>
      </c>
      <c r="N927" s="13">
        <v>0</v>
      </c>
      <c r="O927" s="11">
        <v>0</v>
      </c>
      <c r="P927" s="11">
        <v>1</v>
      </c>
      <c r="Q927" s="13">
        <f>K927+N927</f>
        <v>18379</v>
      </c>
      <c r="R927" s="11">
        <f>L927+O927</f>
        <v>2</v>
      </c>
      <c r="S927" s="11">
        <f>M927+P927</f>
        <v>5</v>
      </c>
      <c r="T927" s="8">
        <f>I927-Q927</f>
        <v>-18379</v>
      </c>
      <c r="U927" s="18">
        <v>0.17989953010533175</v>
      </c>
      <c r="V927" s="11">
        <v>0.27</v>
      </c>
      <c r="W927" s="11">
        <v>3</v>
      </c>
      <c r="X927" s="11">
        <v>8</v>
      </c>
      <c r="Y927" s="11">
        <v>1</v>
      </c>
      <c r="Z927" t="s">
        <v>15</v>
      </c>
    </row>
    <row r="928" spans="1:26" x14ac:dyDescent="0.25">
      <c r="A928" s="20" t="s">
        <v>3135</v>
      </c>
      <c r="B928" s="20" t="s">
        <v>83</v>
      </c>
      <c r="C928" s="20" t="s">
        <v>3134</v>
      </c>
      <c r="D928" s="20" t="s">
        <v>216</v>
      </c>
      <c r="E928" s="13">
        <v>0</v>
      </c>
      <c r="F928" s="11">
        <v>0</v>
      </c>
      <c r="G928" s="13">
        <v>0</v>
      </c>
      <c r="H928" s="11">
        <v>0</v>
      </c>
      <c r="I928" s="13">
        <f>E928+G928</f>
        <v>0</v>
      </c>
      <c r="J928" s="11">
        <f>F928+H928</f>
        <v>0</v>
      </c>
      <c r="K928" s="13">
        <v>-9932</v>
      </c>
      <c r="L928" s="11">
        <v>0</v>
      </c>
      <c r="M928" s="11">
        <v>0</v>
      </c>
      <c r="N928" s="13">
        <v>0</v>
      </c>
      <c r="O928" s="11">
        <v>0</v>
      </c>
      <c r="P928" s="11">
        <v>0</v>
      </c>
      <c r="Q928" s="13">
        <f>K928+N928</f>
        <v>-9932</v>
      </c>
      <c r="R928" s="11">
        <f>L928+O928</f>
        <v>0</v>
      </c>
      <c r="S928" s="11">
        <f>M928+P928</f>
        <v>0</v>
      </c>
      <c r="T928" s="8">
        <f>I928-Q928</f>
        <v>9932</v>
      </c>
      <c r="U928" s="18">
        <v>-2.8432886739152206E-2</v>
      </c>
      <c r="V928" s="11">
        <v>0</v>
      </c>
      <c r="W928" s="11">
        <v>0</v>
      </c>
      <c r="X928" s="11">
        <v>0</v>
      </c>
      <c r="Y928" s="11">
        <v>0</v>
      </c>
      <c r="Z928" t="s">
        <v>15</v>
      </c>
    </row>
    <row r="929" spans="1:26" x14ac:dyDescent="0.25">
      <c r="A929" s="20" t="s">
        <v>3206</v>
      </c>
      <c r="B929" s="20" t="s">
        <v>257</v>
      </c>
      <c r="C929" s="20" t="s">
        <v>3207</v>
      </c>
      <c r="D929" s="20" t="s">
        <v>216</v>
      </c>
      <c r="E929" s="13">
        <v>0</v>
      </c>
      <c r="F929" s="11">
        <v>0</v>
      </c>
      <c r="G929" s="13">
        <v>0</v>
      </c>
      <c r="H929" s="11">
        <v>0</v>
      </c>
      <c r="I929" s="13">
        <f>E929+G929</f>
        <v>0</v>
      </c>
      <c r="J929" s="11">
        <f>F929+H929</f>
        <v>0</v>
      </c>
      <c r="K929" s="13">
        <v>0</v>
      </c>
      <c r="L929" s="11">
        <v>0</v>
      </c>
      <c r="M929" s="11">
        <v>0</v>
      </c>
      <c r="N929" s="13">
        <v>0</v>
      </c>
      <c r="O929" s="11">
        <v>0</v>
      </c>
      <c r="P929" s="11">
        <v>0</v>
      </c>
      <c r="Q929" s="13">
        <f>K929+N929</f>
        <v>0</v>
      </c>
      <c r="R929" s="11">
        <f>L929+O929</f>
        <v>0</v>
      </c>
      <c r="S929" s="11">
        <f>M929+P929</f>
        <v>0</v>
      </c>
      <c r="T929" s="8">
        <f>I929-Q929</f>
        <v>0</v>
      </c>
      <c r="U929" s="18">
        <v>2.7518290839738002E-2</v>
      </c>
      <c r="V929" s="11">
        <v>0</v>
      </c>
      <c r="W929" s="11">
        <v>0</v>
      </c>
      <c r="X929" s="11">
        <v>0</v>
      </c>
      <c r="Y929" s="11">
        <v>0</v>
      </c>
      <c r="Z929" t="s">
        <v>15</v>
      </c>
    </row>
    <row r="930" spans="1:26" x14ac:dyDescent="0.25">
      <c r="A930" s="20" t="s">
        <v>3208</v>
      </c>
      <c r="B930" s="20" t="s">
        <v>83</v>
      </c>
      <c r="C930" s="20" t="s">
        <v>266</v>
      </c>
      <c r="D930" s="20" t="s">
        <v>216</v>
      </c>
      <c r="E930" s="13">
        <v>0</v>
      </c>
      <c r="F930" s="11">
        <v>0</v>
      </c>
      <c r="G930" s="13">
        <v>0</v>
      </c>
      <c r="H930" s="11">
        <v>0</v>
      </c>
      <c r="I930" s="13">
        <f>E930+G930</f>
        <v>0</v>
      </c>
      <c r="J930" s="11">
        <f>F930+H930</f>
        <v>0</v>
      </c>
      <c r="K930" s="13">
        <v>2284</v>
      </c>
      <c r="L930" s="11">
        <v>0</v>
      </c>
      <c r="M930" s="11">
        <v>0</v>
      </c>
      <c r="N930" s="13">
        <v>0</v>
      </c>
      <c r="O930" s="11">
        <v>0</v>
      </c>
      <c r="P930" s="11">
        <v>0</v>
      </c>
      <c r="Q930" s="13">
        <f>K930+N930</f>
        <v>2284</v>
      </c>
      <c r="R930" s="11">
        <f>L930+O930</f>
        <v>0</v>
      </c>
      <c r="S930" s="11">
        <f>M930+P930</f>
        <v>0</v>
      </c>
      <c r="T930" s="8">
        <f>I930-Q930</f>
        <v>-2284</v>
      </c>
      <c r="U930" s="18">
        <v>-4.5788158454965276E-2</v>
      </c>
      <c r="V930" s="11">
        <v>0</v>
      </c>
      <c r="W930" s="11">
        <v>0</v>
      </c>
      <c r="X930" s="11">
        <v>1</v>
      </c>
      <c r="Y930" s="11">
        <v>0</v>
      </c>
      <c r="Z930" t="s">
        <v>15</v>
      </c>
    </row>
    <row r="931" spans="1:26" x14ac:dyDescent="0.25">
      <c r="A931" s="20" t="s">
        <v>3251</v>
      </c>
      <c r="B931" s="20" t="s">
        <v>1432</v>
      </c>
      <c r="C931" s="20" t="s">
        <v>3250</v>
      </c>
      <c r="D931" s="20" t="s">
        <v>216</v>
      </c>
      <c r="E931" s="13">
        <v>1557</v>
      </c>
      <c r="F931" s="11">
        <v>0</v>
      </c>
      <c r="G931" s="13">
        <v>0</v>
      </c>
      <c r="H931" s="11">
        <v>0</v>
      </c>
      <c r="I931" s="13">
        <f>E931+G931</f>
        <v>1557</v>
      </c>
      <c r="J931" s="11">
        <f>F931+H931</f>
        <v>0</v>
      </c>
      <c r="K931" s="13">
        <v>7591.1</v>
      </c>
      <c r="L931" s="11">
        <v>1</v>
      </c>
      <c r="M931" s="11">
        <v>1</v>
      </c>
      <c r="N931" s="13">
        <v>0</v>
      </c>
      <c r="O931" s="11">
        <v>0</v>
      </c>
      <c r="P931" s="11">
        <v>0</v>
      </c>
      <c r="Q931" s="13">
        <f>K931+N931</f>
        <v>7591.1</v>
      </c>
      <c r="R931" s="11">
        <f>L931+O931</f>
        <v>1</v>
      </c>
      <c r="S931" s="11">
        <f>M931+P931</f>
        <v>1</v>
      </c>
      <c r="T931" s="8">
        <f>I931-Q931</f>
        <v>-6034.1</v>
      </c>
      <c r="U931" s="18">
        <v>-1.6114004997247279E-2</v>
      </c>
      <c r="V931" s="11">
        <v>0</v>
      </c>
      <c r="W931" s="11">
        <v>0</v>
      </c>
      <c r="X931" s="11">
        <v>0</v>
      </c>
      <c r="Y931" s="11">
        <v>0</v>
      </c>
      <c r="Z931" t="s">
        <v>15</v>
      </c>
    </row>
    <row r="932" spans="1:26" x14ac:dyDescent="0.25">
      <c r="A932" s="20" t="s">
        <v>3275</v>
      </c>
      <c r="B932" s="20" t="s">
        <v>257</v>
      </c>
      <c r="C932" s="20" t="s">
        <v>3274</v>
      </c>
      <c r="D932" s="20" t="s">
        <v>215</v>
      </c>
      <c r="E932" s="13">
        <v>0</v>
      </c>
      <c r="F932" s="11">
        <v>0</v>
      </c>
      <c r="G932" s="13">
        <v>0</v>
      </c>
      <c r="H932" s="11">
        <v>0</v>
      </c>
      <c r="I932" s="13">
        <f>E932+G932</f>
        <v>0</v>
      </c>
      <c r="J932" s="11">
        <f>F932+H932</f>
        <v>0</v>
      </c>
      <c r="K932" s="13">
        <v>4078</v>
      </c>
      <c r="L932" s="11">
        <v>0</v>
      </c>
      <c r="M932" s="11">
        <v>0</v>
      </c>
      <c r="N932" s="13">
        <v>2214</v>
      </c>
      <c r="O932" s="11">
        <v>0</v>
      </c>
      <c r="P932" s="11">
        <v>0</v>
      </c>
      <c r="Q932" s="13">
        <f>K932+N932</f>
        <v>6292</v>
      </c>
      <c r="R932" s="11">
        <f>L932+O932</f>
        <v>0</v>
      </c>
      <c r="S932" s="11">
        <f>M932+P932</f>
        <v>0</v>
      </c>
      <c r="T932" s="8">
        <f>I932-Q932</f>
        <v>-6292</v>
      </c>
      <c r="U932" s="18">
        <v>9.3781877391307146E-3</v>
      </c>
      <c r="V932" s="11">
        <v>0</v>
      </c>
      <c r="W932" s="11">
        <v>0</v>
      </c>
      <c r="X932" s="11">
        <v>0</v>
      </c>
      <c r="Y932" s="11">
        <v>0</v>
      </c>
      <c r="Z932" t="s">
        <v>15</v>
      </c>
    </row>
    <row r="933" spans="1:26" x14ac:dyDescent="0.25">
      <c r="A933" s="20" t="s">
        <v>3426</v>
      </c>
      <c r="B933" s="20" t="s">
        <v>3252</v>
      </c>
      <c r="C933" s="20" t="s">
        <v>3427</v>
      </c>
      <c r="D933" s="20" t="s">
        <v>216</v>
      </c>
      <c r="E933" s="13">
        <v>0</v>
      </c>
      <c r="F933" s="11">
        <v>0</v>
      </c>
      <c r="G933" s="13">
        <v>2494</v>
      </c>
      <c r="H933" s="11">
        <v>0</v>
      </c>
      <c r="I933" s="13">
        <f>E933+G933</f>
        <v>2494</v>
      </c>
      <c r="J933" s="11">
        <f>F933+H933</f>
        <v>0</v>
      </c>
      <c r="K933" s="13">
        <v>0</v>
      </c>
      <c r="L933" s="11">
        <v>0</v>
      </c>
      <c r="M933" s="11">
        <v>0</v>
      </c>
      <c r="N933" s="13">
        <v>0</v>
      </c>
      <c r="O933" s="11">
        <v>0</v>
      </c>
      <c r="P933" s="11">
        <v>0</v>
      </c>
      <c r="Q933" s="13">
        <f>K933+N933</f>
        <v>0</v>
      </c>
      <c r="R933" s="11">
        <f>L933+O933</f>
        <v>0</v>
      </c>
      <c r="S933" s="11">
        <f>M933+P933</f>
        <v>0</v>
      </c>
      <c r="T933" s="8">
        <f>I933-Q933</f>
        <v>2494</v>
      </c>
      <c r="U933" s="18">
        <v>0.35852812681930141</v>
      </c>
      <c r="V933" s="11">
        <v>0</v>
      </c>
      <c r="W933" s="11">
        <v>0</v>
      </c>
      <c r="X933" s="11">
        <v>9</v>
      </c>
      <c r="Y933" s="11">
        <v>0</v>
      </c>
      <c r="Z933" t="s">
        <v>15</v>
      </c>
    </row>
    <row r="934" spans="1:26" x14ac:dyDescent="0.25">
      <c r="A934" s="20" t="s">
        <v>3577</v>
      </c>
      <c r="B934" s="20" t="s">
        <v>60</v>
      </c>
      <c r="C934" s="20" t="s">
        <v>3223</v>
      </c>
      <c r="D934" s="20" t="s">
        <v>216</v>
      </c>
      <c r="E934" s="13">
        <v>0</v>
      </c>
      <c r="F934" s="11">
        <v>0</v>
      </c>
      <c r="G934" s="13">
        <v>0</v>
      </c>
      <c r="H934" s="11">
        <v>0</v>
      </c>
      <c r="I934" s="13">
        <f>E934+G934</f>
        <v>0</v>
      </c>
      <c r="J934" s="11">
        <f>F934+H934</f>
        <v>0</v>
      </c>
      <c r="K934" s="13">
        <v>0</v>
      </c>
      <c r="L934" s="11">
        <v>0</v>
      </c>
      <c r="M934" s="11">
        <v>1</v>
      </c>
      <c r="N934" s="13">
        <v>0</v>
      </c>
      <c r="O934" s="11">
        <v>0</v>
      </c>
      <c r="P934" s="11">
        <v>0</v>
      </c>
      <c r="Q934" s="13">
        <f>K934+N934</f>
        <v>0</v>
      </c>
      <c r="R934" s="11">
        <f>L934+O934</f>
        <v>0</v>
      </c>
      <c r="S934" s="11">
        <f>M934+P934</f>
        <v>1</v>
      </c>
      <c r="T934" s="8">
        <f>I934-Q934</f>
        <v>0</v>
      </c>
      <c r="U934" s="18">
        <v>0.1810957879369216</v>
      </c>
      <c r="V934" s="11">
        <v>0.11</v>
      </c>
      <c r="W934" s="11">
        <v>1</v>
      </c>
      <c r="X934" s="11">
        <v>8</v>
      </c>
      <c r="Y934" s="11">
        <v>6</v>
      </c>
      <c r="Z934" t="s">
        <v>15</v>
      </c>
    </row>
    <row r="935" spans="1:26" x14ac:dyDescent="0.25">
      <c r="A935" s="20" t="s">
        <v>3591</v>
      </c>
      <c r="B935" s="20" t="s">
        <v>3591</v>
      </c>
      <c r="C935" s="20" t="s">
        <v>3592</v>
      </c>
      <c r="D935" s="20" t="s">
        <v>216</v>
      </c>
      <c r="E935" s="13">
        <v>602</v>
      </c>
      <c r="F935" s="11">
        <v>0</v>
      </c>
      <c r="G935" s="13">
        <v>0</v>
      </c>
      <c r="H935" s="11">
        <v>0</v>
      </c>
      <c r="I935" s="13">
        <f>E935+G935</f>
        <v>602</v>
      </c>
      <c r="J935" s="11">
        <f>F935+H935</f>
        <v>0</v>
      </c>
      <c r="K935" s="13">
        <v>0</v>
      </c>
      <c r="L935" s="11">
        <v>0</v>
      </c>
      <c r="M935" s="11">
        <v>0</v>
      </c>
      <c r="N935" s="13">
        <v>0</v>
      </c>
      <c r="O935" s="11">
        <v>0</v>
      </c>
      <c r="P935" s="11">
        <v>0</v>
      </c>
      <c r="Q935" s="13">
        <f>K935+N935</f>
        <v>0</v>
      </c>
      <c r="R935" s="11">
        <f>L935+O935</f>
        <v>0</v>
      </c>
      <c r="S935" s="11">
        <f>M935+P935</f>
        <v>0</v>
      </c>
      <c r="T935" s="8">
        <f>I935-Q935</f>
        <v>602</v>
      </c>
      <c r="U935" s="18">
        <v>0.20343923815044032</v>
      </c>
      <c r="V935" s="11">
        <v>0</v>
      </c>
      <c r="W935" s="11">
        <v>0</v>
      </c>
      <c r="X935" s="11">
        <v>0</v>
      </c>
      <c r="Y935" s="11">
        <v>0</v>
      </c>
      <c r="Z935" t="s">
        <v>15</v>
      </c>
    </row>
    <row r="936" spans="1:26" x14ac:dyDescent="0.25">
      <c r="A936" s="20" t="s">
        <v>3651</v>
      </c>
      <c r="B936" s="20" t="s">
        <v>60</v>
      </c>
      <c r="C936" s="20" t="s">
        <v>3652</v>
      </c>
      <c r="D936" s="20" t="s">
        <v>216</v>
      </c>
      <c r="E936" s="13">
        <v>0</v>
      </c>
      <c r="F936" s="11">
        <v>0</v>
      </c>
      <c r="G936" s="13">
        <v>0</v>
      </c>
      <c r="H936" s="11">
        <v>0</v>
      </c>
      <c r="I936" s="13">
        <f>E936+G936</f>
        <v>0</v>
      </c>
      <c r="J936" s="11">
        <f>F936+H936</f>
        <v>0</v>
      </c>
      <c r="K936" s="13">
        <v>0</v>
      </c>
      <c r="L936" s="11">
        <v>0</v>
      </c>
      <c r="M936" s="11">
        <v>0</v>
      </c>
      <c r="N936" s="13">
        <v>0</v>
      </c>
      <c r="O936" s="11">
        <v>0</v>
      </c>
      <c r="P936" s="11">
        <v>0</v>
      </c>
      <c r="Q936" s="13">
        <f>K936+N936</f>
        <v>0</v>
      </c>
      <c r="R936" s="11">
        <f>L936+O936</f>
        <v>0</v>
      </c>
      <c r="S936" s="11">
        <f>M936+P936</f>
        <v>0</v>
      </c>
      <c r="T936" s="8">
        <f>I936-Q936</f>
        <v>0</v>
      </c>
      <c r="U936" s="18" t="s">
        <v>1803</v>
      </c>
      <c r="V936" s="11">
        <v>0</v>
      </c>
      <c r="W936" s="11">
        <v>0</v>
      </c>
      <c r="X936" s="11">
        <v>0</v>
      </c>
      <c r="Y936" s="11">
        <v>0</v>
      </c>
      <c r="Z936" t="s">
        <v>15</v>
      </c>
    </row>
    <row r="937" spans="1:26" x14ac:dyDescent="0.25">
      <c r="A937" s="20" t="s">
        <v>1470</v>
      </c>
      <c r="B937" s="20" t="s">
        <v>3252</v>
      </c>
      <c r="C937" s="20" t="s">
        <v>3420</v>
      </c>
      <c r="D937" s="20" t="s">
        <v>215</v>
      </c>
      <c r="E937" s="13">
        <v>0</v>
      </c>
      <c r="F937" s="11">
        <v>0</v>
      </c>
      <c r="G937" s="13">
        <v>0</v>
      </c>
      <c r="H937" s="11">
        <v>0</v>
      </c>
      <c r="I937" s="13">
        <f>E937+G937</f>
        <v>0</v>
      </c>
      <c r="J937" s="11">
        <f>F937+H937</f>
        <v>0</v>
      </c>
      <c r="K937" s="13">
        <v>0</v>
      </c>
      <c r="L937" s="11">
        <v>0</v>
      </c>
      <c r="M937" s="11">
        <v>0</v>
      </c>
      <c r="N937" s="13">
        <v>2399</v>
      </c>
      <c r="O937" s="11">
        <v>0</v>
      </c>
      <c r="P937" s="11">
        <v>0</v>
      </c>
      <c r="Q937" s="13">
        <f>K937+N937</f>
        <v>2399</v>
      </c>
      <c r="R937" s="11">
        <f>L937+O937</f>
        <v>0</v>
      </c>
      <c r="S937" s="11">
        <f>M937+P937</f>
        <v>0</v>
      </c>
      <c r="T937" s="8">
        <f>I937-Q937</f>
        <v>-2399</v>
      </c>
      <c r="U937" s="18" t="s">
        <v>1803</v>
      </c>
      <c r="V937" s="11">
        <v>0</v>
      </c>
      <c r="W937" s="11">
        <v>0</v>
      </c>
      <c r="X937" s="11">
        <v>0</v>
      </c>
      <c r="Y937" s="11">
        <v>0</v>
      </c>
      <c r="Z937" t="s">
        <v>15</v>
      </c>
    </row>
    <row r="938" spans="1:26" x14ac:dyDescent="0.25">
      <c r="A938" s="20" t="s">
        <v>1805</v>
      </c>
      <c r="B938" s="20"/>
      <c r="C938" s="20"/>
      <c r="D938" s="20"/>
      <c r="E938" s="13">
        <f>SUBTOTAL(109,Table_All[YTD WP])</f>
        <v>5096460.8499999987</v>
      </c>
      <c r="F938" s="11">
        <f>SUBTOTAL(109,Table_All[YTD NB '#])</f>
        <v>97</v>
      </c>
      <c r="G938" s="13">
        <f>SUBTOTAL(109,Table_All[[YTD WP ]])</f>
        <v>4585445.8100000015</v>
      </c>
      <c r="H938" s="11">
        <f>SUBTOTAL(109,Table_All[YTD NB '# ])</f>
        <v>105</v>
      </c>
      <c r="I938" s="13">
        <f>SUBTOTAL(109,Table_All[[YTD WP  ]])</f>
        <v>9681906.6599999908</v>
      </c>
      <c r="J938" s="11">
        <f>SUBTOTAL(109,Table_All[YTD NB '#  ])</f>
        <v>202</v>
      </c>
      <c r="K938" s="13">
        <f>SUBTOTAL(109,Table_All[PYTD WP])</f>
        <v>5623918.54</v>
      </c>
      <c r="L938" s="11">
        <f>SUBTOTAL(109,Table_All[PYTD NB '#])</f>
        <v>79</v>
      </c>
      <c r="M938" s="11">
        <f>SUBTOTAL(109,Table_All[PY Total NB '#])</f>
        <v>525</v>
      </c>
      <c r="N938" s="13">
        <f>SUBTOTAL(109,Table_All[[PYTD WP ]])</f>
        <v>5247375.9000000004</v>
      </c>
      <c r="O938" s="11">
        <f>SUBTOTAL(109,Table_All[PYTD NB '# ])</f>
        <v>142</v>
      </c>
      <c r="P938" s="11">
        <f>SUBTOTAL(109,Table_All[PY Total NB '# ])</f>
        <v>852</v>
      </c>
      <c r="Q938" s="13">
        <f>SUBTOTAL(109,Table_All[[PYTD WP  ]])</f>
        <v>10871294.439999998</v>
      </c>
      <c r="R938" s="11">
        <f>SUBTOTAL(109,Table_All[PYTD NB '#  ])</f>
        <v>221</v>
      </c>
      <c r="S938" s="11">
        <f>SUBTOTAL(109,Table_All[PY Total NB '#  ])</f>
        <v>1377</v>
      </c>
      <c r="T938" s="8">
        <f>SUBTOTAL(109,Table_All[Premium Change])</f>
        <v>-1189387.7800000005</v>
      </c>
      <c r="V938" s="11">
        <f>ROUND(SUM(Table_All[12 Mo Bound])/SUM(Table_All[12 Mo Quoted]), 2)</f>
        <v>0.42</v>
      </c>
      <c r="W938" s="11">
        <f>SUBTOTAL(109,Table_All[12 Mo Bound])</f>
        <v>1384</v>
      </c>
      <c r="X938" s="11">
        <f>SUBTOTAL(109,Table_All[12 Mo Quoted])</f>
        <v>3273</v>
      </c>
      <c r="Y938" s="11">
        <f>SUBTOTAL(109,Table_All[12 Mo Declined])</f>
        <v>678</v>
      </c>
    </row>
    <row r="939" spans="1:26" x14ac:dyDescent="0.25">
      <c r="A939"/>
      <c r="D939"/>
      <c r="F939" s="11"/>
      <c r="H939" s="11"/>
      <c r="J939" s="11"/>
      <c r="M939" s="11"/>
      <c r="O939" s="11"/>
      <c r="R939" s="11"/>
      <c r="V939" s="11"/>
      <c r="W939" s="11"/>
      <c r="X939" s="11"/>
      <c r="Y939" s="11"/>
    </row>
    <row r="940" spans="1:26" x14ac:dyDescent="0.25">
      <c r="A940"/>
      <c r="D940"/>
      <c r="F940" s="11"/>
      <c r="H940" s="11"/>
      <c r="J940" s="11"/>
      <c r="M940" s="11"/>
      <c r="O940" s="11"/>
      <c r="R940" s="11"/>
      <c r="V940" s="11"/>
      <c r="W940" s="11"/>
      <c r="X940" s="11"/>
      <c r="Y940" s="11"/>
    </row>
    <row r="941" spans="1:26" x14ac:dyDescent="0.25">
      <c r="A941"/>
      <c r="D941"/>
      <c r="F941" s="11"/>
      <c r="H941" s="11"/>
      <c r="J941" s="11"/>
      <c r="M941" s="11"/>
      <c r="O941" s="11"/>
      <c r="R941" s="11"/>
      <c r="V941" s="11"/>
      <c r="W941" s="11"/>
      <c r="X941" s="11"/>
      <c r="Y941" s="11"/>
    </row>
    <row r="942" spans="1:26" x14ac:dyDescent="0.25">
      <c r="A942"/>
      <c r="D942"/>
      <c r="F942" s="11"/>
      <c r="H942" s="11"/>
      <c r="J942" s="11"/>
      <c r="M942" s="11"/>
      <c r="O942" s="11"/>
      <c r="R942" s="11"/>
      <c r="V942" s="11"/>
      <c r="W942" s="11"/>
      <c r="X942" s="11"/>
      <c r="Y942" s="11"/>
    </row>
    <row r="943" spans="1:26" x14ac:dyDescent="0.25">
      <c r="A943"/>
      <c r="D943"/>
      <c r="F943" s="11"/>
      <c r="H943" s="11"/>
      <c r="J943" s="11"/>
      <c r="M943" s="11"/>
      <c r="O943" s="11"/>
      <c r="R943" s="11"/>
      <c r="V943" s="11"/>
      <c r="W943" s="11"/>
      <c r="X943" s="11"/>
      <c r="Y943" s="11"/>
    </row>
    <row r="944" spans="1:26" x14ac:dyDescent="0.25">
      <c r="A944"/>
      <c r="D944"/>
      <c r="F944" s="11"/>
      <c r="H944" s="11"/>
      <c r="J944" s="11"/>
      <c r="M944" s="11"/>
      <c r="O944" s="11"/>
      <c r="R944" s="11"/>
      <c r="V944" s="11"/>
      <c r="W944" s="11"/>
      <c r="X944" s="11"/>
      <c r="Y944" s="11"/>
    </row>
    <row r="945" spans="1:25" x14ac:dyDescent="0.25">
      <c r="A945"/>
      <c r="D945"/>
      <c r="F945" s="11"/>
      <c r="H945" s="11"/>
      <c r="J945" s="11"/>
      <c r="M945" s="11"/>
      <c r="O945" s="11"/>
      <c r="R945" s="11"/>
      <c r="V945" s="11"/>
      <c r="W945" s="11"/>
      <c r="X945" s="11"/>
      <c r="Y945" s="11"/>
    </row>
    <row r="946" spans="1:25" x14ac:dyDescent="0.25">
      <c r="A946"/>
      <c r="D946"/>
      <c r="F946" s="11"/>
      <c r="H946" s="11"/>
      <c r="J946" s="11"/>
      <c r="M946" s="11"/>
      <c r="O946" s="11"/>
      <c r="R946" s="11"/>
      <c r="V946" s="11"/>
      <c r="W946" s="11"/>
      <c r="X946" s="11"/>
      <c r="Y946" s="11"/>
    </row>
    <row r="947" spans="1:25" x14ac:dyDescent="0.25">
      <c r="A947"/>
      <c r="D947"/>
      <c r="F947" s="11"/>
      <c r="H947" s="11"/>
      <c r="J947" s="11"/>
      <c r="M947" s="11"/>
      <c r="O947" s="11"/>
      <c r="R947" s="11"/>
      <c r="V947" s="11"/>
      <c r="W947" s="11"/>
      <c r="X947" s="11"/>
      <c r="Y947" s="11"/>
    </row>
    <row r="948" spans="1:25" x14ac:dyDescent="0.25">
      <c r="A948"/>
      <c r="D948"/>
      <c r="F948" s="11"/>
      <c r="H948" s="11"/>
      <c r="J948" s="11"/>
      <c r="M948" s="11"/>
      <c r="O948" s="11"/>
      <c r="R948" s="11"/>
      <c r="V948" s="11"/>
      <c r="W948" s="11"/>
      <c r="X948" s="11"/>
      <c r="Y948" s="11"/>
    </row>
    <row r="949" spans="1:25" x14ac:dyDescent="0.25">
      <c r="A949"/>
      <c r="D949"/>
      <c r="F949" s="11"/>
      <c r="H949" s="11"/>
      <c r="J949" s="11"/>
      <c r="M949" s="11"/>
      <c r="O949" s="11"/>
      <c r="R949" s="11"/>
      <c r="V949" s="11"/>
      <c r="W949" s="11"/>
      <c r="X949" s="11"/>
      <c r="Y949" s="11"/>
    </row>
    <row r="950" spans="1:25" x14ac:dyDescent="0.25">
      <c r="A950"/>
      <c r="D950"/>
      <c r="F950" s="11"/>
      <c r="H950" s="11"/>
      <c r="J950" s="11"/>
      <c r="M950" s="11"/>
      <c r="O950" s="11"/>
      <c r="R950" s="11"/>
      <c r="V950" s="11"/>
      <c r="W950" s="11"/>
      <c r="X950" s="11"/>
      <c r="Y950" s="11"/>
    </row>
    <row r="951" spans="1:25" x14ac:dyDescent="0.25">
      <c r="A951"/>
      <c r="D951"/>
      <c r="F951" s="11"/>
      <c r="H951" s="11"/>
      <c r="J951" s="11"/>
      <c r="M951" s="11"/>
      <c r="O951" s="11"/>
      <c r="R951" s="11"/>
      <c r="V951" s="11"/>
      <c r="W951" s="11"/>
      <c r="X951" s="11"/>
      <c r="Y951" s="11"/>
    </row>
    <row r="952" spans="1:25" x14ac:dyDescent="0.25">
      <c r="A952"/>
      <c r="D952"/>
      <c r="F952" s="11"/>
      <c r="H952" s="11"/>
      <c r="J952" s="11"/>
      <c r="M952" s="11"/>
      <c r="O952" s="11"/>
      <c r="R952" s="11"/>
      <c r="V952" s="11"/>
      <c r="W952" s="11"/>
      <c r="X952" s="11"/>
      <c r="Y952" s="11"/>
    </row>
    <row r="953" spans="1:25" x14ac:dyDescent="0.25">
      <c r="A953"/>
      <c r="D953"/>
      <c r="F953" s="11"/>
      <c r="H953" s="11"/>
      <c r="J953" s="11"/>
      <c r="M953" s="11"/>
      <c r="O953" s="11"/>
      <c r="R953" s="11"/>
      <c r="V953" s="11"/>
      <c r="W953" s="11"/>
      <c r="X953" s="11"/>
      <c r="Y953" s="11"/>
    </row>
    <row r="954" spans="1:25" x14ac:dyDescent="0.25">
      <c r="A954"/>
      <c r="D954"/>
      <c r="F954" s="11"/>
      <c r="H954" s="11"/>
      <c r="J954" s="11"/>
      <c r="M954" s="11"/>
      <c r="O954" s="11"/>
      <c r="R954" s="11"/>
      <c r="V954" s="11"/>
      <c r="W954" s="11"/>
      <c r="X954" s="11"/>
      <c r="Y954" s="11"/>
    </row>
    <row r="955" spans="1:25" x14ac:dyDescent="0.25">
      <c r="A955"/>
      <c r="D955"/>
      <c r="F955" s="11"/>
      <c r="H955" s="11"/>
      <c r="J955" s="11"/>
      <c r="M955" s="11"/>
      <c r="O955" s="11"/>
      <c r="R955" s="11"/>
      <c r="V955" s="11"/>
      <c r="W955" s="11"/>
      <c r="X955" s="11"/>
      <c r="Y955" s="11"/>
    </row>
    <row r="956" spans="1:25" x14ac:dyDescent="0.25">
      <c r="A956"/>
      <c r="D956"/>
      <c r="F956" s="11"/>
      <c r="H956" s="11"/>
      <c r="J956" s="11"/>
      <c r="M956" s="11"/>
      <c r="O956" s="11"/>
      <c r="R956" s="11"/>
      <c r="V956" s="11"/>
      <c r="W956" s="11"/>
      <c r="X956" s="11"/>
      <c r="Y956" s="11"/>
    </row>
    <row r="957" spans="1:25" x14ac:dyDescent="0.25">
      <c r="A957"/>
      <c r="D957"/>
      <c r="F957" s="11"/>
      <c r="H957" s="11"/>
      <c r="J957" s="11"/>
      <c r="M957" s="11"/>
      <c r="O957" s="11"/>
      <c r="R957" s="11"/>
      <c r="V957" s="11"/>
      <c r="W957" s="11"/>
      <c r="X957" s="11"/>
      <c r="Y957" s="11"/>
    </row>
    <row r="958" spans="1:25" x14ac:dyDescent="0.25">
      <c r="A958"/>
      <c r="D958"/>
      <c r="F958" s="11"/>
      <c r="H958" s="11"/>
      <c r="J958" s="11"/>
      <c r="M958" s="11"/>
      <c r="O958" s="11"/>
      <c r="R958" s="11"/>
      <c r="V958" s="11"/>
      <c r="W958" s="11"/>
      <c r="X958" s="11"/>
      <c r="Y958" s="11"/>
    </row>
    <row r="959" spans="1:25" x14ac:dyDescent="0.25">
      <c r="A959"/>
      <c r="D959"/>
      <c r="F959" s="11"/>
      <c r="H959" s="11"/>
      <c r="J959" s="11"/>
      <c r="M959" s="11"/>
      <c r="O959" s="11"/>
      <c r="R959" s="11"/>
      <c r="V959" s="11"/>
      <c r="W959" s="11"/>
      <c r="X959" s="11"/>
      <c r="Y959" s="11"/>
    </row>
    <row r="960" spans="1:25" x14ac:dyDescent="0.25">
      <c r="A960"/>
      <c r="D960"/>
      <c r="F960" s="11"/>
      <c r="H960" s="11"/>
      <c r="J960" s="11"/>
      <c r="M960" s="11"/>
      <c r="O960" s="11"/>
      <c r="R960" s="11"/>
      <c r="V960" s="11"/>
      <c r="W960" s="11"/>
      <c r="X960" s="11"/>
      <c r="Y960" s="11"/>
    </row>
    <row r="961" spans="1:25" x14ac:dyDescent="0.25">
      <c r="A961"/>
      <c r="D961"/>
      <c r="F961" s="11"/>
      <c r="H961" s="11"/>
      <c r="J961" s="11"/>
      <c r="M961" s="11"/>
      <c r="O961" s="11"/>
      <c r="R961" s="11"/>
      <c r="V961" s="11"/>
      <c r="W961" s="11"/>
      <c r="X961" s="11"/>
      <c r="Y961" s="11"/>
    </row>
    <row r="962" spans="1:25" x14ac:dyDescent="0.25">
      <c r="A962"/>
      <c r="D962"/>
      <c r="F962" s="11"/>
      <c r="H962" s="11"/>
      <c r="J962" s="11"/>
      <c r="M962" s="11"/>
      <c r="O962" s="11"/>
      <c r="R962" s="11"/>
      <c r="V962" s="11"/>
      <c r="W962" s="11"/>
      <c r="X962" s="11"/>
      <c r="Y962" s="11"/>
    </row>
    <row r="963" spans="1:25" x14ac:dyDescent="0.25">
      <c r="A963"/>
      <c r="D963"/>
      <c r="F963" s="11"/>
      <c r="H963" s="11"/>
      <c r="J963" s="11"/>
      <c r="M963" s="11"/>
      <c r="O963" s="11"/>
      <c r="R963" s="11"/>
      <c r="V963" s="11"/>
      <c r="W963" s="11"/>
      <c r="X963" s="11"/>
      <c r="Y963" s="11"/>
    </row>
    <row r="964" spans="1:25" x14ac:dyDescent="0.25">
      <c r="A964"/>
      <c r="D964"/>
      <c r="F964" s="11"/>
      <c r="H964" s="11"/>
      <c r="J964" s="11"/>
      <c r="M964" s="11"/>
      <c r="O964" s="11"/>
      <c r="R964" s="11"/>
      <c r="V964" s="11"/>
      <c r="W964" s="11"/>
      <c r="X964" s="11"/>
      <c r="Y964" s="11"/>
    </row>
    <row r="965" spans="1:25" x14ac:dyDescent="0.25">
      <c r="A965"/>
      <c r="D965"/>
      <c r="F965" s="11"/>
      <c r="H965" s="11"/>
      <c r="J965" s="11"/>
      <c r="M965" s="11"/>
      <c r="O965" s="11"/>
      <c r="R965" s="11"/>
      <c r="V965" s="11"/>
      <c r="W965" s="11"/>
      <c r="X965" s="11"/>
      <c r="Y965" s="11"/>
    </row>
    <row r="966" spans="1:25" x14ac:dyDescent="0.25">
      <c r="A966"/>
      <c r="D966"/>
      <c r="F966" s="11"/>
      <c r="H966" s="11"/>
      <c r="J966" s="11"/>
      <c r="M966" s="11"/>
      <c r="O966" s="11"/>
      <c r="R966" s="11"/>
      <c r="V966" s="11"/>
      <c r="W966" s="11"/>
      <c r="X966" s="11"/>
      <c r="Y966" s="11"/>
    </row>
    <row r="967" spans="1:25" x14ac:dyDescent="0.25">
      <c r="A967"/>
      <c r="D967"/>
      <c r="F967" s="11"/>
      <c r="H967" s="11"/>
      <c r="J967" s="11"/>
      <c r="M967" s="11"/>
      <c r="O967" s="11"/>
      <c r="R967" s="11"/>
      <c r="V967" s="11"/>
      <c r="W967" s="11"/>
      <c r="X967" s="11"/>
      <c r="Y967" s="11"/>
    </row>
    <row r="968" spans="1:25" x14ac:dyDescent="0.25">
      <c r="A968"/>
      <c r="D968"/>
      <c r="F968" s="11"/>
      <c r="H968" s="11"/>
      <c r="J968" s="11"/>
      <c r="M968" s="11"/>
      <c r="O968" s="11"/>
      <c r="R968" s="11"/>
      <c r="V968" s="11"/>
      <c r="W968" s="11"/>
      <c r="X968" s="11"/>
      <c r="Y968" s="11"/>
    </row>
    <row r="969" spans="1:25" x14ac:dyDescent="0.25">
      <c r="A969"/>
      <c r="D969"/>
      <c r="F969" s="11"/>
      <c r="H969" s="11"/>
      <c r="J969" s="11"/>
      <c r="M969" s="11"/>
      <c r="O969" s="11"/>
      <c r="R969" s="11"/>
      <c r="V969" s="11"/>
      <c r="W969" s="11"/>
      <c r="X969" s="11"/>
      <c r="Y969" s="11"/>
    </row>
    <row r="970" spans="1:25" x14ac:dyDescent="0.25">
      <c r="A970"/>
      <c r="D970"/>
      <c r="F970" s="11"/>
      <c r="H970" s="11"/>
      <c r="J970" s="11"/>
      <c r="M970" s="11"/>
      <c r="O970" s="11"/>
      <c r="R970" s="11"/>
      <c r="V970" s="11"/>
      <c r="W970" s="11"/>
      <c r="X970" s="11"/>
      <c r="Y970" s="11"/>
    </row>
    <row r="971" spans="1:25" x14ac:dyDescent="0.25">
      <c r="A971"/>
      <c r="D971"/>
      <c r="F971" s="11"/>
      <c r="H971" s="11"/>
      <c r="J971" s="11"/>
      <c r="M971" s="11"/>
      <c r="O971" s="11"/>
      <c r="R971" s="11"/>
      <c r="V971" s="11"/>
      <c r="W971" s="11"/>
      <c r="X971" s="11"/>
      <c r="Y971" s="11"/>
    </row>
    <row r="972" spans="1:25" x14ac:dyDescent="0.25">
      <c r="A972"/>
      <c r="D972"/>
      <c r="F972" s="11"/>
      <c r="H972" s="11"/>
      <c r="J972" s="11"/>
      <c r="M972" s="11"/>
      <c r="O972" s="11"/>
      <c r="R972" s="11"/>
      <c r="V972" s="11"/>
      <c r="W972" s="11"/>
      <c r="X972" s="11"/>
      <c r="Y972" s="11"/>
    </row>
    <row r="973" spans="1:25" x14ac:dyDescent="0.25">
      <c r="A973"/>
      <c r="D973"/>
      <c r="F973" s="11"/>
      <c r="H973" s="11"/>
      <c r="J973" s="11"/>
      <c r="M973" s="11"/>
      <c r="O973" s="11"/>
      <c r="R973" s="11"/>
      <c r="V973" s="11"/>
      <c r="W973" s="11"/>
      <c r="X973" s="11"/>
      <c r="Y973" s="11"/>
    </row>
    <row r="974" spans="1:25" x14ac:dyDescent="0.25">
      <c r="A974"/>
      <c r="D974"/>
      <c r="F974" s="11"/>
      <c r="H974" s="11"/>
      <c r="J974" s="11"/>
      <c r="M974" s="11"/>
      <c r="O974" s="11"/>
      <c r="R974" s="11"/>
      <c r="V974" s="11"/>
      <c r="W974" s="11"/>
      <c r="X974" s="11"/>
      <c r="Y974" s="11"/>
    </row>
    <row r="975" spans="1:25" x14ac:dyDescent="0.25">
      <c r="A975"/>
      <c r="D975"/>
      <c r="F975" s="11"/>
      <c r="H975" s="11"/>
      <c r="J975" s="11"/>
      <c r="M975" s="11"/>
      <c r="O975" s="11"/>
      <c r="R975" s="11"/>
      <c r="V975" s="11"/>
      <c r="W975" s="11"/>
      <c r="X975" s="11"/>
      <c r="Y975" s="11"/>
    </row>
    <row r="976" spans="1:25" x14ac:dyDescent="0.25">
      <c r="A976"/>
      <c r="D976"/>
      <c r="F976" s="11"/>
      <c r="H976" s="11"/>
      <c r="J976" s="11"/>
      <c r="M976" s="11"/>
      <c r="O976" s="11"/>
      <c r="R976" s="11"/>
      <c r="V976" s="11"/>
      <c r="W976" s="11"/>
      <c r="X976" s="11"/>
      <c r="Y976" s="11"/>
    </row>
    <row r="977" spans="1:25" x14ac:dyDescent="0.25">
      <c r="A977"/>
      <c r="D977"/>
      <c r="F977" s="11"/>
      <c r="H977" s="11"/>
      <c r="J977" s="11"/>
      <c r="M977" s="11"/>
      <c r="O977" s="11"/>
      <c r="R977" s="11"/>
      <c r="V977" s="11"/>
      <c r="W977" s="11"/>
      <c r="X977" s="11"/>
      <c r="Y977" s="11"/>
    </row>
    <row r="978" spans="1:25" x14ac:dyDescent="0.25">
      <c r="A978"/>
      <c r="D978"/>
      <c r="F978" s="11"/>
      <c r="H978" s="11"/>
      <c r="J978" s="11"/>
      <c r="M978" s="11"/>
      <c r="O978" s="11"/>
      <c r="R978" s="11"/>
      <c r="V978" s="11"/>
      <c r="W978" s="11"/>
      <c r="X978" s="11"/>
      <c r="Y978" s="11"/>
    </row>
    <row r="979" spans="1:25" x14ac:dyDescent="0.25">
      <c r="A979"/>
      <c r="D979"/>
      <c r="F979" s="11"/>
      <c r="H979" s="11"/>
      <c r="J979" s="11"/>
      <c r="M979" s="11"/>
      <c r="O979" s="11"/>
      <c r="R979" s="11"/>
      <c r="V979" s="11"/>
      <c r="W979" s="11"/>
      <c r="X979" s="11"/>
      <c r="Y979" s="11"/>
    </row>
    <row r="980" spans="1:25" x14ac:dyDescent="0.25">
      <c r="A980"/>
      <c r="D980"/>
      <c r="F980" s="11"/>
      <c r="H980" s="11"/>
      <c r="J980" s="11"/>
      <c r="M980" s="11"/>
      <c r="O980" s="11"/>
      <c r="R980" s="11"/>
      <c r="V980" s="11"/>
      <c r="W980" s="11"/>
      <c r="X980" s="11"/>
      <c r="Y980" s="11"/>
    </row>
    <row r="981" spans="1:25" x14ac:dyDescent="0.25">
      <c r="A981"/>
      <c r="D981"/>
      <c r="F981" s="11"/>
      <c r="H981" s="11"/>
      <c r="J981" s="11"/>
      <c r="M981" s="11"/>
      <c r="O981" s="11"/>
      <c r="R981" s="11"/>
      <c r="V981" s="11"/>
      <c r="W981" s="11"/>
      <c r="X981" s="11"/>
      <c r="Y981" s="11"/>
    </row>
    <row r="982" spans="1:25" x14ac:dyDescent="0.25">
      <c r="A982"/>
      <c r="D982"/>
      <c r="F982" s="11"/>
      <c r="H982" s="11"/>
      <c r="J982" s="11"/>
      <c r="M982" s="11"/>
      <c r="O982" s="11"/>
      <c r="R982" s="11"/>
      <c r="V982" s="11"/>
      <c r="W982" s="11"/>
      <c r="X982" s="11"/>
      <c r="Y982" s="11"/>
    </row>
    <row r="983" spans="1:25" x14ac:dyDescent="0.25">
      <c r="A983"/>
      <c r="D983"/>
      <c r="F983" s="11"/>
      <c r="H983" s="11"/>
      <c r="J983" s="11"/>
      <c r="M983" s="11"/>
      <c r="O983" s="11"/>
      <c r="R983" s="11"/>
      <c r="V983" s="11"/>
      <c r="W983" s="11"/>
      <c r="X983" s="11"/>
      <c r="Y983" s="11"/>
    </row>
    <row r="984" spans="1:25" x14ac:dyDescent="0.25">
      <c r="A984"/>
      <c r="D984"/>
      <c r="F984" s="11"/>
      <c r="H984" s="11"/>
      <c r="J984" s="11"/>
      <c r="M984" s="11"/>
      <c r="O984" s="11"/>
      <c r="R984" s="11"/>
      <c r="V984" s="11"/>
      <c r="W984" s="11"/>
      <c r="X984" s="11"/>
      <c r="Y984" s="11"/>
    </row>
    <row r="985" spans="1:25" x14ac:dyDescent="0.25">
      <c r="A985"/>
      <c r="D985"/>
      <c r="F985" s="11"/>
      <c r="H985" s="11"/>
      <c r="J985" s="11"/>
      <c r="M985" s="11"/>
      <c r="O985" s="11"/>
      <c r="R985" s="11"/>
      <c r="V985" s="11"/>
      <c r="W985" s="11"/>
      <c r="X985" s="11"/>
      <c r="Y985" s="11"/>
    </row>
    <row r="986" spans="1:25" x14ac:dyDescent="0.25">
      <c r="A986"/>
      <c r="D986"/>
      <c r="F986" s="11"/>
      <c r="H986" s="11"/>
      <c r="J986" s="11"/>
      <c r="M986" s="11"/>
      <c r="O986" s="11"/>
      <c r="R986" s="11"/>
      <c r="V986" s="11"/>
      <c r="W986" s="11"/>
      <c r="X986" s="11"/>
      <c r="Y986" s="11"/>
    </row>
    <row r="987" spans="1:25" x14ac:dyDescent="0.25">
      <c r="A987"/>
      <c r="D987"/>
      <c r="F987" s="11"/>
      <c r="H987" s="11"/>
      <c r="J987" s="11"/>
      <c r="M987" s="11"/>
      <c r="O987" s="11"/>
      <c r="R987" s="11"/>
      <c r="V987" s="11"/>
      <c r="W987" s="11"/>
      <c r="X987" s="11"/>
      <c r="Y987" s="11"/>
    </row>
    <row r="988" spans="1:25" x14ac:dyDescent="0.25">
      <c r="A988"/>
      <c r="D988"/>
      <c r="F988" s="11"/>
      <c r="H988" s="11"/>
      <c r="J988" s="11"/>
      <c r="M988" s="11"/>
      <c r="O988" s="11"/>
      <c r="R988" s="11"/>
      <c r="V988" s="11"/>
      <c r="W988" s="11"/>
      <c r="X988" s="11"/>
      <c r="Y988" s="11"/>
    </row>
    <row r="989" spans="1:25" x14ac:dyDescent="0.25">
      <c r="A989"/>
      <c r="D989"/>
      <c r="F989" s="11"/>
      <c r="H989" s="11"/>
      <c r="J989" s="11"/>
      <c r="M989" s="11"/>
      <c r="O989" s="11"/>
      <c r="R989" s="11"/>
      <c r="V989" s="11"/>
      <c r="W989" s="11"/>
      <c r="X989" s="11"/>
      <c r="Y989" s="11"/>
    </row>
    <row r="990" spans="1:25" x14ac:dyDescent="0.25">
      <c r="A990"/>
      <c r="D990"/>
      <c r="F990" s="11"/>
      <c r="H990" s="11"/>
      <c r="J990" s="11"/>
      <c r="M990" s="11"/>
      <c r="O990" s="11"/>
      <c r="R990" s="11"/>
      <c r="V990" s="11"/>
      <c r="W990" s="11"/>
      <c r="X990" s="11"/>
      <c r="Y990" s="11"/>
    </row>
    <row r="991" spans="1:25" x14ac:dyDescent="0.25">
      <c r="A991"/>
      <c r="D991"/>
      <c r="F991" s="11"/>
      <c r="H991" s="11"/>
      <c r="J991" s="11"/>
      <c r="M991" s="11"/>
      <c r="O991" s="11"/>
      <c r="R991" s="11"/>
      <c r="V991" s="11"/>
      <c r="W991" s="11"/>
      <c r="X991" s="11"/>
      <c r="Y991" s="11"/>
    </row>
    <row r="992" spans="1:25" x14ac:dyDescent="0.25">
      <c r="A992"/>
      <c r="D992"/>
      <c r="F992" s="11"/>
      <c r="H992" s="11"/>
      <c r="J992" s="11"/>
      <c r="M992" s="11"/>
      <c r="O992" s="11"/>
      <c r="R992" s="11"/>
      <c r="V992" s="11"/>
      <c r="W992" s="11"/>
      <c r="X992" s="11"/>
      <c r="Y992" s="11"/>
    </row>
    <row r="993" spans="1:25" x14ac:dyDescent="0.25">
      <c r="A993"/>
      <c r="D993"/>
      <c r="F993" s="11"/>
      <c r="H993" s="11"/>
      <c r="J993" s="11"/>
      <c r="M993" s="11"/>
      <c r="O993" s="11"/>
      <c r="R993" s="11"/>
      <c r="V993" s="11"/>
      <c r="W993" s="11"/>
      <c r="X993" s="11"/>
      <c r="Y993" s="11"/>
    </row>
    <row r="994" spans="1:25" x14ac:dyDescent="0.25">
      <c r="A994"/>
      <c r="D994"/>
      <c r="F994" s="11"/>
      <c r="H994" s="11"/>
      <c r="J994" s="11"/>
      <c r="M994" s="11"/>
      <c r="O994" s="11"/>
      <c r="R994" s="11"/>
      <c r="V994" s="11"/>
      <c r="W994" s="11"/>
      <c r="X994" s="11"/>
      <c r="Y994" s="11"/>
    </row>
    <row r="995" spans="1:25" x14ac:dyDescent="0.25">
      <c r="A995"/>
      <c r="D995"/>
      <c r="F995" s="11"/>
      <c r="H995" s="11"/>
      <c r="J995" s="11"/>
      <c r="M995" s="11"/>
      <c r="O995" s="11"/>
      <c r="R995" s="11"/>
      <c r="V995" s="11"/>
      <c r="W995" s="11"/>
      <c r="X995" s="11"/>
      <c r="Y995" s="11"/>
    </row>
    <row r="996" spans="1:25" x14ac:dyDescent="0.25">
      <c r="A996"/>
      <c r="D996"/>
      <c r="F996" s="11"/>
      <c r="H996" s="11"/>
      <c r="J996" s="11"/>
      <c r="M996" s="11"/>
      <c r="O996" s="11"/>
      <c r="R996" s="11"/>
      <c r="V996" s="11"/>
      <c r="W996" s="11"/>
      <c r="X996" s="11"/>
      <c r="Y996" s="11"/>
    </row>
    <row r="997" spans="1:25" x14ac:dyDescent="0.25">
      <c r="A997"/>
      <c r="D997"/>
      <c r="F997" s="11"/>
      <c r="H997" s="11"/>
      <c r="J997" s="11"/>
      <c r="M997" s="11"/>
      <c r="O997" s="11"/>
      <c r="R997" s="11"/>
      <c r="V997" s="11"/>
      <c r="W997" s="11"/>
      <c r="X997" s="11"/>
      <c r="Y997" s="11"/>
    </row>
    <row r="998" spans="1:25" x14ac:dyDescent="0.25">
      <c r="A998"/>
      <c r="D998"/>
      <c r="F998" s="11"/>
      <c r="H998" s="11"/>
      <c r="J998" s="11"/>
      <c r="M998" s="11"/>
      <c r="O998" s="11"/>
      <c r="R998" s="11"/>
      <c r="V998" s="11"/>
      <c r="W998" s="11"/>
      <c r="X998" s="11"/>
      <c r="Y998" s="11"/>
    </row>
    <row r="999" spans="1:25" x14ac:dyDescent="0.25">
      <c r="A999"/>
      <c r="D999"/>
      <c r="F999" s="11"/>
      <c r="H999" s="11"/>
      <c r="J999" s="11"/>
      <c r="M999" s="11"/>
      <c r="O999" s="11"/>
      <c r="R999" s="11"/>
      <c r="V999" s="11"/>
      <c r="W999" s="11"/>
      <c r="X999" s="11"/>
      <c r="Y999" s="11"/>
    </row>
    <row r="1000" spans="1:25" x14ac:dyDescent="0.25">
      <c r="A1000"/>
      <c r="D1000"/>
      <c r="F1000" s="11"/>
      <c r="H1000" s="11"/>
      <c r="J1000" s="11"/>
      <c r="M1000" s="11"/>
      <c r="O1000" s="11"/>
      <c r="R1000" s="11"/>
      <c r="V1000" s="11"/>
      <c r="W1000" s="11"/>
      <c r="X1000" s="11"/>
      <c r="Y1000" s="11"/>
    </row>
    <row r="1001" spans="1:25" x14ac:dyDescent="0.25">
      <c r="A1001"/>
      <c r="D1001"/>
      <c r="F1001" s="11"/>
      <c r="H1001" s="11"/>
      <c r="J1001" s="11"/>
      <c r="M1001" s="11"/>
      <c r="O1001" s="11"/>
      <c r="R1001" s="11"/>
      <c r="V1001" s="11"/>
      <c r="W1001" s="11"/>
      <c r="X1001" s="11"/>
      <c r="Y1001" s="11"/>
    </row>
    <row r="1002" spans="1:25" x14ac:dyDescent="0.25">
      <c r="A1002"/>
      <c r="D1002"/>
      <c r="F1002" s="11"/>
      <c r="H1002" s="11"/>
      <c r="J1002" s="11"/>
      <c r="M1002" s="11"/>
      <c r="O1002" s="11"/>
      <c r="R1002" s="11"/>
      <c r="V1002" s="11"/>
      <c r="W1002" s="11"/>
      <c r="X1002" s="11"/>
      <c r="Y1002" s="11"/>
    </row>
    <row r="1003" spans="1:25" x14ac:dyDescent="0.25">
      <c r="A1003"/>
      <c r="D1003"/>
      <c r="F1003" s="11"/>
      <c r="H1003" s="11"/>
      <c r="J1003" s="11"/>
      <c r="M1003" s="11"/>
      <c r="O1003" s="11"/>
      <c r="R1003" s="11"/>
      <c r="V1003" s="11"/>
      <c r="W1003" s="11"/>
      <c r="X1003" s="11"/>
      <c r="Y1003" s="11"/>
    </row>
    <row r="1004" spans="1:25" x14ac:dyDescent="0.25">
      <c r="A1004"/>
      <c r="D1004"/>
      <c r="F1004" s="11"/>
      <c r="H1004" s="11"/>
      <c r="J1004" s="11"/>
      <c r="M1004" s="11"/>
      <c r="O1004" s="11"/>
      <c r="R1004" s="11"/>
      <c r="V1004" s="11"/>
      <c r="W1004" s="11"/>
      <c r="X1004" s="11"/>
      <c r="Y1004" s="11"/>
    </row>
    <row r="1005" spans="1:25" x14ac:dyDescent="0.25">
      <c r="A1005"/>
      <c r="D1005"/>
      <c r="F1005" s="11"/>
      <c r="H1005" s="11"/>
      <c r="J1005" s="11"/>
      <c r="M1005" s="11"/>
      <c r="O1005" s="11"/>
      <c r="R1005" s="11"/>
      <c r="V1005" s="11"/>
      <c r="W1005" s="11"/>
      <c r="X1005" s="11"/>
      <c r="Y1005" s="11"/>
    </row>
    <row r="1006" spans="1:25" x14ac:dyDescent="0.25">
      <c r="A1006"/>
      <c r="D1006"/>
      <c r="F1006" s="11"/>
      <c r="H1006" s="11"/>
      <c r="J1006" s="11"/>
      <c r="M1006" s="11"/>
      <c r="O1006" s="11"/>
      <c r="R1006" s="11"/>
      <c r="V1006" s="11"/>
      <c r="W1006" s="11"/>
      <c r="X1006" s="11"/>
      <c r="Y1006" s="11"/>
    </row>
    <row r="1007" spans="1:25" x14ac:dyDescent="0.25">
      <c r="A1007"/>
      <c r="D1007"/>
      <c r="F1007" s="11"/>
      <c r="H1007" s="11"/>
      <c r="J1007" s="11"/>
      <c r="M1007" s="11"/>
      <c r="O1007" s="11"/>
      <c r="R1007" s="11"/>
      <c r="V1007" s="11"/>
      <c r="W1007" s="11"/>
      <c r="X1007" s="11"/>
      <c r="Y1007" s="11"/>
    </row>
    <row r="1008" spans="1:25" x14ac:dyDescent="0.25">
      <c r="A1008"/>
      <c r="D1008"/>
      <c r="F1008" s="11"/>
      <c r="H1008" s="11"/>
      <c r="J1008" s="11"/>
      <c r="M1008" s="11"/>
      <c r="O1008" s="11"/>
      <c r="R1008" s="11"/>
      <c r="V1008" s="11"/>
      <c r="W1008" s="11"/>
      <c r="X1008" s="11"/>
      <c r="Y1008" s="11"/>
    </row>
    <row r="1009" spans="1:25" x14ac:dyDescent="0.25">
      <c r="A1009"/>
      <c r="D1009"/>
      <c r="F1009" s="11"/>
      <c r="H1009" s="11"/>
      <c r="J1009" s="11"/>
      <c r="M1009" s="11"/>
      <c r="O1009" s="11"/>
      <c r="R1009" s="11"/>
      <c r="V1009" s="11"/>
      <c r="W1009" s="11"/>
      <c r="X1009" s="11"/>
      <c r="Y1009" s="11"/>
    </row>
    <row r="1010" spans="1:25" x14ac:dyDescent="0.25">
      <c r="A1010"/>
      <c r="D1010"/>
      <c r="F1010" s="11"/>
      <c r="H1010" s="11"/>
      <c r="J1010" s="11"/>
      <c r="M1010" s="11"/>
      <c r="O1010" s="11"/>
      <c r="R1010" s="11"/>
      <c r="V1010" s="11"/>
      <c r="W1010" s="11"/>
      <c r="X1010" s="11"/>
      <c r="Y1010" s="11"/>
    </row>
    <row r="1011" spans="1:25" x14ac:dyDescent="0.25">
      <c r="A1011"/>
      <c r="D1011"/>
      <c r="F1011" s="11"/>
      <c r="H1011" s="11"/>
      <c r="J1011" s="11"/>
      <c r="M1011" s="11"/>
      <c r="O1011" s="11"/>
      <c r="R1011" s="11"/>
      <c r="V1011" s="11"/>
      <c r="W1011" s="11"/>
      <c r="X1011" s="11"/>
      <c r="Y1011" s="11"/>
    </row>
    <row r="1012" spans="1:25" x14ac:dyDescent="0.25">
      <c r="A1012"/>
      <c r="D1012"/>
      <c r="F1012" s="11"/>
      <c r="H1012" s="11"/>
      <c r="J1012" s="11"/>
      <c r="M1012" s="11"/>
      <c r="O1012" s="11"/>
      <c r="R1012" s="11"/>
      <c r="V1012" s="11"/>
      <c r="W1012" s="11"/>
      <c r="X1012" s="11"/>
      <c r="Y1012" s="11"/>
    </row>
    <row r="1013" spans="1:25" x14ac:dyDescent="0.25">
      <c r="A1013"/>
      <c r="D1013"/>
      <c r="F1013" s="11"/>
      <c r="H1013" s="11"/>
      <c r="J1013" s="11"/>
      <c r="M1013" s="11"/>
      <c r="O1013" s="11"/>
      <c r="R1013" s="11"/>
      <c r="V1013" s="11"/>
      <c r="W1013" s="11"/>
      <c r="X1013" s="11"/>
      <c r="Y1013" s="11"/>
    </row>
    <row r="1014" spans="1:25" x14ac:dyDescent="0.25">
      <c r="A1014"/>
      <c r="D1014"/>
      <c r="F1014" s="11"/>
      <c r="H1014" s="11"/>
      <c r="J1014" s="11"/>
      <c r="M1014" s="11"/>
      <c r="O1014" s="11"/>
      <c r="R1014" s="11"/>
      <c r="V1014" s="11"/>
      <c r="W1014" s="11"/>
      <c r="X1014" s="11"/>
      <c r="Y1014" s="11"/>
    </row>
    <row r="1015" spans="1:25" x14ac:dyDescent="0.25">
      <c r="A1015"/>
      <c r="D1015"/>
      <c r="F1015" s="11"/>
      <c r="H1015" s="11"/>
      <c r="J1015" s="11"/>
      <c r="M1015" s="11"/>
      <c r="O1015" s="11"/>
      <c r="R1015" s="11"/>
      <c r="V1015" s="11"/>
      <c r="W1015" s="11"/>
      <c r="X1015" s="11"/>
      <c r="Y1015" s="11"/>
    </row>
    <row r="1016" spans="1:25" x14ac:dyDescent="0.25">
      <c r="A1016"/>
      <c r="D1016"/>
      <c r="F1016" s="11"/>
      <c r="H1016" s="11"/>
      <c r="J1016" s="11"/>
      <c r="M1016" s="11"/>
      <c r="O1016" s="11"/>
      <c r="R1016" s="11"/>
      <c r="V1016" s="11"/>
      <c r="W1016" s="11"/>
      <c r="X1016" s="11"/>
      <c r="Y1016" s="11"/>
    </row>
    <row r="1017" spans="1:25" x14ac:dyDescent="0.25">
      <c r="A1017"/>
      <c r="D1017"/>
      <c r="F1017" s="11"/>
      <c r="H1017" s="11"/>
      <c r="J1017" s="11"/>
      <c r="M1017" s="11"/>
      <c r="O1017" s="11"/>
      <c r="R1017" s="11"/>
      <c r="V1017" s="11"/>
      <c r="W1017" s="11"/>
      <c r="X1017" s="11"/>
      <c r="Y1017" s="11"/>
    </row>
    <row r="1018" spans="1:25" x14ac:dyDescent="0.25">
      <c r="A1018"/>
      <c r="D1018"/>
      <c r="F1018" s="11"/>
      <c r="H1018" s="11"/>
      <c r="J1018" s="11"/>
      <c r="M1018" s="11"/>
      <c r="O1018" s="11"/>
      <c r="R1018" s="11"/>
      <c r="V1018" s="11"/>
      <c r="W1018" s="11"/>
      <c r="X1018" s="11"/>
      <c r="Y1018" s="11"/>
    </row>
    <row r="1019" spans="1:25" x14ac:dyDescent="0.25">
      <c r="A1019"/>
      <c r="D1019"/>
      <c r="F1019" s="11"/>
      <c r="H1019" s="11"/>
      <c r="J1019" s="11"/>
      <c r="M1019" s="11"/>
      <c r="O1019" s="11"/>
      <c r="R1019" s="11"/>
      <c r="V1019" s="11"/>
      <c r="W1019" s="11"/>
      <c r="X1019" s="11"/>
      <c r="Y1019" s="11"/>
    </row>
    <row r="1020" spans="1:25" x14ac:dyDescent="0.25">
      <c r="A1020"/>
      <c r="D1020"/>
      <c r="F1020" s="11"/>
      <c r="H1020" s="11"/>
      <c r="J1020" s="11"/>
      <c r="M1020" s="11"/>
      <c r="O1020" s="11"/>
      <c r="R1020" s="11"/>
      <c r="V1020" s="11"/>
      <c r="W1020" s="11"/>
      <c r="X1020" s="11"/>
      <c r="Y1020" s="11"/>
    </row>
    <row r="1021" spans="1:25" x14ac:dyDescent="0.25">
      <c r="A1021"/>
      <c r="D1021"/>
      <c r="F1021" s="11"/>
      <c r="H1021" s="11"/>
      <c r="J1021" s="11"/>
      <c r="M1021" s="11"/>
      <c r="O1021" s="11"/>
      <c r="R1021" s="11"/>
      <c r="V1021" s="11"/>
      <c r="W1021" s="11"/>
      <c r="X1021" s="11"/>
      <c r="Y1021" s="11"/>
    </row>
    <row r="1022" spans="1:25" x14ac:dyDescent="0.25">
      <c r="A1022"/>
      <c r="D1022"/>
      <c r="F1022" s="11"/>
      <c r="H1022" s="11"/>
      <c r="J1022" s="11"/>
      <c r="M1022" s="11"/>
      <c r="O1022" s="11"/>
      <c r="R1022" s="11"/>
      <c r="V1022" s="11"/>
      <c r="W1022" s="11"/>
      <c r="X1022" s="11"/>
      <c r="Y1022" s="11"/>
    </row>
    <row r="1023" spans="1:25" x14ac:dyDescent="0.25">
      <c r="A1023"/>
      <c r="D1023"/>
      <c r="F1023" s="11"/>
      <c r="H1023" s="11"/>
      <c r="J1023" s="11"/>
      <c r="M1023" s="11"/>
      <c r="O1023" s="11"/>
      <c r="R1023" s="11"/>
      <c r="V1023" s="11"/>
      <c r="W1023" s="11"/>
      <c r="X1023" s="11"/>
      <c r="Y1023" s="11"/>
    </row>
    <row r="1024" spans="1:25" x14ac:dyDescent="0.25">
      <c r="A1024"/>
      <c r="D1024"/>
      <c r="F1024" s="11"/>
      <c r="H1024" s="11"/>
      <c r="J1024" s="11"/>
      <c r="M1024" s="11"/>
      <c r="O1024" s="11"/>
      <c r="R1024" s="11"/>
      <c r="V1024" s="11"/>
      <c r="W1024" s="11"/>
      <c r="X1024" s="11"/>
      <c r="Y1024" s="11"/>
    </row>
    <row r="1025" spans="1:25" x14ac:dyDescent="0.25">
      <c r="A1025"/>
      <c r="D1025"/>
      <c r="F1025" s="11"/>
      <c r="H1025" s="11"/>
      <c r="J1025" s="11"/>
      <c r="M1025" s="11"/>
      <c r="O1025" s="11"/>
      <c r="R1025" s="11"/>
      <c r="V1025" s="11"/>
      <c r="W1025" s="11"/>
      <c r="X1025" s="11"/>
      <c r="Y1025" s="11"/>
    </row>
    <row r="1026" spans="1:25" x14ac:dyDescent="0.25">
      <c r="A1026"/>
      <c r="D1026"/>
      <c r="F1026" s="11"/>
      <c r="H1026" s="11"/>
      <c r="J1026" s="11"/>
      <c r="M1026" s="11"/>
      <c r="O1026" s="11"/>
      <c r="R1026" s="11"/>
      <c r="V1026" s="11"/>
      <c r="W1026" s="11"/>
      <c r="X1026" s="11"/>
      <c r="Y1026" s="11"/>
    </row>
    <row r="1027" spans="1:25" x14ac:dyDescent="0.25">
      <c r="A1027"/>
      <c r="D1027"/>
      <c r="F1027" s="11"/>
      <c r="H1027" s="11"/>
      <c r="J1027" s="11"/>
      <c r="M1027" s="11"/>
      <c r="O1027" s="11"/>
      <c r="R1027" s="11"/>
      <c r="V1027" s="11"/>
      <c r="W1027" s="11"/>
      <c r="X1027" s="11"/>
      <c r="Y1027" s="11"/>
    </row>
    <row r="1028" spans="1:25" x14ac:dyDescent="0.25">
      <c r="A1028"/>
      <c r="D1028"/>
      <c r="F1028" s="11"/>
      <c r="H1028" s="11"/>
      <c r="J1028" s="11"/>
      <c r="M1028" s="11"/>
      <c r="O1028" s="11"/>
      <c r="R1028" s="11"/>
      <c r="V1028" s="11"/>
      <c r="W1028" s="11"/>
      <c r="X1028" s="11"/>
      <c r="Y1028" s="11"/>
    </row>
    <row r="1029" spans="1:25" x14ac:dyDescent="0.25">
      <c r="A1029"/>
      <c r="D1029"/>
      <c r="F1029" s="11"/>
      <c r="H1029" s="11"/>
      <c r="J1029" s="11"/>
      <c r="M1029" s="11"/>
      <c r="O1029" s="11"/>
      <c r="R1029" s="11"/>
      <c r="V1029" s="11"/>
      <c r="W1029" s="11"/>
      <c r="X1029" s="11"/>
      <c r="Y1029" s="11"/>
    </row>
    <row r="1030" spans="1:25" x14ac:dyDescent="0.25">
      <c r="A1030"/>
      <c r="D1030"/>
      <c r="F1030" s="11"/>
      <c r="H1030" s="11"/>
      <c r="J1030" s="11"/>
      <c r="M1030" s="11"/>
      <c r="O1030" s="11"/>
      <c r="R1030" s="11"/>
      <c r="V1030" s="11"/>
      <c r="W1030" s="11"/>
      <c r="X1030" s="11"/>
      <c r="Y1030" s="11"/>
    </row>
    <row r="1031" spans="1:25" x14ac:dyDescent="0.25">
      <c r="A1031"/>
      <c r="D1031"/>
      <c r="F1031" s="11"/>
      <c r="H1031" s="11"/>
      <c r="J1031" s="11"/>
      <c r="M1031" s="11"/>
      <c r="O1031" s="11"/>
      <c r="R1031" s="11"/>
      <c r="V1031" s="11"/>
      <c r="W1031" s="11"/>
      <c r="X1031" s="11"/>
      <c r="Y1031" s="11"/>
    </row>
    <row r="1032" spans="1:25" x14ac:dyDescent="0.25">
      <c r="A1032"/>
      <c r="D1032"/>
      <c r="F1032" s="11"/>
      <c r="H1032" s="11"/>
      <c r="J1032" s="11"/>
      <c r="M1032" s="11"/>
      <c r="O1032" s="11"/>
      <c r="R1032" s="11"/>
      <c r="V1032" s="11"/>
      <c r="W1032" s="11"/>
      <c r="X1032" s="11"/>
      <c r="Y1032" s="11"/>
    </row>
    <row r="1033" spans="1:25" x14ac:dyDescent="0.25">
      <c r="A1033"/>
      <c r="D1033"/>
      <c r="F1033" s="11"/>
      <c r="H1033" s="11"/>
      <c r="J1033" s="11"/>
      <c r="M1033" s="11"/>
      <c r="O1033" s="11"/>
      <c r="R1033" s="11"/>
      <c r="V1033" s="11"/>
      <c r="W1033" s="11"/>
      <c r="X1033" s="11"/>
      <c r="Y1033" s="11"/>
    </row>
    <row r="1034" spans="1:25" x14ac:dyDescent="0.25">
      <c r="A1034"/>
      <c r="D1034"/>
      <c r="F1034" s="11"/>
      <c r="H1034" s="11"/>
      <c r="J1034" s="11"/>
      <c r="M1034" s="11"/>
      <c r="O1034" s="11"/>
      <c r="R1034" s="11"/>
      <c r="V1034" s="11"/>
      <c r="W1034" s="11"/>
      <c r="X1034" s="11"/>
      <c r="Y1034" s="11"/>
    </row>
    <row r="1035" spans="1:25" x14ac:dyDescent="0.25">
      <c r="A1035"/>
      <c r="D1035"/>
      <c r="F1035" s="11"/>
      <c r="H1035" s="11"/>
      <c r="J1035" s="11"/>
      <c r="M1035" s="11"/>
      <c r="O1035" s="11"/>
      <c r="R1035" s="11"/>
      <c r="V1035" s="11"/>
      <c r="W1035" s="11"/>
      <c r="X1035" s="11"/>
      <c r="Y1035" s="11"/>
    </row>
    <row r="1036" spans="1:25" x14ac:dyDescent="0.25">
      <c r="A1036"/>
      <c r="D1036"/>
      <c r="F1036" s="11"/>
      <c r="H1036" s="11"/>
      <c r="J1036" s="11"/>
      <c r="M1036" s="11"/>
      <c r="O1036" s="11"/>
      <c r="R1036" s="11"/>
      <c r="V1036" s="11"/>
      <c r="W1036" s="11"/>
      <c r="X1036" s="11"/>
      <c r="Y1036" s="11"/>
    </row>
    <row r="1037" spans="1:25" x14ac:dyDescent="0.25">
      <c r="A1037"/>
      <c r="D1037"/>
      <c r="F1037" s="11"/>
      <c r="H1037" s="11"/>
      <c r="J1037" s="11"/>
      <c r="M1037" s="11"/>
      <c r="O1037" s="11"/>
      <c r="R1037" s="11"/>
      <c r="V1037" s="11"/>
      <c r="W1037" s="11"/>
      <c r="X1037" s="11"/>
      <c r="Y1037" s="11"/>
    </row>
    <row r="1038" spans="1:25" x14ac:dyDescent="0.25">
      <c r="A1038"/>
      <c r="D1038"/>
      <c r="F1038" s="11"/>
      <c r="H1038" s="11"/>
      <c r="J1038" s="11"/>
      <c r="M1038" s="11"/>
      <c r="O1038" s="11"/>
      <c r="R1038" s="11"/>
      <c r="V1038" s="11"/>
      <c r="W1038" s="11"/>
      <c r="X1038" s="11"/>
      <c r="Y1038" s="11"/>
    </row>
    <row r="1039" spans="1:25" x14ac:dyDescent="0.25">
      <c r="A1039"/>
      <c r="D1039"/>
      <c r="F1039" s="11"/>
      <c r="H1039" s="11"/>
      <c r="J1039" s="11"/>
      <c r="M1039" s="11"/>
      <c r="O1039" s="11"/>
      <c r="R1039" s="11"/>
      <c r="V1039" s="11"/>
      <c r="W1039" s="11"/>
      <c r="X1039" s="11"/>
      <c r="Y1039" s="11"/>
    </row>
    <row r="1040" spans="1:25" x14ac:dyDescent="0.25">
      <c r="A1040"/>
      <c r="D1040"/>
      <c r="F1040" s="11"/>
      <c r="H1040" s="11"/>
      <c r="J1040" s="11"/>
      <c r="M1040" s="11"/>
      <c r="O1040" s="11"/>
      <c r="R1040" s="11"/>
      <c r="V1040" s="11"/>
      <c r="W1040" s="11"/>
      <c r="X1040" s="11"/>
      <c r="Y1040" s="11"/>
    </row>
    <row r="1041" spans="1:25" x14ac:dyDescent="0.25">
      <c r="A1041"/>
      <c r="D1041"/>
      <c r="F1041" s="11"/>
      <c r="H1041" s="11"/>
      <c r="J1041" s="11"/>
      <c r="M1041" s="11"/>
      <c r="O1041" s="11"/>
      <c r="R1041" s="11"/>
      <c r="V1041" s="11"/>
      <c r="W1041" s="11"/>
      <c r="X1041" s="11"/>
      <c r="Y1041" s="11"/>
    </row>
    <row r="1042" spans="1:25" x14ac:dyDescent="0.25">
      <c r="A1042"/>
      <c r="D1042"/>
      <c r="F1042" s="11"/>
      <c r="H1042" s="11"/>
      <c r="J1042" s="11"/>
      <c r="M1042" s="11"/>
      <c r="O1042" s="11"/>
      <c r="R1042" s="11"/>
      <c r="V1042" s="11"/>
      <c r="W1042" s="11"/>
      <c r="X1042" s="11"/>
      <c r="Y1042" s="11"/>
    </row>
    <row r="1043" spans="1:25" x14ac:dyDescent="0.25">
      <c r="A1043"/>
      <c r="D1043"/>
      <c r="F1043" s="11"/>
      <c r="H1043" s="11"/>
      <c r="J1043" s="11"/>
      <c r="M1043" s="11"/>
      <c r="O1043" s="11"/>
      <c r="R1043" s="11"/>
      <c r="V1043" s="11"/>
      <c r="W1043" s="11"/>
      <c r="X1043" s="11"/>
      <c r="Y1043" s="11"/>
    </row>
    <row r="1044" spans="1:25" x14ac:dyDescent="0.25">
      <c r="A1044"/>
      <c r="D1044"/>
      <c r="F1044" s="11"/>
      <c r="H1044" s="11"/>
      <c r="J1044" s="11"/>
      <c r="M1044" s="11"/>
      <c r="O1044" s="11"/>
      <c r="R1044" s="11"/>
      <c r="V1044" s="11"/>
      <c r="W1044" s="11"/>
      <c r="X1044" s="11"/>
      <c r="Y1044" s="11"/>
    </row>
    <row r="1045" spans="1:25" x14ac:dyDescent="0.25">
      <c r="A1045"/>
      <c r="D1045"/>
      <c r="F1045" s="11"/>
      <c r="H1045" s="11"/>
      <c r="J1045" s="11"/>
      <c r="M1045" s="11"/>
      <c r="O1045" s="11"/>
      <c r="R1045" s="11"/>
      <c r="V1045" s="11"/>
      <c r="W1045" s="11"/>
      <c r="X1045" s="11"/>
      <c r="Y1045" s="11"/>
    </row>
    <row r="1046" spans="1:25" x14ac:dyDescent="0.25">
      <c r="A1046"/>
      <c r="D1046"/>
      <c r="F1046" s="11"/>
      <c r="H1046" s="11"/>
      <c r="J1046" s="11"/>
      <c r="M1046" s="11"/>
      <c r="O1046" s="11"/>
      <c r="R1046" s="11"/>
      <c r="V1046" s="11"/>
      <c r="W1046" s="11"/>
      <c r="X1046" s="11"/>
      <c r="Y1046" s="11"/>
    </row>
    <row r="1047" spans="1:25" x14ac:dyDescent="0.25">
      <c r="A1047"/>
      <c r="D1047"/>
      <c r="F1047" s="11"/>
      <c r="H1047" s="11"/>
      <c r="J1047" s="11"/>
      <c r="M1047" s="11"/>
      <c r="O1047" s="11"/>
      <c r="R1047" s="11"/>
      <c r="V1047" s="11"/>
      <c r="W1047" s="11"/>
      <c r="X1047" s="11"/>
      <c r="Y1047" s="11"/>
    </row>
    <row r="1048" spans="1:25" x14ac:dyDescent="0.25">
      <c r="A1048"/>
      <c r="D1048"/>
      <c r="F1048" s="11"/>
      <c r="H1048" s="11"/>
      <c r="J1048" s="11"/>
      <c r="M1048" s="11"/>
      <c r="O1048" s="11"/>
      <c r="R1048" s="11"/>
      <c r="V1048" s="11"/>
      <c r="W1048" s="11"/>
      <c r="X1048" s="11"/>
      <c r="Y1048" s="11"/>
    </row>
    <row r="1049" spans="1:25" x14ac:dyDescent="0.25">
      <c r="A1049"/>
      <c r="D1049"/>
      <c r="F1049" s="11"/>
      <c r="H1049" s="11"/>
      <c r="J1049" s="11"/>
      <c r="M1049" s="11"/>
      <c r="O1049" s="11"/>
      <c r="R1049" s="11"/>
      <c r="V1049" s="11"/>
      <c r="W1049" s="11"/>
      <c r="X1049" s="11"/>
      <c r="Y1049" s="11"/>
    </row>
    <row r="1050" spans="1:25" x14ac:dyDescent="0.25">
      <c r="A1050"/>
      <c r="D1050"/>
      <c r="F1050" s="11"/>
      <c r="H1050" s="11"/>
      <c r="J1050" s="11"/>
      <c r="M1050" s="11"/>
      <c r="O1050" s="11"/>
      <c r="R1050" s="11"/>
      <c r="V1050" s="11"/>
      <c r="W1050" s="11"/>
      <c r="X1050" s="11"/>
      <c r="Y1050" s="11"/>
    </row>
    <row r="1051" spans="1:25" x14ac:dyDescent="0.25">
      <c r="A1051"/>
      <c r="D1051"/>
      <c r="F1051" s="11"/>
      <c r="H1051" s="11"/>
      <c r="J1051" s="11"/>
      <c r="M1051" s="11"/>
      <c r="O1051" s="11"/>
      <c r="R1051" s="11"/>
      <c r="V1051" s="11"/>
      <c r="W1051" s="11"/>
      <c r="X1051" s="11"/>
      <c r="Y1051" s="11"/>
    </row>
    <row r="1052" spans="1:25" x14ac:dyDescent="0.25">
      <c r="A1052"/>
      <c r="D1052"/>
      <c r="F1052" s="11"/>
      <c r="H1052" s="11"/>
      <c r="J1052" s="11"/>
      <c r="M1052" s="11"/>
      <c r="O1052" s="11"/>
      <c r="R1052" s="11"/>
      <c r="V1052" s="11"/>
      <c r="W1052" s="11"/>
      <c r="X1052" s="11"/>
      <c r="Y1052" s="11"/>
    </row>
    <row r="1053" spans="1:25" x14ac:dyDescent="0.25">
      <c r="A1053"/>
      <c r="D1053"/>
      <c r="F1053" s="11"/>
      <c r="H1053" s="11"/>
      <c r="J1053" s="11"/>
      <c r="M1053" s="11"/>
      <c r="O1053" s="11"/>
      <c r="R1053" s="11"/>
      <c r="V1053" s="11"/>
      <c r="W1053" s="11"/>
      <c r="X1053" s="11"/>
      <c r="Y1053" s="11"/>
    </row>
    <row r="1054" spans="1:25" x14ac:dyDescent="0.25">
      <c r="A1054"/>
      <c r="D1054"/>
      <c r="F1054" s="11"/>
      <c r="H1054" s="11"/>
      <c r="J1054" s="11"/>
      <c r="M1054" s="11"/>
      <c r="O1054" s="11"/>
      <c r="R1054" s="11"/>
      <c r="V1054" s="11"/>
      <c r="W1054" s="11"/>
      <c r="X1054" s="11"/>
      <c r="Y1054" s="11"/>
    </row>
    <row r="1055" spans="1:25" x14ac:dyDescent="0.25">
      <c r="A1055"/>
      <c r="D1055"/>
      <c r="F1055" s="11"/>
      <c r="H1055" s="11"/>
      <c r="J1055" s="11"/>
      <c r="M1055" s="11"/>
      <c r="O1055" s="11"/>
      <c r="R1055" s="11"/>
      <c r="V1055" s="11"/>
      <c r="W1055" s="11"/>
      <c r="X1055" s="11"/>
      <c r="Y1055" s="11"/>
    </row>
    <row r="1056" spans="1:25" x14ac:dyDescent="0.25">
      <c r="A1056"/>
      <c r="D1056"/>
      <c r="F1056" s="11"/>
      <c r="H1056" s="11"/>
      <c r="J1056" s="11"/>
      <c r="M1056" s="11"/>
      <c r="O1056" s="11"/>
      <c r="R1056" s="11"/>
      <c r="V1056" s="11"/>
      <c r="W1056" s="11"/>
      <c r="X1056" s="11"/>
      <c r="Y1056" s="11"/>
    </row>
    <row r="1057" spans="1:25" x14ac:dyDescent="0.25">
      <c r="A1057"/>
      <c r="D1057"/>
      <c r="F1057" s="11"/>
      <c r="H1057" s="11"/>
      <c r="J1057" s="11"/>
      <c r="M1057" s="11"/>
      <c r="O1057" s="11"/>
      <c r="R1057" s="11"/>
      <c r="V1057" s="11"/>
      <c r="W1057" s="11"/>
      <c r="X1057" s="11"/>
      <c r="Y1057" s="11"/>
    </row>
    <row r="1058" spans="1:25" x14ac:dyDescent="0.25">
      <c r="A1058"/>
      <c r="D1058"/>
      <c r="F1058" s="11"/>
      <c r="H1058" s="11"/>
      <c r="J1058" s="11"/>
      <c r="M1058" s="11"/>
      <c r="O1058" s="11"/>
      <c r="R1058" s="11"/>
      <c r="V1058" s="11"/>
      <c r="W1058" s="11"/>
      <c r="X1058" s="11"/>
      <c r="Y1058" s="11"/>
    </row>
    <row r="1059" spans="1:25" x14ac:dyDescent="0.25">
      <c r="A1059"/>
      <c r="D1059"/>
      <c r="F1059" s="11"/>
      <c r="H1059" s="11"/>
      <c r="J1059" s="11"/>
      <c r="M1059" s="11"/>
      <c r="O1059" s="11"/>
      <c r="R1059" s="11"/>
      <c r="V1059" s="11"/>
      <c r="W1059" s="11"/>
      <c r="X1059" s="11"/>
      <c r="Y1059" s="11"/>
    </row>
    <row r="1060" spans="1:25" x14ac:dyDescent="0.25">
      <c r="A1060"/>
      <c r="D1060"/>
      <c r="F1060" s="11"/>
      <c r="H1060" s="11"/>
      <c r="J1060" s="11"/>
      <c r="M1060" s="11"/>
      <c r="O1060" s="11"/>
      <c r="R1060" s="11"/>
      <c r="V1060" s="11"/>
      <c r="W1060" s="11"/>
      <c r="X1060" s="11"/>
      <c r="Y1060" s="11"/>
    </row>
    <row r="1061" spans="1:25" x14ac:dyDescent="0.25">
      <c r="A1061"/>
      <c r="D1061"/>
      <c r="F1061" s="11"/>
      <c r="H1061" s="11"/>
      <c r="J1061" s="11"/>
      <c r="M1061" s="11"/>
      <c r="O1061" s="11"/>
      <c r="R1061" s="11"/>
      <c r="V1061" s="11"/>
      <c r="W1061" s="11"/>
      <c r="X1061" s="11"/>
      <c r="Y1061" s="11"/>
    </row>
    <row r="1062" spans="1:25" x14ac:dyDescent="0.25">
      <c r="A1062"/>
      <c r="D1062"/>
      <c r="F1062" s="11"/>
      <c r="H1062" s="11"/>
      <c r="J1062" s="11"/>
      <c r="M1062" s="11"/>
      <c r="O1062" s="11"/>
      <c r="R1062" s="11"/>
      <c r="V1062" s="11"/>
      <c r="W1062" s="11"/>
      <c r="X1062" s="11"/>
      <c r="Y1062" s="11"/>
    </row>
    <row r="1063" spans="1:25" x14ac:dyDescent="0.25">
      <c r="A1063"/>
      <c r="D1063"/>
      <c r="F1063" s="11"/>
      <c r="H1063" s="11"/>
      <c r="J1063" s="11"/>
      <c r="M1063" s="11"/>
      <c r="O1063" s="11"/>
      <c r="R1063" s="11"/>
      <c r="V1063" s="11"/>
      <c r="W1063" s="11"/>
      <c r="X1063" s="11"/>
      <c r="Y1063" s="11"/>
    </row>
    <row r="1064" spans="1:25" x14ac:dyDescent="0.25">
      <c r="A1064"/>
      <c r="D1064"/>
      <c r="F1064" s="11"/>
      <c r="H1064" s="11"/>
      <c r="J1064" s="11"/>
      <c r="M1064" s="11"/>
      <c r="O1064" s="11"/>
      <c r="R1064" s="11"/>
      <c r="V1064" s="11"/>
      <c r="W1064" s="11"/>
      <c r="X1064" s="11"/>
      <c r="Y1064" s="11"/>
    </row>
    <row r="1065" spans="1:25" x14ac:dyDescent="0.25">
      <c r="A1065"/>
      <c r="D1065"/>
      <c r="F1065" s="11"/>
      <c r="H1065" s="11"/>
      <c r="J1065" s="11"/>
      <c r="M1065" s="11"/>
      <c r="O1065" s="11"/>
      <c r="R1065" s="11"/>
      <c r="V1065" s="11"/>
      <c r="W1065" s="11"/>
      <c r="X1065" s="11"/>
      <c r="Y1065" s="11"/>
    </row>
    <row r="1066" spans="1:25" x14ac:dyDescent="0.25">
      <c r="A1066"/>
      <c r="D1066"/>
      <c r="F1066" s="11"/>
      <c r="H1066" s="11"/>
      <c r="J1066" s="11"/>
      <c r="M1066" s="11"/>
      <c r="O1066" s="11"/>
      <c r="R1066" s="11"/>
      <c r="V1066" s="11"/>
      <c r="W1066" s="11"/>
      <c r="X1066" s="11"/>
      <c r="Y1066" s="11"/>
    </row>
    <row r="1067" spans="1:25" x14ac:dyDescent="0.25">
      <c r="A1067"/>
      <c r="D1067"/>
      <c r="F1067" s="11"/>
      <c r="H1067" s="11"/>
      <c r="J1067" s="11"/>
      <c r="M1067" s="11"/>
      <c r="O1067" s="11"/>
      <c r="R1067" s="11"/>
      <c r="V1067" s="11"/>
      <c r="W1067" s="11"/>
      <c r="X1067" s="11"/>
      <c r="Y1067" s="11"/>
    </row>
    <row r="1068" spans="1:25" x14ac:dyDescent="0.25">
      <c r="A1068"/>
      <c r="D1068"/>
      <c r="F1068" s="11"/>
      <c r="H1068" s="11"/>
      <c r="J1068" s="11"/>
      <c r="M1068" s="11"/>
      <c r="O1068" s="11"/>
      <c r="R1068" s="11"/>
      <c r="V1068" s="11"/>
      <c r="W1068" s="11"/>
      <c r="X1068" s="11"/>
      <c r="Y1068" s="11"/>
    </row>
    <row r="1069" spans="1:25" x14ac:dyDescent="0.25">
      <c r="A1069"/>
      <c r="D1069"/>
      <c r="F1069" s="11"/>
      <c r="H1069" s="11"/>
      <c r="J1069" s="11"/>
      <c r="M1069" s="11"/>
      <c r="O1069" s="11"/>
      <c r="R1069" s="11"/>
      <c r="V1069" s="11"/>
      <c r="W1069" s="11"/>
      <c r="X1069" s="11"/>
      <c r="Y1069" s="11"/>
    </row>
    <row r="1070" spans="1:25" x14ac:dyDescent="0.25">
      <c r="A1070"/>
      <c r="D1070"/>
      <c r="F1070" s="11"/>
      <c r="H1070" s="11"/>
      <c r="J1070" s="11"/>
      <c r="M1070" s="11"/>
      <c r="O1070" s="11"/>
      <c r="R1070" s="11"/>
      <c r="V1070" s="11"/>
      <c r="W1070" s="11"/>
      <c r="X1070" s="11"/>
      <c r="Y1070" s="11"/>
    </row>
    <row r="1071" spans="1:25" x14ac:dyDescent="0.25">
      <c r="A1071"/>
      <c r="D1071"/>
      <c r="F1071" s="11"/>
      <c r="H1071" s="11"/>
      <c r="J1071" s="11"/>
      <c r="M1071" s="11"/>
      <c r="O1071" s="11"/>
      <c r="R1071" s="11"/>
      <c r="V1071" s="11"/>
      <c r="W1071" s="11"/>
      <c r="X1071" s="11"/>
      <c r="Y1071" s="11"/>
    </row>
    <row r="1072" spans="1:25" x14ac:dyDescent="0.25">
      <c r="A1072"/>
      <c r="D1072"/>
      <c r="F1072" s="11"/>
      <c r="H1072" s="11"/>
      <c r="J1072" s="11"/>
      <c r="M1072" s="11"/>
      <c r="O1072" s="11"/>
      <c r="R1072" s="11"/>
      <c r="V1072" s="11"/>
      <c r="W1072" s="11"/>
      <c r="X1072" s="11"/>
      <c r="Y1072" s="11"/>
    </row>
    <row r="1073" spans="1:25" x14ac:dyDescent="0.25">
      <c r="A1073"/>
      <c r="D1073"/>
      <c r="F1073" s="11"/>
      <c r="H1073" s="11"/>
      <c r="J1073" s="11"/>
      <c r="M1073" s="11"/>
      <c r="O1073" s="11"/>
      <c r="R1073" s="11"/>
      <c r="V1073" s="11"/>
      <c r="W1073" s="11"/>
      <c r="X1073" s="11"/>
      <c r="Y1073" s="11"/>
    </row>
    <row r="1074" spans="1:25" x14ac:dyDescent="0.25">
      <c r="A1074"/>
      <c r="D1074"/>
      <c r="F1074" s="11"/>
      <c r="H1074" s="11"/>
      <c r="J1074" s="11"/>
      <c r="M1074" s="11"/>
      <c r="O1074" s="11"/>
      <c r="R1074" s="11"/>
      <c r="V1074" s="11"/>
      <c r="W1074" s="11"/>
      <c r="X1074" s="11"/>
      <c r="Y1074" s="11"/>
    </row>
    <row r="1075" spans="1:25" x14ac:dyDescent="0.25">
      <c r="A1075"/>
      <c r="D1075"/>
      <c r="F1075" s="11"/>
      <c r="H1075" s="11"/>
      <c r="J1075" s="11"/>
      <c r="M1075" s="11"/>
      <c r="O1075" s="11"/>
      <c r="R1075" s="11"/>
      <c r="V1075" s="11"/>
      <c r="W1075" s="11"/>
      <c r="X1075" s="11"/>
      <c r="Y1075" s="11"/>
    </row>
    <row r="1076" spans="1:25" x14ac:dyDescent="0.25">
      <c r="A1076"/>
      <c r="D1076"/>
      <c r="F1076" s="11"/>
      <c r="H1076" s="11"/>
      <c r="J1076" s="11"/>
      <c r="M1076" s="11"/>
      <c r="O1076" s="11"/>
      <c r="R1076" s="11"/>
      <c r="V1076" s="11"/>
      <c r="W1076" s="11"/>
      <c r="X1076" s="11"/>
      <c r="Y1076" s="11"/>
    </row>
    <row r="1077" spans="1:25" x14ac:dyDescent="0.25">
      <c r="A1077"/>
      <c r="D1077"/>
      <c r="F1077" s="11"/>
      <c r="H1077" s="11"/>
      <c r="J1077" s="11"/>
      <c r="M1077" s="11"/>
      <c r="O1077" s="11"/>
      <c r="R1077" s="11"/>
      <c r="V1077" s="11"/>
      <c r="W1077" s="11"/>
      <c r="X1077" s="11"/>
      <c r="Y1077" s="11"/>
    </row>
    <row r="1078" spans="1:25" x14ac:dyDescent="0.25">
      <c r="A1078"/>
      <c r="D1078"/>
      <c r="F1078" s="11"/>
      <c r="H1078" s="11"/>
      <c r="J1078" s="11"/>
      <c r="M1078" s="11"/>
      <c r="O1078" s="11"/>
      <c r="R1078" s="11"/>
      <c r="V1078" s="11"/>
      <c r="W1078" s="11"/>
      <c r="X1078" s="11"/>
      <c r="Y1078" s="11"/>
    </row>
    <row r="1079" spans="1:25" x14ac:dyDescent="0.25">
      <c r="A1079"/>
      <c r="D1079"/>
      <c r="F1079" s="11"/>
      <c r="H1079" s="11"/>
      <c r="J1079" s="11"/>
      <c r="M1079" s="11"/>
      <c r="O1079" s="11"/>
      <c r="R1079" s="11"/>
      <c r="V1079" s="11"/>
      <c r="W1079" s="11"/>
      <c r="X1079" s="11"/>
      <c r="Y1079" s="11"/>
    </row>
    <row r="1080" spans="1:25" x14ac:dyDescent="0.25">
      <c r="A1080"/>
      <c r="D1080"/>
      <c r="F1080" s="11"/>
      <c r="H1080" s="11"/>
      <c r="J1080" s="11"/>
      <c r="M1080" s="11"/>
      <c r="O1080" s="11"/>
      <c r="R1080" s="11"/>
      <c r="V1080" s="11"/>
      <c r="W1080" s="11"/>
      <c r="X1080" s="11"/>
      <c r="Y1080" s="11"/>
    </row>
    <row r="1081" spans="1:25" x14ac:dyDescent="0.25">
      <c r="A1081"/>
      <c r="D1081"/>
      <c r="F1081" s="11"/>
      <c r="H1081" s="11"/>
      <c r="J1081" s="11"/>
      <c r="M1081" s="11"/>
      <c r="O1081" s="11"/>
      <c r="R1081" s="11"/>
      <c r="V1081" s="11"/>
      <c r="W1081" s="11"/>
      <c r="X1081" s="11"/>
      <c r="Y1081" s="11"/>
    </row>
    <row r="1082" spans="1:25" x14ac:dyDescent="0.25">
      <c r="A1082"/>
      <c r="D1082"/>
      <c r="F1082" s="11"/>
      <c r="H1082" s="11"/>
      <c r="J1082" s="11"/>
      <c r="M1082" s="11"/>
      <c r="O1082" s="11"/>
      <c r="R1082" s="11"/>
      <c r="V1082" s="11"/>
      <c r="W1082" s="11"/>
      <c r="X1082" s="11"/>
      <c r="Y1082" s="11"/>
    </row>
    <row r="1083" spans="1:25" x14ac:dyDescent="0.25">
      <c r="A1083"/>
      <c r="D1083"/>
      <c r="F1083" s="11"/>
      <c r="H1083" s="11"/>
      <c r="J1083" s="11"/>
      <c r="M1083" s="11"/>
      <c r="O1083" s="11"/>
      <c r="R1083" s="11"/>
      <c r="V1083" s="11"/>
      <c r="W1083" s="11"/>
      <c r="X1083" s="11"/>
      <c r="Y1083" s="11"/>
    </row>
    <row r="1084" spans="1:25" x14ac:dyDescent="0.25">
      <c r="A1084"/>
      <c r="D1084"/>
      <c r="F1084" s="11"/>
      <c r="H1084" s="11"/>
      <c r="J1084" s="11"/>
      <c r="M1084" s="11"/>
      <c r="O1084" s="11"/>
      <c r="R1084" s="11"/>
      <c r="V1084" s="11"/>
      <c r="W1084" s="11"/>
      <c r="X1084" s="11"/>
      <c r="Y1084" s="11"/>
    </row>
    <row r="1085" spans="1:25" x14ac:dyDescent="0.25">
      <c r="A1085"/>
      <c r="D1085"/>
      <c r="F1085" s="11"/>
      <c r="H1085" s="11"/>
      <c r="J1085" s="11"/>
      <c r="M1085" s="11"/>
      <c r="O1085" s="11"/>
      <c r="R1085" s="11"/>
      <c r="V1085" s="11"/>
      <c r="W1085" s="11"/>
      <c r="X1085" s="11"/>
      <c r="Y1085" s="11"/>
    </row>
    <row r="1086" spans="1:25" x14ac:dyDescent="0.25">
      <c r="A1086"/>
      <c r="D1086"/>
      <c r="F1086" s="11"/>
      <c r="H1086" s="11"/>
      <c r="J1086" s="11"/>
      <c r="M1086" s="11"/>
      <c r="O1086" s="11"/>
      <c r="R1086" s="11"/>
      <c r="V1086" s="11"/>
      <c r="W1086" s="11"/>
      <c r="X1086" s="11"/>
      <c r="Y1086" s="11"/>
    </row>
    <row r="1087" spans="1:25" x14ac:dyDescent="0.25">
      <c r="A1087"/>
      <c r="D1087"/>
      <c r="F1087" s="11"/>
      <c r="H1087" s="11"/>
      <c r="J1087" s="11"/>
      <c r="M1087" s="11"/>
      <c r="O1087" s="11"/>
      <c r="R1087" s="11"/>
      <c r="V1087" s="11"/>
      <c r="W1087" s="11"/>
      <c r="X1087" s="11"/>
      <c r="Y1087" s="11"/>
    </row>
    <row r="1088" spans="1:25" x14ac:dyDescent="0.25">
      <c r="A1088"/>
      <c r="D1088"/>
      <c r="F1088" s="11"/>
      <c r="H1088" s="11"/>
      <c r="J1088" s="11"/>
      <c r="M1088" s="11"/>
      <c r="O1088" s="11"/>
      <c r="R1088" s="11"/>
      <c r="V1088" s="11"/>
      <c r="W1088" s="11"/>
      <c r="X1088" s="11"/>
      <c r="Y1088" s="11"/>
    </row>
    <row r="1089" spans="1:25" x14ac:dyDescent="0.25">
      <c r="A1089"/>
      <c r="D1089"/>
      <c r="F1089" s="11"/>
      <c r="H1089" s="11"/>
      <c r="J1089" s="11"/>
      <c r="M1089" s="11"/>
      <c r="O1089" s="11"/>
      <c r="R1089" s="11"/>
      <c r="V1089" s="11"/>
      <c r="W1089" s="11"/>
      <c r="X1089" s="11"/>
      <c r="Y1089" s="11"/>
    </row>
    <row r="1090" spans="1:25" x14ac:dyDescent="0.25">
      <c r="A1090"/>
      <c r="D1090"/>
      <c r="F1090" s="11"/>
      <c r="H1090" s="11"/>
      <c r="J1090" s="11"/>
      <c r="M1090" s="11"/>
      <c r="O1090" s="11"/>
      <c r="R1090" s="11"/>
      <c r="V1090" s="11"/>
      <c r="W1090" s="11"/>
      <c r="X1090" s="11"/>
      <c r="Y1090" s="11"/>
    </row>
    <row r="1091" spans="1:25" x14ac:dyDescent="0.25">
      <c r="A1091"/>
      <c r="D1091"/>
      <c r="F1091" s="11"/>
      <c r="H1091" s="11"/>
      <c r="J1091" s="11"/>
      <c r="M1091" s="11"/>
      <c r="O1091" s="11"/>
      <c r="R1091" s="11"/>
      <c r="V1091" s="11"/>
      <c r="W1091" s="11"/>
      <c r="X1091" s="11"/>
      <c r="Y1091" s="11"/>
    </row>
    <row r="1092" spans="1:25" x14ac:dyDescent="0.25">
      <c r="A1092"/>
      <c r="D1092"/>
      <c r="F1092" s="11"/>
      <c r="H1092" s="11"/>
      <c r="J1092" s="11"/>
      <c r="M1092" s="11"/>
      <c r="O1092" s="11"/>
      <c r="R1092" s="11"/>
      <c r="V1092" s="11"/>
      <c r="W1092" s="11"/>
      <c r="X1092" s="11"/>
      <c r="Y1092" s="11"/>
    </row>
    <row r="1093" spans="1:25" x14ac:dyDescent="0.25">
      <c r="A1093"/>
      <c r="D1093"/>
      <c r="F1093" s="11"/>
      <c r="H1093" s="11"/>
      <c r="J1093" s="11"/>
      <c r="M1093" s="11"/>
      <c r="O1093" s="11"/>
      <c r="R1093" s="11"/>
      <c r="V1093" s="11"/>
      <c r="W1093" s="11"/>
      <c r="X1093" s="11"/>
      <c r="Y1093" s="11"/>
    </row>
    <row r="1094" spans="1:25" x14ac:dyDescent="0.25">
      <c r="A1094"/>
      <c r="D1094"/>
      <c r="F1094" s="11"/>
      <c r="H1094" s="11"/>
      <c r="J1094" s="11"/>
      <c r="M1094" s="11"/>
      <c r="O1094" s="11"/>
      <c r="R1094" s="11"/>
      <c r="V1094" s="11"/>
      <c r="W1094" s="11"/>
      <c r="X1094" s="11"/>
      <c r="Y1094" s="11"/>
    </row>
    <row r="1095" spans="1:25" x14ac:dyDescent="0.25">
      <c r="A1095"/>
      <c r="D1095"/>
      <c r="F1095" s="11"/>
      <c r="H1095" s="11"/>
      <c r="J1095" s="11"/>
      <c r="M1095" s="11"/>
      <c r="O1095" s="11"/>
      <c r="R1095" s="11"/>
      <c r="V1095" s="11"/>
      <c r="W1095" s="11"/>
      <c r="X1095" s="11"/>
      <c r="Y1095" s="11"/>
    </row>
    <row r="1096" spans="1:25" x14ac:dyDescent="0.25">
      <c r="A1096"/>
      <c r="D1096"/>
      <c r="F1096" s="11"/>
      <c r="H1096" s="11"/>
      <c r="J1096" s="11"/>
      <c r="M1096" s="11"/>
      <c r="O1096" s="11"/>
      <c r="R1096" s="11"/>
      <c r="V1096" s="11"/>
      <c r="W1096" s="11"/>
      <c r="X1096" s="11"/>
      <c r="Y1096" s="11"/>
    </row>
    <row r="1097" spans="1:25" x14ac:dyDescent="0.25">
      <c r="A1097"/>
      <c r="D1097"/>
      <c r="F1097" s="11"/>
      <c r="H1097" s="11"/>
      <c r="J1097" s="11"/>
      <c r="M1097" s="11"/>
      <c r="O1097" s="11"/>
      <c r="R1097" s="11"/>
      <c r="V1097" s="11"/>
      <c r="W1097" s="11"/>
      <c r="X1097" s="11"/>
      <c r="Y1097" s="11"/>
    </row>
    <row r="1098" spans="1:25" x14ac:dyDescent="0.25">
      <c r="A1098"/>
      <c r="D1098"/>
      <c r="F1098" s="11"/>
      <c r="H1098" s="11"/>
      <c r="J1098" s="11"/>
      <c r="M1098" s="11"/>
      <c r="O1098" s="11"/>
      <c r="R1098" s="11"/>
      <c r="V1098" s="11"/>
      <c r="W1098" s="11"/>
      <c r="X1098" s="11"/>
      <c r="Y1098" s="11"/>
    </row>
    <row r="1099" spans="1:25" x14ac:dyDescent="0.25">
      <c r="A1099"/>
      <c r="D1099"/>
      <c r="F1099" s="11"/>
      <c r="H1099" s="11"/>
      <c r="J1099" s="11"/>
      <c r="M1099" s="11"/>
      <c r="O1099" s="11"/>
      <c r="R1099" s="11"/>
      <c r="V1099" s="11"/>
      <c r="W1099" s="11"/>
      <c r="X1099" s="11"/>
      <c r="Y1099" s="11"/>
    </row>
    <row r="1100" spans="1:25" x14ac:dyDescent="0.25">
      <c r="A1100"/>
      <c r="D1100"/>
      <c r="F1100" s="11"/>
      <c r="H1100" s="11"/>
      <c r="J1100" s="11"/>
      <c r="M1100" s="11"/>
      <c r="O1100" s="11"/>
      <c r="R1100" s="11"/>
      <c r="V1100" s="11"/>
      <c r="W1100" s="11"/>
      <c r="X1100" s="11"/>
      <c r="Y1100" s="11"/>
    </row>
    <row r="1101" spans="1:25" x14ac:dyDescent="0.25">
      <c r="A1101"/>
      <c r="D1101"/>
      <c r="F1101" s="11"/>
      <c r="H1101" s="11"/>
      <c r="J1101" s="11"/>
      <c r="M1101" s="11"/>
      <c r="O1101" s="11"/>
      <c r="R1101" s="11"/>
      <c r="V1101" s="11"/>
      <c r="W1101" s="11"/>
      <c r="X1101" s="11"/>
      <c r="Y1101" s="11"/>
    </row>
    <row r="1102" spans="1:25" x14ac:dyDescent="0.25">
      <c r="A1102"/>
      <c r="D1102"/>
      <c r="F1102" s="11"/>
      <c r="H1102" s="11"/>
      <c r="J1102" s="11"/>
      <c r="M1102" s="11"/>
      <c r="O1102" s="11"/>
      <c r="R1102" s="11"/>
      <c r="V1102" s="11"/>
      <c r="W1102" s="11"/>
      <c r="X1102" s="11"/>
      <c r="Y1102" s="11"/>
    </row>
    <row r="1103" spans="1:25" x14ac:dyDescent="0.25">
      <c r="A1103"/>
      <c r="D1103"/>
      <c r="F1103" s="11"/>
      <c r="H1103" s="11"/>
      <c r="J1103" s="11"/>
      <c r="M1103" s="11"/>
      <c r="O1103" s="11"/>
      <c r="R1103" s="11"/>
      <c r="V1103" s="11"/>
      <c r="W1103" s="11"/>
      <c r="X1103" s="11"/>
      <c r="Y1103" s="11"/>
    </row>
    <row r="1104" spans="1:25" x14ac:dyDescent="0.25">
      <c r="A1104"/>
      <c r="D1104"/>
      <c r="F1104" s="11"/>
      <c r="H1104" s="11"/>
      <c r="J1104" s="11"/>
      <c r="M1104" s="11"/>
      <c r="O1104" s="11"/>
      <c r="R1104" s="11"/>
      <c r="V1104" s="11"/>
      <c r="W1104" s="11"/>
      <c r="X1104" s="11"/>
      <c r="Y1104" s="11"/>
    </row>
    <row r="1105" spans="1:25" x14ac:dyDescent="0.25">
      <c r="A1105"/>
      <c r="D1105"/>
      <c r="F1105" s="11"/>
      <c r="H1105" s="11"/>
      <c r="J1105" s="11"/>
      <c r="M1105" s="11"/>
      <c r="O1105" s="11"/>
      <c r="R1105" s="11"/>
      <c r="V1105" s="11"/>
      <c r="W1105" s="11"/>
      <c r="X1105" s="11"/>
      <c r="Y1105" s="11"/>
    </row>
    <row r="1106" spans="1:25" x14ac:dyDescent="0.25">
      <c r="A1106"/>
      <c r="D1106"/>
      <c r="F1106" s="11"/>
      <c r="H1106" s="11"/>
      <c r="J1106" s="11"/>
      <c r="M1106" s="11"/>
      <c r="O1106" s="11"/>
      <c r="R1106" s="11"/>
      <c r="V1106" s="11"/>
      <c r="W1106" s="11"/>
      <c r="X1106" s="11"/>
      <c r="Y1106" s="11"/>
    </row>
    <row r="1107" spans="1:25" x14ac:dyDescent="0.25">
      <c r="A1107"/>
      <c r="D1107"/>
      <c r="F1107" s="11"/>
      <c r="H1107" s="11"/>
      <c r="J1107" s="11"/>
      <c r="M1107" s="11"/>
      <c r="O1107" s="11"/>
      <c r="R1107" s="11"/>
      <c r="V1107" s="11"/>
      <c r="W1107" s="11"/>
      <c r="X1107" s="11"/>
      <c r="Y1107" s="11"/>
    </row>
    <row r="1108" spans="1:25" x14ac:dyDescent="0.25">
      <c r="A1108"/>
      <c r="D1108"/>
      <c r="F1108" s="11"/>
      <c r="H1108" s="11"/>
      <c r="J1108" s="11"/>
      <c r="M1108" s="11"/>
      <c r="O1108" s="11"/>
      <c r="R1108" s="11"/>
      <c r="V1108" s="11"/>
      <c r="W1108" s="11"/>
      <c r="X1108" s="11"/>
      <c r="Y1108" s="11"/>
    </row>
    <row r="1109" spans="1:25" x14ac:dyDescent="0.25">
      <c r="A1109"/>
      <c r="D1109"/>
      <c r="F1109" s="11"/>
      <c r="H1109" s="11"/>
      <c r="J1109" s="11"/>
      <c r="M1109" s="11"/>
      <c r="O1109" s="11"/>
      <c r="R1109" s="11"/>
      <c r="V1109" s="11"/>
      <c r="W1109" s="11"/>
      <c r="X1109" s="11"/>
      <c r="Y1109" s="11"/>
    </row>
    <row r="1110" spans="1:25" x14ac:dyDescent="0.25">
      <c r="A1110"/>
      <c r="D1110"/>
      <c r="F1110" s="11"/>
      <c r="H1110" s="11"/>
      <c r="J1110" s="11"/>
      <c r="M1110" s="11"/>
      <c r="O1110" s="11"/>
      <c r="R1110" s="11"/>
      <c r="V1110" s="11"/>
      <c r="W1110" s="11"/>
      <c r="X1110" s="11"/>
      <c r="Y1110" s="11"/>
    </row>
    <row r="1111" spans="1:25" x14ac:dyDescent="0.25">
      <c r="A1111"/>
      <c r="D1111"/>
      <c r="F1111" s="11"/>
      <c r="H1111" s="11"/>
      <c r="J1111" s="11"/>
      <c r="M1111" s="11"/>
      <c r="O1111" s="11"/>
      <c r="R1111" s="11"/>
      <c r="V1111" s="11"/>
      <c r="W1111" s="11"/>
      <c r="X1111" s="11"/>
      <c r="Y1111" s="11"/>
    </row>
    <row r="1112" spans="1:25" x14ac:dyDescent="0.25">
      <c r="A1112"/>
      <c r="D1112"/>
      <c r="F1112" s="11"/>
      <c r="H1112" s="11"/>
      <c r="J1112" s="11"/>
      <c r="M1112" s="11"/>
      <c r="O1112" s="11"/>
      <c r="R1112" s="11"/>
      <c r="V1112" s="11"/>
      <c r="W1112" s="11"/>
      <c r="X1112" s="11"/>
      <c r="Y1112" s="11"/>
    </row>
    <row r="1113" spans="1:25" x14ac:dyDescent="0.25">
      <c r="A1113"/>
      <c r="D1113"/>
      <c r="F1113" s="11"/>
      <c r="H1113" s="11"/>
      <c r="J1113" s="11"/>
      <c r="M1113" s="11"/>
      <c r="O1113" s="11"/>
      <c r="R1113" s="11"/>
      <c r="V1113" s="11"/>
      <c r="W1113" s="11"/>
      <c r="X1113" s="11"/>
      <c r="Y1113" s="11"/>
    </row>
    <row r="1114" spans="1:25" x14ac:dyDescent="0.25">
      <c r="A1114"/>
      <c r="D1114"/>
      <c r="F1114" s="11"/>
      <c r="H1114" s="11"/>
      <c r="J1114" s="11"/>
      <c r="M1114" s="11"/>
      <c r="O1114" s="11"/>
      <c r="R1114" s="11"/>
      <c r="V1114" s="11"/>
      <c r="W1114" s="11"/>
      <c r="X1114" s="11"/>
      <c r="Y1114" s="11"/>
    </row>
    <row r="1115" spans="1:25" x14ac:dyDescent="0.25">
      <c r="A1115"/>
      <c r="D1115"/>
      <c r="F1115" s="11"/>
      <c r="H1115" s="11"/>
      <c r="J1115" s="11"/>
      <c r="M1115" s="11"/>
      <c r="O1115" s="11"/>
      <c r="R1115" s="11"/>
      <c r="V1115" s="11"/>
      <c r="W1115" s="11"/>
      <c r="X1115" s="11"/>
      <c r="Y1115" s="11"/>
    </row>
    <row r="1116" spans="1:25" x14ac:dyDescent="0.25">
      <c r="A1116"/>
      <c r="D1116"/>
      <c r="F1116" s="11"/>
      <c r="H1116" s="11"/>
      <c r="J1116" s="11"/>
      <c r="M1116" s="11"/>
      <c r="O1116" s="11"/>
      <c r="R1116" s="11"/>
      <c r="V1116" s="11"/>
      <c r="W1116" s="11"/>
      <c r="X1116" s="11"/>
      <c r="Y1116" s="11"/>
    </row>
    <row r="1117" spans="1:25" x14ac:dyDescent="0.25">
      <c r="A1117"/>
      <c r="D1117"/>
      <c r="F1117" s="11"/>
      <c r="H1117" s="11"/>
      <c r="J1117" s="11"/>
      <c r="M1117" s="11"/>
      <c r="O1117" s="11"/>
      <c r="R1117" s="11"/>
      <c r="V1117" s="11"/>
      <c r="W1117" s="11"/>
      <c r="X1117" s="11"/>
      <c r="Y1117" s="11"/>
    </row>
    <row r="1118" spans="1:25" x14ac:dyDescent="0.25">
      <c r="A1118"/>
      <c r="D1118"/>
      <c r="F1118" s="11"/>
      <c r="H1118" s="11"/>
      <c r="J1118" s="11"/>
      <c r="M1118" s="11"/>
      <c r="O1118" s="11"/>
      <c r="R1118" s="11"/>
      <c r="V1118" s="11"/>
      <c r="W1118" s="11"/>
      <c r="X1118" s="11"/>
      <c r="Y1118" s="11"/>
    </row>
    <row r="1119" spans="1:25" x14ac:dyDescent="0.25">
      <c r="A1119"/>
      <c r="D1119"/>
      <c r="F1119" s="11"/>
      <c r="H1119" s="11"/>
      <c r="J1119" s="11"/>
      <c r="M1119" s="11"/>
      <c r="O1119" s="11"/>
      <c r="R1119" s="11"/>
      <c r="V1119" s="11"/>
      <c r="W1119" s="11"/>
      <c r="X1119" s="11"/>
      <c r="Y1119" s="11"/>
    </row>
    <row r="1120" spans="1:25" x14ac:dyDescent="0.25">
      <c r="A1120"/>
      <c r="D1120"/>
      <c r="F1120" s="11"/>
      <c r="H1120" s="11"/>
      <c r="J1120" s="11"/>
      <c r="M1120" s="11"/>
      <c r="O1120" s="11"/>
      <c r="R1120" s="11"/>
      <c r="V1120" s="11"/>
      <c r="W1120" s="11"/>
      <c r="X1120" s="11"/>
      <c r="Y1120" s="11"/>
    </row>
    <row r="1121" spans="1:25" x14ac:dyDescent="0.25">
      <c r="A1121"/>
      <c r="D1121"/>
      <c r="F1121" s="11"/>
      <c r="H1121" s="11"/>
      <c r="J1121" s="11"/>
      <c r="M1121" s="11"/>
      <c r="O1121" s="11"/>
      <c r="R1121" s="11"/>
      <c r="V1121" s="11"/>
      <c r="W1121" s="11"/>
      <c r="X1121" s="11"/>
      <c r="Y1121" s="11"/>
    </row>
    <row r="1122" spans="1:25" x14ac:dyDescent="0.25">
      <c r="A1122"/>
      <c r="D1122"/>
      <c r="F1122" s="11"/>
      <c r="H1122" s="11"/>
      <c r="J1122" s="11"/>
      <c r="M1122" s="11"/>
      <c r="O1122" s="11"/>
      <c r="R1122" s="11"/>
      <c r="V1122" s="11"/>
      <c r="W1122" s="11"/>
      <c r="X1122" s="11"/>
      <c r="Y1122" s="11"/>
    </row>
    <row r="1123" spans="1:25" x14ac:dyDescent="0.25">
      <c r="A1123"/>
      <c r="D1123"/>
      <c r="F1123" s="11"/>
      <c r="H1123" s="11"/>
      <c r="J1123" s="11"/>
      <c r="M1123" s="11"/>
      <c r="O1123" s="11"/>
      <c r="R1123" s="11"/>
      <c r="V1123" s="11"/>
      <c r="W1123" s="11"/>
      <c r="X1123" s="11"/>
      <c r="Y1123" s="11"/>
    </row>
    <row r="1124" spans="1:25" x14ac:dyDescent="0.25">
      <c r="A1124"/>
      <c r="D1124"/>
      <c r="F1124" s="11"/>
      <c r="H1124" s="11"/>
      <c r="J1124" s="11"/>
      <c r="M1124" s="11"/>
      <c r="O1124" s="11"/>
      <c r="R1124" s="11"/>
      <c r="V1124" s="11"/>
      <c r="W1124" s="11"/>
      <c r="X1124" s="11"/>
      <c r="Y1124" s="11"/>
    </row>
    <row r="1125" spans="1:25" x14ac:dyDescent="0.25">
      <c r="A1125"/>
      <c r="D1125"/>
      <c r="F1125" s="11"/>
      <c r="H1125" s="11"/>
      <c r="J1125" s="11"/>
      <c r="M1125" s="11"/>
      <c r="O1125" s="11"/>
      <c r="R1125" s="11"/>
      <c r="V1125" s="11"/>
      <c r="W1125" s="11"/>
      <c r="X1125" s="11"/>
      <c r="Y1125" s="11"/>
    </row>
    <row r="1126" spans="1:25" x14ac:dyDescent="0.25">
      <c r="A1126"/>
      <c r="D1126"/>
      <c r="F1126" s="11"/>
      <c r="H1126" s="11"/>
      <c r="J1126" s="11"/>
      <c r="M1126" s="11"/>
      <c r="O1126" s="11"/>
      <c r="R1126" s="11"/>
      <c r="V1126" s="11"/>
      <c r="W1126" s="11"/>
      <c r="X1126" s="11"/>
      <c r="Y1126" s="11"/>
    </row>
    <row r="1127" spans="1:25" x14ac:dyDescent="0.25">
      <c r="A1127"/>
      <c r="D1127"/>
      <c r="F1127" s="11"/>
      <c r="H1127" s="11"/>
      <c r="J1127" s="11"/>
      <c r="M1127" s="11"/>
      <c r="O1127" s="11"/>
      <c r="R1127" s="11"/>
      <c r="V1127" s="11"/>
      <c r="W1127" s="11"/>
      <c r="X1127" s="11"/>
      <c r="Y1127" s="11"/>
    </row>
    <row r="1128" spans="1:25" x14ac:dyDescent="0.25">
      <c r="A1128"/>
      <c r="D1128"/>
      <c r="F1128" s="11"/>
      <c r="H1128" s="11"/>
      <c r="J1128" s="11"/>
      <c r="M1128" s="11"/>
      <c r="O1128" s="11"/>
      <c r="R1128" s="11"/>
      <c r="V1128" s="11"/>
      <c r="W1128" s="11"/>
      <c r="X1128" s="11"/>
      <c r="Y1128" s="11"/>
    </row>
    <row r="1129" spans="1:25" x14ac:dyDescent="0.25">
      <c r="A1129"/>
      <c r="D1129"/>
      <c r="F1129" s="11"/>
      <c r="H1129" s="11"/>
      <c r="J1129" s="11"/>
      <c r="M1129" s="11"/>
      <c r="O1129" s="11"/>
      <c r="R1129" s="11"/>
      <c r="V1129" s="11"/>
      <c r="W1129" s="11"/>
      <c r="X1129" s="11"/>
      <c r="Y1129" s="11"/>
    </row>
    <row r="1130" spans="1:25" x14ac:dyDescent="0.25">
      <c r="A1130"/>
      <c r="D1130"/>
      <c r="F1130" s="11"/>
      <c r="H1130" s="11"/>
      <c r="J1130" s="11"/>
      <c r="M1130" s="11"/>
      <c r="O1130" s="11"/>
      <c r="R1130" s="11"/>
      <c r="V1130" s="11"/>
      <c r="W1130" s="11"/>
      <c r="X1130" s="11"/>
      <c r="Y1130" s="11"/>
    </row>
    <row r="1131" spans="1:25" x14ac:dyDescent="0.25">
      <c r="A1131"/>
      <c r="D1131"/>
      <c r="F1131" s="11"/>
      <c r="H1131" s="11"/>
      <c r="J1131" s="11"/>
      <c r="M1131" s="11"/>
      <c r="O1131" s="11"/>
      <c r="R1131" s="11"/>
      <c r="V1131" s="11"/>
      <c r="W1131" s="11"/>
      <c r="X1131" s="11"/>
      <c r="Y1131" s="11"/>
    </row>
    <row r="1132" spans="1:25" x14ac:dyDescent="0.25">
      <c r="A1132"/>
      <c r="D1132"/>
      <c r="F1132" s="11"/>
      <c r="H1132" s="11"/>
      <c r="J1132" s="11"/>
      <c r="M1132" s="11"/>
      <c r="O1132" s="11"/>
      <c r="R1132" s="11"/>
      <c r="V1132" s="11"/>
      <c r="W1132" s="11"/>
      <c r="X1132" s="11"/>
      <c r="Y1132" s="11"/>
    </row>
    <row r="1133" spans="1:25" x14ac:dyDescent="0.25">
      <c r="A1133"/>
      <c r="D1133"/>
      <c r="F1133" s="11"/>
      <c r="H1133" s="11"/>
      <c r="J1133" s="11"/>
      <c r="M1133" s="11"/>
      <c r="O1133" s="11"/>
      <c r="R1133" s="11"/>
      <c r="V1133" s="11"/>
      <c r="W1133" s="11"/>
      <c r="X1133" s="11"/>
      <c r="Y1133" s="11"/>
    </row>
    <row r="1134" spans="1:25" x14ac:dyDescent="0.25">
      <c r="A1134"/>
      <c r="D1134"/>
      <c r="F1134" s="11"/>
      <c r="H1134" s="11"/>
      <c r="J1134" s="11"/>
      <c r="M1134" s="11"/>
      <c r="O1134" s="11"/>
      <c r="R1134" s="11"/>
      <c r="V1134" s="11"/>
      <c r="W1134" s="11"/>
      <c r="X1134" s="11"/>
      <c r="Y1134" s="11"/>
    </row>
  </sheetData>
  <mergeCells count="9">
    <mergeCell ref="V5:Y5"/>
    <mergeCell ref="N5:P5"/>
    <mergeCell ref="Q5:S5"/>
    <mergeCell ref="A5:D5"/>
    <mergeCell ref="A1:C1"/>
    <mergeCell ref="E5:F5"/>
    <mergeCell ref="G5:H5"/>
    <mergeCell ref="I5:J5"/>
    <mergeCell ref="K5:M5"/>
  </mergeCells>
  <dataValidations count="2">
    <dataValidation type="list" allowBlank="1" showInputMessage="1" showErrorMessage="1" sqref="E1" xr:uid="{00000000-0002-0000-0000-000000000000}">
      <formula1>"January, February, March, April, May, June, July, August, September, October, November, December"</formula1>
    </dataValidation>
    <dataValidation type="whole" allowBlank="1" showInputMessage="1" showErrorMessage="1" sqref="F1" xr:uid="{00000000-0002-0000-0000-000001000000}">
      <formula1>2016</formula1>
      <formula2>2050</formula2>
    </dataValidation>
  </dataValidations>
  <pageMargins left="0.25" right="0.25" top="0.75" bottom="0.75" header="0.3" footer="0.3"/>
  <pageSetup scale="2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2" r:id="rId4" name="CheckBox1">
          <controlPr autoLine="0" r:id="rId5">
            <anchor>
              <from>
                <xdr:col>73</xdr:col>
                <xdr:colOff>542925</xdr:colOff>
                <xdr:row>0</xdr:row>
                <xdr:rowOff>57150</xdr:rowOff>
              </from>
              <to>
                <xdr:col>75</xdr:col>
                <xdr:colOff>600075</xdr:colOff>
                <xdr:row>2</xdr:row>
                <xdr:rowOff>85725</xdr:rowOff>
              </to>
            </anchor>
          </controlPr>
        </control>
      </mc:Choice>
      <mc:Fallback>
        <control shapeId="1032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tartOver">
            <anchor>
              <from>
                <xdr:col>62</xdr:col>
                <xdr:colOff>523875</xdr:colOff>
                <xdr:row>0</xdr:row>
                <xdr:rowOff>161925</xdr:rowOff>
              </from>
              <to>
                <xdr:col>69</xdr:col>
                <xdr:colOff>419100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GetData">
            <anchor>
              <from>
                <xdr:col>42</xdr:col>
                <xdr:colOff>561975</xdr:colOff>
                <xdr:row>0</xdr:row>
                <xdr:rowOff>171450</xdr:rowOff>
              </from>
              <to>
                <xdr:col>51</xdr:col>
                <xdr:colOff>114300</xdr:colOff>
                <xdr:row>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MakeWorksheets">
            <anchor>
              <from>
                <xdr:col>51</xdr:col>
                <xdr:colOff>371475</xdr:colOff>
                <xdr:row>0</xdr:row>
                <xdr:rowOff>171450</xdr:rowOff>
              </from>
              <to>
                <xdr:col>62</xdr:col>
                <xdr:colOff>247650</xdr:colOff>
                <xdr:row>1</xdr:row>
                <xdr:rowOff>171450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5"/>
  <dimension ref="A1:D30"/>
  <sheetViews>
    <sheetView workbookViewId="0">
      <selection activeCell="A17" sqref="A17"/>
    </sheetView>
  </sheetViews>
  <sheetFormatPr defaultRowHeight="15" x14ac:dyDescent="0.25"/>
  <cols>
    <col min="1" max="1" width="10.140625" bestFit="1" customWidth="1"/>
    <col min="2" max="2" width="32.5703125" bestFit="1" customWidth="1"/>
  </cols>
  <sheetData>
    <row r="1" spans="1:3" x14ac:dyDescent="0.25">
      <c r="A1" s="1" t="s">
        <v>16</v>
      </c>
      <c r="B1" s="1" t="s">
        <v>17</v>
      </c>
      <c r="C1" s="1"/>
    </row>
    <row r="2" spans="1:3" x14ac:dyDescent="0.25">
      <c r="A2" t="s">
        <v>4</v>
      </c>
      <c r="B2" t="s">
        <v>21</v>
      </c>
    </row>
    <row r="3" spans="1:3" x14ac:dyDescent="0.25">
      <c r="A3" t="s">
        <v>6</v>
      </c>
      <c r="B3" s="16" t="s">
        <v>3564</v>
      </c>
    </row>
    <row r="4" spans="1:3" x14ac:dyDescent="0.25">
      <c r="A4" t="s">
        <v>7</v>
      </c>
      <c r="B4" t="s">
        <v>3565</v>
      </c>
    </row>
    <row r="5" spans="1:3" x14ac:dyDescent="0.25">
      <c r="A5" t="s">
        <v>8</v>
      </c>
      <c r="B5" t="s">
        <v>3566</v>
      </c>
    </row>
    <row r="6" spans="1:3" x14ac:dyDescent="0.25">
      <c r="A6" t="s">
        <v>9</v>
      </c>
      <c r="B6" s="16" t="s">
        <v>3570</v>
      </c>
    </row>
    <row r="7" spans="1:3" x14ac:dyDescent="0.25">
      <c r="A7" t="s">
        <v>3428</v>
      </c>
      <c r="B7" s="16" t="s">
        <v>20</v>
      </c>
    </row>
    <row r="8" spans="1:3" x14ac:dyDescent="0.25">
      <c r="A8" t="s">
        <v>10</v>
      </c>
      <c r="B8" t="s">
        <v>18</v>
      </c>
    </row>
    <row r="9" spans="1:3" x14ac:dyDescent="0.25">
      <c r="A9" t="s">
        <v>42</v>
      </c>
      <c r="B9" s="16" t="s">
        <v>3569</v>
      </c>
    </row>
    <row r="10" spans="1:3" x14ac:dyDescent="0.25">
      <c r="A10" t="s">
        <v>11</v>
      </c>
      <c r="B10" t="s">
        <v>19</v>
      </c>
    </row>
    <row r="11" spans="1:3" x14ac:dyDescent="0.25">
      <c r="A11" t="s">
        <v>12</v>
      </c>
      <c r="B11" s="16" t="s">
        <v>3571</v>
      </c>
    </row>
    <row r="12" spans="1:3" x14ac:dyDescent="0.25">
      <c r="A12" t="s">
        <v>13</v>
      </c>
      <c r="B12" s="16" t="s">
        <v>3568</v>
      </c>
    </row>
    <row r="13" spans="1:3" x14ac:dyDescent="0.25">
      <c r="A13" t="s">
        <v>39</v>
      </c>
      <c r="B13" s="16" t="s">
        <v>3567</v>
      </c>
    </row>
    <row r="14" spans="1:3" x14ac:dyDescent="0.25">
      <c r="A14" t="s">
        <v>56</v>
      </c>
      <c r="B14" s="16" t="s">
        <v>3566</v>
      </c>
    </row>
    <row r="15" spans="1:3" x14ac:dyDescent="0.25">
      <c r="A15" t="s">
        <v>14</v>
      </c>
      <c r="B15" t="s">
        <v>20</v>
      </c>
    </row>
    <row r="16" spans="1:3" x14ac:dyDescent="0.25">
      <c r="A16" t="s">
        <v>15</v>
      </c>
      <c r="B16" s="16" t="s">
        <v>3570</v>
      </c>
    </row>
    <row r="18" spans="1:4" s="1" customFormat="1" x14ac:dyDescent="0.25">
      <c r="A18" s="1" t="s">
        <v>22</v>
      </c>
    </row>
    <row r="21" spans="1:4" x14ac:dyDescent="0.25">
      <c r="A21" t="s">
        <v>23</v>
      </c>
    </row>
    <row r="22" spans="1:4" x14ac:dyDescent="0.25">
      <c r="A22" s="5" t="str">
        <f>"\\10.10.1.10\dhfolders\Partners\Monthly Production\"</f>
        <v>\\10.10.1.10\dhfolders\Partners\Monthly Production\</v>
      </c>
    </row>
    <row r="27" spans="1:4" x14ac:dyDescent="0.25">
      <c r="A27" t="s">
        <v>47</v>
      </c>
    </row>
    <row r="28" spans="1:4" x14ac:dyDescent="0.25">
      <c r="A28" t="s">
        <v>48</v>
      </c>
      <c r="D28" s="19"/>
    </row>
    <row r="29" spans="1:4" x14ac:dyDescent="0.25">
      <c r="A29" t="s">
        <v>49</v>
      </c>
    </row>
    <row r="30" spans="1:4" x14ac:dyDescent="0.25">
      <c r="A30" t="s">
        <v>50</v>
      </c>
    </row>
  </sheetData>
  <hyperlinks>
    <hyperlink ref="B13" r:id="rId1" xr:uid="{00000000-0004-0000-0100-000000000000}"/>
    <hyperlink ref="B14" r:id="rId2" display="lafayette@deanshomer.com" xr:uid="{00000000-0004-0000-0100-000002000000}"/>
    <hyperlink ref="B7" r:id="rId3" xr:uid="{10E7DF26-870C-46F2-B51D-13B7EC2408D7}"/>
    <hyperlink ref="B3" r:id="rId4" xr:uid="{995B055A-9E72-4196-850D-1CE239CE5703}"/>
    <hyperlink ref="B16" r:id="rId5" xr:uid="{8F9988E4-4740-488C-B4B4-336A3488564D}"/>
    <hyperlink ref="B6" r:id="rId6" xr:uid="{718C3D80-3E27-4F0D-AADF-194FDDF8A400}"/>
    <hyperlink ref="B12" r:id="rId7" xr:uid="{30141E29-62A7-400F-B2D6-9AD12DDB7E7C}"/>
    <hyperlink ref="B11" r:id="rId8" xr:uid="{CC0694F4-EFFF-4DE1-9D95-6602C5D9E602}"/>
    <hyperlink ref="B9" r:id="rId9" xr:uid="{9C53E55C-593C-434A-970E-E08B9B2EB0C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7DC5C-E407-41E8-9040-BDEA93E559C0}">
  <sheetPr>
    <pageSetUpPr fitToPage="1"/>
  </sheetPr>
  <dimension ref="A1:Z88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855468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6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64</v>
      </c>
      <c r="B7" s="20" t="s">
        <v>60</v>
      </c>
      <c r="C7" s="20" t="s">
        <v>65</v>
      </c>
      <c r="D7" s="20" t="s">
        <v>216</v>
      </c>
      <c r="E7" s="13">
        <v>26660.37</v>
      </c>
      <c r="F7" s="11">
        <v>0</v>
      </c>
      <c r="G7" s="13">
        <v>0</v>
      </c>
      <c r="H7" s="11">
        <v>0</v>
      </c>
      <c r="I7" s="13">
        <f>E7+G7</f>
        <v>26660.37</v>
      </c>
      <c r="J7" s="11">
        <f>F7+H7</f>
        <v>0</v>
      </c>
      <c r="K7" s="13">
        <v>18144</v>
      </c>
      <c r="L7" s="11">
        <v>0</v>
      </c>
      <c r="M7" s="11">
        <v>1</v>
      </c>
      <c r="N7" s="13">
        <v>0</v>
      </c>
      <c r="O7" s="11">
        <v>0</v>
      </c>
      <c r="P7" s="11">
        <v>0</v>
      </c>
      <c r="Q7" s="13">
        <f>K7+N7</f>
        <v>18144</v>
      </c>
      <c r="R7" s="11">
        <f>L7+O7</f>
        <v>0</v>
      </c>
      <c r="S7" s="11">
        <f>M7+P7</f>
        <v>1</v>
      </c>
      <c r="T7" s="8">
        <f>I7-Q7</f>
        <v>8516.369999999999</v>
      </c>
      <c r="U7" s="18">
        <v>4.8826965650296629E-2</v>
      </c>
      <c r="V7" s="11">
        <v>0.33</v>
      </c>
      <c r="W7" s="11">
        <v>1</v>
      </c>
      <c r="X7" s="11">
        <v>2</v>
      </c>
      <c r="Y7" s="11">
        <v>1</v>
      </c>
    </row>
    <row r="8" spans="1:26" x14ac:dyDescent="0.25">
      <c r="A8" s="20" t="s">
        <v>66</v>
      </c>
      <c r="B8" s="20" t="s">
        <v>60</v>
      </c>
      <c r="C8" s="20" t="s">
        <v>67</v>
      </c>
      <c r="D8" s="20" t="s">
        <v>216</v>
      </c>
      <c r="E8" s="13">
        <v>18931</v>
      </c>
      <c r="F8" s="11">
        <v>0</v>
      </c>
      <c r="G8" s="13">
        <v>33361</v>
      </c>
      <c r="H8" s="11">
        <v>0</v>
      </c>
      <c r="I8" s="13">
        <f>E8+G8</f>
        <v>52292</v>
      </c>
      <c r="J8" s="11">
        <f>F8+H8</f>
        <v>0</v>
      </c>
      <c r="K8" s="13">
        <v>23529</v>
      </c>
      <c r="L8" s="11">
        <v>2</v>
      </c>
      <c r="M8" s="11">
        <v>3</v>
      </c>
      <c r="N8" s="13">
        <v>58831.25</v>
      </c>
      <c r="O8" s="11">
        <v>1</v>
      </c>
      <c r="P8" s="11">
        <v>6</v>
      </c>
      <c r="Q8" s="13">
        <f>K8+N8</f>
        <v>82360.25</v>
      </c>
      <c r="R8" s="11">
        <f>L8+O8</f>
        <v>3</v>
      </c>
      <c r="S8" s="11">
        <f>M8+P8</f>
        <v>9</v>
      </c>
      <c r="T8" s="8">
        <f>I8-Q8</f>
        <v>-30068.25</v>
      </c>
      <c r="U8" s="18">
        <v>4.1349662231406799E-2</v>
      </c>
      <c r="V8" s="11">
        <v>0.47</v>
      </c>
      <c r="W8" s="11">
        <v>7</v>
      </c>
      <c r="X8" s="11">
        <v>8</v>
      </c>
      <c r="Y8" s="11">
        <v>0</v>
      </c>
    </row>
    <row r="9" spans="1:26" x14ac:dyDescent="0.25">
      <c r="A9" s="20" t="s">
        <v>68</v>
      </c>
      <c r="B9" s="20" t="s">
        <v>901</v>
      </c>
      <c r="C9" s="20" t="s">
        <v>902</v>
      </c>
      <c r="D9" s="20" t="s">
        <v>215</v>
      </c>
      <c r="E9" s="13">
        <v>0</v>
      </c>
      <c r="F9" s="11">
        <v>0</v>
      </c>
      <c r="G9" s="13">
        <v>-674.41</v>
      </c>
      <c r="H9" s="11">
        <v>0</v>
      </c>
      <c r="I9" s="13">
        <f>E9+G9</f>
        <v>-674.41</v>
      </c>
      <c r="J9" s="11">
        <f>F9+H9</f>
        <v>0</v>
      </c>
      <c r="K9" s="13">
        <v>31685.01</v>
      </c>
      <c r="L9" s="11">
        <v>0</v>
      </c>
      <c r="M9" s="11">
        <v>1</v>
      </c>
      <c r="N9" s="13">
        <v>159626.5</v>
      </c>
      <c r="O9" s="11">
        <v>0</v>
      </c>
      <c r="P9" s="11">
        <v>1</v>
      </c>
      <c r="Q9" s="13">
        <f>K9+N9</f>
        <v>191311.51</v>
      </c>
      <c r="R9" s="11">
        <f>L9+O9</f>
        <v>0</v>
      </c>
      <c r="S9" s="11">
        <f>M9+P9</f>
        <v>2</v>
      </c>
      <c r="T9" s="8">
        <f>I9-Q9</f>
        <v>-191985.92000000001</v>
      </c>
      <c r="U9" s="18" t="s">
        <v>1803</v>
      </c>
      <c r="V9" s="11">
        <v>0.33</v>
      </c>
      <c r="W9" s="11">
        <v>2</v>
      </c>
      <c r="X9" s="11">
        <v>4</v>
      </c>
      <c r="Y9" s="11">
        <v>0</v>
      </c>
    </row>
    <row r="10" spans="1:26" x14ac:dyDescent="0.25">
      <c r="A10" s="20" t="s">
        <v>69</v>
      </c>
      <c r="B10" s="20" t="s">
        <v>60</v>
      </c>
      <c r="C10" s="20" t="s">
        <v>70</v>
      </c>
      <c r="D10" s="20" t="s">
        <v>216</v>
      </c>
      <c r="E10" s="13">
        <v>3715</v>
      </c>
      <c r="F10" s="11">
        <v>1</v>
      </c>
      <c r="G10" s="13">
        <v>0</v>
      </c>
      <c r="H10" s="11">
        <v>0</v>
      </c>
      <c r="I10" s="13">
        <f>E10+G10</f>
        <v>3715</v>
      </c>
      <c r="J10" s="11">
        <f>F10+H10</f>
        <v>1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1</v>
      </c>
      <c r="Q10" s="13">
        <f>K10+N10</f>
        <v>0</v>
      </c>
      <c r="R10" s="11">
        <f>L10+O10</f>
        <v>0</v>
      </c>
      <c r="S10" s="11">
        <f>M10+P10</f>
        <v>1</v>
      </c>
      <c r="T10" s="8">
        <f>I10-Q10</f>
        <v>3715</v>
      </c>
      <c r="U10" s="18">
        <v>0.86225077273487494</v>
      </c>
      <c r="V10" s="11">
        <v>0.33</v>
      </c>
      <c r="W10" s="11">
        <v>2</v>
      </c>
      <c r="X10" s="11">
        <v>4</v>
      </c>
      <c r="Y10" s="11">
        <v>2</v>
      </c>
    </row>
    <row r="11" spans="1:26" x14ac:dyDescent="0.25">
      <c r="A11" s="20" t="s">
        <v>72</v>
      </c>
      <c r="B11" s="20" t="s">
        <v>60</v>
      </c>
      <c r="C11" s="20" t="s">
        <v>73</v>
      </c>
      <c r="D11" s="20" t="s">
        <v>216</v>
      </c>
      <c r="E11" s="13">
        <v>0</v>
      </c>
      <c r="F11" s="11">
        <v>0</v>
      </c>
      <c r="G11" s="13">
        <v>18703</v>
      </c>
      <c r="H11" s="11">
        <v>0</v>
      </c>
      <c r="I11" s="13">
        <f>E11+G11</f>
        <v>18703</v>
      </c>
      <c r="J11" s="11">
        <f>F11+H11</f>
        <v>0</v>
      </c>
      <c r="K11" s="13">
        <v>0</v>
      </c>
      <c r="L11" s="11">
        <v>0</v>
      </c>
      <c r="M11" s="11">
        <v>1</v>
      </c>
      <c r="N11" s="13">
        <v>17599</v>
      </c>
      <c r="O11" s="11">
        <v>0</v>
      </c>
      <c r="P11" s="11">
        <v>2</v>
      </c>
      <c r="Q11" s="13">
        <f>K11+N11</f>
        <v>17599</v>
      </c>
      <c r="R11" s="11">
        <f>L11+O11</f>
        <v>0</v>
      </c>
      <c r="S11" s="11">
        <f>M11+P11</f>
        <v>3</v>
      </c>
      <c r="T11" s="8">
        <f>I11-Q11</f>
        <v>1104</v>
      </c>
      <c r="U11" s="18">
        <v>7.7107632233447965E-2</v>
      </c>
      <c r="V11" s="11">
        <v>0.43</v>
      </c>
      <c r="W11" s="11">
        <v>3</v>
      </c>
      <c r="X11" s="11">
        <v>4</v>
      </c>
      <c r="Y11" s="11">
        <v>3</v>
      </c>
    </row>
    <row r="12" spans="1:26" x14ac:dyDescent="0.25">
      <c r="A12" s="20" t="s">
        <v>85</v>
      </c>
      <c r="B12" s="20" t="s">
        <v>86</v>
      </c>
      <c r="C12" s="20" t="s">
        <v>87</v>
      </c>
      <c r="D12" s="20" t="s">
        <v>216</v>
      </c>
      <c r="E12" s="13">
        <v>0</v>
      </c>
      <c r="F12" s="11">
        <v>0</v>
      </c>
      <c r="G12" s="13">
        <v>15144.55</v>
      </c>
      <c r="H12" s="11">
        <v>0</v>
      </c>
      <c r="I12" s="13">
        <f>E12+G12</f>
        <v>15144.55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45539.14</v>
      </c>
      <c r="O12" s="11">
        <v>2</v>
      </c>
      <c r="P12" s="11">
        <v>2</v>
      </c>
      <c r="Q12" s="13">
        <f>K12+N12</f>
        <v>45539.14</v>
      </c>
      <c r="R12" s="11">
        <f>L12+O12</f>
        <v>2</v>
      </c>
      <c r="S12" s="11">
        <f>M12+P12</f>
        <v>2</v>
      </c>
      <c r="T12" s="8">
        <f>I12-Q12</f>
        <v>-30394.59</v>
      </c>
      <c r="U12" s="18">
        <v>0.38090543332135174</v>
      </c>
      <c r="V12" s="11">
        <v>0</v>
      </c>
      <c r="W12" s="11">
        <v>0</v>
      </c>
      <c r="X12" s="11">
        <v>2</v>
      </c>
      <c r="Y12" s="11">
        <v>0</v>
      </c>
    </row>
    <row r="13" spans="1:26" x14ac:dyDescent="0.25">
      <c r="A13" s="20" t="s">
        <v>88</v>
      </c>
      <c r="B13" s="20" t="s">
        <v>88</v>
      </c>
      <c r="C13" s="20" t="s">
        <v>89</v>
      </c>
      <c r="D13" s="20" t="s">
        <v>216</v>
      </c>
      <c r="E13" s="13">
        <v>5639</v>
      </c>
      <c r="F13" s="11">
        <v>0</v>
      </c>
      <c r="G13" s="13">
        <v>23626</v>
      </c>
      <c r="H13" s="11">
        <v>0</v>
      </c>
      <c r="I13" s="13">
        <f>E13+G13</f>
        <v>29265</v>
      </c>
      <c r="J13" s="11">
        <f>F13+H13</f>
        <v>0</v>
      </c>
      <c r="K13" s="13">
        <v>6788</v>
      </c>
      <c r="L13" s="11">
        <v>0</v>
      </c>
      <c r="M13" s="11">
        <v>0</v>
      </c>
      <c r="N13" s="13">
        <v>23978</v>
      </c>
      <c r="O13" s="11">
        <v>0</v>
      </c>
      <c r="P13" s="11">
        <v>0</v>
      </c>
      <c r="Q13" s="13">
        <f>K13+N13</f>
        <v>30766</v>
      </c>
      <c r="R13" s="11">
        <f>L13+O13</f>
        <v>0</v>
      </c>
      <c r="S13" s="11">
        <f>M13+P13</f>
        <v>0</v>
      </c>
      <c r="T13" s="8">
        <f>I13-Q13</f>
        <v>-1501</v>
      </c>
      <c r="U13" s="18">
        <v>6.6527084877076356E-2</v>
      </c>
      <c r="V13" s="11">
        <v>0</v>
      </c>
      <c r="W13" s="11">
        <v>0</v>
      </c>
      <c r="X13" s="11">
        <v>0</v>
      </c>
      <c r="Y13" s="11">
        <v>0</v>
      </c>
    </row>
    <row r="14" spans="1:26" x14ac:dyDescent="0.25">
      <c r="A14" s="20" t="s">
        <v>90</v>
      </c>
      <c r="B14" s="20" t="s">
        <v>91</v>
      </c>
      <c r="C14" s="20" t="s">
        <v>92</v>
      </c>
      <c r="D14" s="20" t="s">
        <v>216</v>
      </c>
      <c r="E14" s="13">
        <v>-144.1</v>
      </c>
      <c r="F14" s="11">
        <v>0</v>
      </c>
      <c r="G14" s="13">
        <v>-18992.93</v>
      </c>
      <c r="H14" s="11">
        <v>0</v>
      </c>
      <c r="I14" s="13">
        <f>E14+G14</f>
        <v>-19137.03</v>
      </c>
      <c r="J14" s="11">
        <f>F14+H14</f>
        <v>0</v>
      </c>
      <c r="K14" s="13">
        <v>0</v>
      </c>
      <c r="L14" s="11">
        <v>0</v>
      </c>
      <c r="M14" s="11">
        <v>3</v>
      </c>
      <c r="N14" s="13">
        <v>28361.5</v>
      </c>
      <c r="O14" s="11">
        <v>0</v>
      </c>
      <c r="P14" s="11">
        <v>2</v>
      </c>
      <c r="Q14" s="13">
        <f>K14+N14</f>
        <v>28361.5</v>
      </c>
      <c r="R14" s="11">
        <f>L14+O14</f>
        <v>0</v>
      </c>
      <c r="S14" s="11">
        <f>M14+P14</f>
        <v>5</v>
      </c>
      <c r="T14" s="8">
        <f>I14-Q14</f>
        <v>-47498.53</v>
      </c>
      <c r="U14" s="18">
        <v>4.3435561777942597</v>
      </c>
      <c r="V14" s="11">
        <v>0.23</v>
      </c>
      <c r="W14" s="11">
        <v>5</v>
      </c>
      <c r="X14" s="11">
        <v>17</v>
      </c>
      <c r="Y14" s="11">
        <v>2</v>
      </c>
    </row>
    <row r="15" spans="1:26" x14ac:dyDescent="0.25">
      <c r="A15" s="20" t="s">
        <v>95</v>
      </c>
      <c r="B15" s="20" t="s">
        <v>60</v>
      </c>
      <c r="C15" s="20" t="s">
        <v>96</v>
      </c>
      <c r="D15" s="20" t="s">
        <v>215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5830</v>
      </c>
      <c r="O15" s="11">
        <v>0</v>
      </c>
      <c r="P15" s="11">
        <v>0</v>
      </c>
      <c r="Q15" s="13">
        <f>K15+N15</f>
        <v>5830</v>
      </c>
      <c r="R15" s="11">
        <f>L15+O15</f>
        <v>0</v>
      </c>
      <c r="S15" s="11">
        <f>M15+P15</f>
        <v>0</v>
      </c>
      <c r="T15" s="8">
        <f>I15-Q15</f>
        <v>-5830</v>
      </c>
      <c r="U15" s="18">
        <v>0.22533868355175971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103</v>
      </c>
      <c r="B16" s="20" t="s">
        <v>104</v>
      </c>
      <c r="C16" s="20" t="s">
        <v>105</v>
      </c>
      <c r="D16" s="20" t="s">
        <v>216</v>
      </c>
      <c r="E16" s="13">
        <v>5857.85</v>
      </c>
      <c r="F16" s="11">
        <v>1</v>
      </c>
      <c r="G16" s="13">
        <v>12515.14</v>
      </c>
      <c r="H16" s="11">
        <v>4</v>
      </c>
      <c r="I16" s="13">
        <f>E16+G16</f>
        <v>18372.989999999998</v>
      </c>
      <c r="J16" s="11">
        <f>F16+H16</f>
        <v>5</v>
      </c>
      <c r="K16" s="13">
        <v>3003</v>
      </c>
      <c r="L16" s="11">
        <v>0</v>
      </c>
      <c r="M16" s="11">
        <v>1</v>
      </c>
      <c r="N16" s="13">
        <v>10904.37</v>
      </c>
      <c r="O16" s="11">
        <v>1</v>
      </c>
      <c r="P16" s="11">
        <v>8</v>
      </c>
      <c r="Q16" s="13">
        <f>K16+N16</f>
        <v>13907.37</v>
      </c>
      <c r="R16" s="11">
        <f>L16+O16</f>
        <v>1</v>
      </c>
      <c r="S16" s="11">
        <f>M16+P16</f>
        <v>9</v>
      </c>
      <c r="T16" s="8">
        <f>I16-Q16</f>
        <v>4465.6199999999972</v>
      </c>
      <c r="U16" s="18">
        <v>0.8099380278853231</v>
      </c>
      <c r="V16" s="11">
        <v>0.46</v>
      </c>
      <c r="W16" s="11">
        <v>13</v>
      </c>
      <c r="X16" s="11">
        <v>15</v>
      </c>
      <c r="Y16" s="11">
        <v>1</v>
      </c>
    </row>
    <row r="17" spans="1:25" x14ac:dyDescent="0.25">
      <c r="A17" s="20" t="s">
        <v>901</v>
      </c>
      <c r="B17" s="20" t="s">
        <v>901</v>
      </c>
      <c r="C17" s="20" t="s">
        <v>902</v>
      </c>
      <c r="D17" s="20" t="s">
        <v>216</v>
      </c>
      <c r="E17" s="13">
        <v>0</v>
      </c>
      <c r="F17" s="11">
        <v>0</v>
      </c>
      <c r="G17" s="13">
        <v>894.5</v>
      </c>
      <c r="H17" s="11">
        <v>0</v>
      </c>
      <c r="I17" s="13">
        <f>E17+G17</f>
        <v>894.5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44457.08</v>
      </c>
      <c r="O17" s="11">
        <v>0</v>
      </c>
      <c r="P17" s="11">
        <v>1</v>
      </c>
      <c r="Q17" s="13">
        <f>K17+N17</f>
        <v>44457.08</v>
      </c>
      <c r="R17" s="11">
        <f>L17+O17</f>
        <v>0</v>
      </c>
      <c r="S17" s="11">
        <f>M17+P17</f>
        <v>1</v>
      </c>
      <c r="T17" s="8">
        <f>I17-Q17</f>
        <v>-43562.58</v>
      </c>
      <c r="U17" s="18">
        <v>2.1103783925350772</v>
      </c>
      <c r="V17" s="11">
        <v>0.33</v>
      </c>
      <c r="W17" s="11">
        <v>1</v>
      </c>
      <c r="X17" s="11">
        <v>2</v>
      </c>
      <c r="Y17" s="11">
        <v>0</v>
      </c>
    </row>
    <row r="18" spans="1:25" x14ac:dyDescent="0.25">
      <c r="A18" s="20" t="s">
        <v>106</v>
      </c>
      <c r="B18" s="20" t="s">
        <v>60</v>
      </c>
      <c r="C18" s="20" t="s">
        <v>107</v>
      </c>
      <c r="D18" s="20" t="s">
        <v>216</v>
      </c>
      <c r="E18" s="13">
        <v>18343</v>
      </c>
      <c r="F18" s="11">
        <v>0</v>
      </c>
      <c r="G18" s="13">
        <v>9595</v>
      </c>
      <c r="H18" s="11">
        <v>0</v>
      </c>
      <c r="I18" s="13">
        <f>E18+G18</f>
        <v>27938</v>
      </c>
      <c r="J18" s="11">
        <f>F18+H18</f>
        <v>0</v>
      </c>
      <c r="K18" s="13">
        <v>19897</v>
      </c>
      <c r="L18" s="11">
        <v>0</v>
      </c>
      <c r="M18" s="11">
        <v>0</v>
      </c>
      <c r="N18" s="13">
        <v>0</v>
      </c>
      <c r="O18" s="11">
        <v>1</v>
      </c>
      <c r="P18" s="11">
        <v>1</v>
      </c>
      <c r="Q18" s="13">
        <f>K18+N18</f>
        <v>19897</v>
      </c>
      <c r="R18" s="11">
        <f>L18+O18</f>
        <v>1</v>
      </c>
      <c r="S18" s="11">
        <f>M18+P18</f>
        <v>1</v>
      </c>
      <c r="T18" s="8">
        <f>I18-Q18</f>
        <v>8041</v>
      </c>
      <c r="U18" s="18">
        <v>0.40694207023062595</v>
      </c>
      <c r="V18" s="11">
        <v>0</v>
      </c>
      <c r="W18" s="11">
        <v>0</v>
      </c>
      <c r="X18" s="11">
        <v>1</v>
      </c>
      <c r="Y18" s="11">
        <v>0</v>
      </c>
    </row>
    <row r="19" spans="1:25" x14ac:dyDescent="0.25">
      <c r="A19" s="20" t="s">
        <v>109</v>
      </c>
      <c r="B19" s="20" t="s">
        <v>3203</v>
      </c>
      <c r="C19" s="20" t="s">
        <v>3306</v>
      </c>
      <c r="D19" s="20" t="s">
        <v>215</v>
      </c>
      <c r="E19" s="13">
        <v>5766</v>
      </c>
      <c r="F19" s="11">
        <v>0</v>
      </c>
      <c r="G19" s="13">
        <v>0</v>
      </c>
      <c r="H19" s="11">
        <v>0</v>
      </c>
      <c r="I19" s="13">
        <f>E19+G19</f>
        <v>5766</v>
      </c>
      <c r="J19" s="11">
        <f>F19+H19</f>
        <v>0</v>
      </c>
      <c r="K19" s="13">
        <v>39496</v>
      </c>
      <c r="L19" s="11">
        <v>0</v>
      </c>
      <c r="M19" s="11">
        <v>1</v>
      </c>
      <c r="N19" s="13">
        <v>15818.12</v>
      </c>
      <c r="O19" s="11">
        <v>0</v>
      </c>
      <c r="P19" s="11">
        <v>2</v>
      </c>
      <c r="Q19" s="13">
        <f>K19+N19</f>
        <v>55314.12</v>
      </c>
      <c r="R19" s="11">
        <f>L19+O19</f>
        <v>0</v>
      </c>
      <c r="S19" s="11">
        <f>M19+P19</f>
        <v>3</v>
      </c>
      <c r="T19" s="8">
        <f>I19-Q19</f>
        <v>-49548.12</v>
      </c>
      <c r="U19" s="18" t="s">
        <v>1803</v>
      </c>
      <c r="V19" s="11">
        <v>0.38</v>
      </c>
      <c r="W19" s="11">
        <v>3</v>
      </c>
      <c r="X19" s="11">
        <v>5</v>
      </c>
      <c r="Y19" s="11">
        <v>0</v>
      </c>
    </row>
    <row r="20" spans="1:25" x14ac:dyDescent="0.25">
      <c r="A20" s="20" t="s">
        <v>110</v>
      </c>
      <c r="B20" s="20" t="s">
        <v>60</v>
      </c>
      <c r="C20" s="20" t="s">
        <v>111</v>
      </c>
      <c r="D20" s="20" t="s">
        <v>216</v>
      </c>
      <c r="E20" s="13">
        <v>8066.93</v>
      </c>
      <c r="F20" s="11">
        <v>0</v>
      </c>
      <c r="G20" s="13">
        <v>0</v>
      </c>
      <c r="H20" s="11">
        <v>0</v>
      </c>
      <c r="I20" s="13">
        <f>E20+G20</f>
        <v>8066.93</v>
      </c>
      <c r="J20" s="11">
        <f>F20+H20</f>
        <v>0</v>
      </c>
      <c r="K20" s="13">
        <v>4148.63</v>
      </c>
      <c r="L20" s="11">
        <v>0</v>
      </c>
      <c r="M20" s="11">
        <v>0</v>
      </c>
      <c r="N20" s="13">
        <v>0</v>
      </c>
      <c r="O20" s="11">
        <v>0</v>
      </c>
      <c r="P20" s="11">
        <v>1</v>
      </c>
      <c r="Q20" s="13">
        <f>K20+N20</f>
        <v>4148.63</v>
      </c>
      <c r="R20" s="11">
        <f>L20+O20</f>
        <v>0</v>
      </c>
      <c r="S20" s="11">
        <f>M20+P20</f>
        <v>1</v>
      </c>
      <c r="T20" s="8">
        <f>I20-Q20</f>
        <v>3918.3</v>
      </c>
      <c r="U20" s="18">
        <v>1.1227597648904706</v>
      </c>
      <c r="V20" s="11">
        <v>0.2</v>
      </c>
      <c r="W20" s="11">
        <v>1</v>
      </c>
      <c r="X20" s="11">
        <v>4</v>
      </c>
      <c r="Y20" s="11">
        <v>0</v>
      </c>
    </row>
    <row r="21" spans="1:25" x14ac:dyDescent="0.25">
      <c r="A21" s="20" t="s">
        <v>113</v>
      </c>
      <c r="B21" s="20" t="s">
        <v>83</v>
      </c>
      <c r="C21" s="20" t="s">
        <v>84</v>
      </c>
      <c r="D21" s="20" t="s">
        <v>216</v>
      </c>
      <c r="E21" s="13">
        <v>4599.49</v>
      </c>
      <c r="F21" s="11">
        <v>0</v>
      </c>
      <c r="G21" s="13">
        <v>50218.34</v>
      </c>
      <c r="H21" s="11">
        <v>5</v>
      </c>
      <c r="I21" s="13">
        <f>E21+G21</f>
        <v>54817.829999999994</v>
      </c>
      <c r="J21" s="11">
        <f>F21+H21</f>
        <v>5</v>
      </c>
      <c r="K21" s="13">
        <v>1828.25</v>
      </c>
      <c r="L21" s="11">
        <v>0</v>
      </c>
      <c r="M21" s="11">
        <v>1</v>
      </c>
      <c r="N21" s="13">
        <v>38333.870000000003</v>
      </c>
      <c r="O21" s="11">
        <v>6</v>
      </c>
      <c r="P21" s="11">
        <v>30</v>
      </c>
      <c r="Q21" s="13">
        <f>K21+N21</f>
        <v>40162.120000000003</v>
      </c>
      <c r="R21" s="11">
        <f>L21+O21</f>
        <v>6</v>
      </c>
      <c r="S21" s="11">
        <f>M21+P21</f>
        <v>31</v>
      </c>
      <c r="T21" s="8">
        <f>I21-Q21</f>
        <v>14655.709999999992</v>
      </c>
      <c r="U21" s="18">
        <v>0.18710761781362298</v>
      </c>
      <c r="V21" s="11">
        <v>0.79</v>
      </c>
      <c r="W21" s="11">
        <v>30</v>
      </c>
      <c r="X21" s="11">
        <v>8</v>
      </c>
      <c r="Y21" s="11">
        <v>0</v>
      </c>
    </row>
    <row r="22" spans="1:25" x14ac:dyDescent="0.25">
      <c r="A22" s="20" t="s">
        <v>118</v>
      </c>
      <c r="B22" s="20" t="s">
        <v>83</v>
      </c>
      <c r="C22" s="20" t="s">
        <v>102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0</v>
      </c>
      <c r="R22" s="11">
        <f>L22+O22</f>
        <v>0</v>
      </c>
      <c r="S22" s="11">
        <f>M22+P22</f>
        <v>0</v>
      </c>
      <c r="T22" s="8">
        <f>I22-Q22</f>
        <v>0</v>
      </c>
      <c r="U22" s="18">
        <v>-5.3307832908942289E-2</v>
      </c>
      <c r="V22" s="11">
        <v>0</v>
      </c>
      <c r="W22" s="11">
        <v>0</v>
      </c>
      <c r="X22" s="11">
        <v>1</v>
      </c>
      <c r="Y22" s="11">
        <v>0</v>
      </c>
    </row>
    <row r="23" spans="1:25" x14ac:dyDescent="0.25">
      <c r="A23" s="20" t="s">
        <v>122</v>
      </c>
      <c r="B23" s="20" t="s">
        <v>1523</v>
      </c>
      <c r="C23" s="20" t="s">
        <v>1524</v>
      </c>
      <c r="D23" s="20" t="s">
        <v>215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-1.24</v>
      </c>
      <c r="O23" s="11">
        <v>0</v>
      </c>
      <c r="P23" s="11">
        <v>0</v>
      </c>
      <c r="Q23" s="13">
        <f>K23+N23</f>
        <v>-1.24</v>
      </c>
      <c r="R23" s="11">
        <f>L23+O23</f>
        <v>0</v>
      </c>
      <c r="S23" s="11">
        <f>M23+P23</f>
        <v>0</v>
      </c>
      <c r="T23" s="8">
        <f>I23-Q23</f>
        <v>1.24</v>
      </c>
      <c r="U23" s="18" t="s">
        <v>1803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81</v>
      </c>
      <c r="B24" s="20" t="s">
        <v>81</v>
      </c>
      <c r="C24" s="20" t="s">
        <v>71</v>
      </c>
      <c r="D24" s="20" t="s">
        <v>216</v>
      </c>
      <c r="E24" s="13">
        <v>6992</v>
      </c>
      <c r="F24" s="11">
        <v>0</v>
      </c>
      <c r="G24" s="13">
        <v>7074</v>
      </c>
      <c r="H24" s="11">
        <v>0</v>
      </c>
      <c r="I24" s="13">
        <f>E24+G24</f>
        <v>14066</v>
      </c>
      <c r="J24" s="11">
        <f>F24+H24</f>
        <v>0</v>
      </c>
      <c r="K24" s="13">
        <v>11309.73</v>
      </c>
      <c r="L24" s="11">
        <v>0</v>
      </c>
      <c r="M24" s="11">
        <v>0</v>
      </c>
      <c r="N24" s="13">
        <v>48655.09</v>
      </c>
      <c r="O24" s="11">
        <v>1</v>
      </c>
      <c r="P24" s="11">
        <v>1</v>
      </c>
      <c r="Q24" s="13">
        <f>K24+N24</f>
        <v>59964.819999999992</v>
      </c>
      <c r="R24" s="11">
        <f>L24+O24</f>
        <v>1</v>
      </c>
      <c r="S24" s="11">
        <f>M24+P24</f>
        <v>1</v>
      </c>
      <c r="T24" s="8">
        <f>I24-Q24</f>
        <v>-45898.819999999992</v>
      </c>
      <c r="U24" s="18">
        <v>0.11133430429848923</v>
      </c>
      <c r="V24" s="11">
        <v>0</v>
      </c>
      <c r="W24" s="11">
        <v>0</v>
      </c>
      <c r="X24" s="11">
        <v>3</v>
      </c>
      <c r="Y24" s="11">
        <v>0</v>
      </c>
    </row>
    <row r="25" spans="1:25" x14ac:dyDescent="0.25">
      <c r="A25" s="20" t="s">
        <v>129</v>
      </c>
      <c r="B25" s="20" t="s">
        <v>60</v>
      </c>
      <c r="C25" s="20" t="s">
        <v>130</v>
      </c>
      <c r="D25" s="20" t="s">
        <v>216</v>
      </c>
      <c r="E25" s="13">
        <v>11023</v>
      </c>
      <c r="F25" s="11">
        <v>1</v>
      </c>
      <c r="G25" s="13">
        <v>9745.5</v>
      </c>
      <c r="H25" s="11">
        <v>1</v>
      </c>
      <c r="I25" s="13">
        <f>E25+G25</f>
        <v>20768.5</v>
      </c>
      <c r="J25" s="11">
        <f>F25+H25</f>
        <v>2</v>
      </c>
      <c r="K25" s="13">
        <v>9162</v>
      </c>
      <c r="L25" s="11">
        <v>0</v>
      </c>
      <c r="M25" s="11">
        <v>1</v>
      </c>
      <c r="N25" s="13">
        <v>18994</v>
      </c>
      <c r="O25" s="11">
        <v>0</v>
      </c>
      <c r="P25" s="11">
        <v>2</v>
      </c>
      <c r="Q25" s="13">
        <f>K25+N25</f>
        <v>28156</v>
      </c>
      <c r="R25" s="11">
        <f>L25+O25</f>
        <v>0</v>
      </c>
      <c r="S25" s="11">
        <f>M25+P25</f>
        <v>3</v>
      </c>
      <c r="T25" s="8">
        <f>I25-Q25</f>
        <v>-7387.5</v>
      </c>
      <c r="U25" s="18">
        <v>6.6383167043265426E-2</v>
      </c>
      <c r="V25" s="11">
        <v>0.26</v>
      </c>
      <c r="W25" s="11">
        <v>5</v>
      </c>
      <c r="X25" s="11">
        <v>14</v>
      </c>
      <c r="Y25" s="11">
        <v>2</v>
      </c>
    </row>
    <row r="26" spans="1:25" x14ac:dyDescent="0.25">
      <c r="A26" s="20" t="s">
        <v>131</v>
      </c>
      <c r="B26" s="20" t="s">
        <v>91</v>
      </c>
      <c r="C26" s="20" t="s">
        <v>132</v>
      </c>
      <c r="D26" s="20" t="s">
        <v>216</v>
      </c>
      <c r="E26" s="13">
        <v>0</v>
      </c>
      <c r="F26" s="11">
        <v>0</v>
      </c>
      <c r="G26" s="13">
        <v>32346</v>
      </c>
      <c r="H26" s="11">
        <v>0</v>
      </c>
      <c r="I26" s="13">
        <f>E26+G26</f>
        <v>32346</v>
      </c>
      <c r="J26" s="11">
        <f>F26+H26</f>
        <v>0</v>
      </c>
      <c r="K26" s="13">
        <v>0</v>
      </c>
      <c r="L26" s="11">
        <v>0</v>
      </c>
      <c r="M26" s="11">
        <v>0</v>
      </c>
      <c r="N26" s="13">
        <v>37918.03</v>
      </c>
      <c r="O26" s="11">
        <v>0</v>
      </c>
      <c r="P26" s="11">
        <v>1</v>
      </c>
      <c r="Q26" s="13">
        <f>K26+N26</f>
        <v>37918.03</v>
      </c>
      <c r="R26" s="11">
        <f>L26+O26</f>
        <v>0</v>
      </c>
      <c r="S26" s="11">
        <f>M26+P26</f>
        <v>1</v>
      </c>
      <c r="T26" s="8">
        <f>I26-Q26</f>
        <v>-5572.0299999999988</v>
      </c>
      <c r="U26" s="18">
        <v>-3.3384023363111824E-2</v>
      </c>
      <c r="V26" s="11">
        <v>0.5</v>
      </c>
      <c r="W26" s="11">
        <v>1</v>
      </c>
      <c r="X26" s="11">
        <v>1</v>
      </c>
      <c r="Y26" s="11">
        <v>0</v>
      </c>
    </row>
    <row r="27" spans="1:25" x14ac:dyDescent="0.25">
      <c r="A27" s="20" t="s">
        <v>137</v>
      </c>
      <c r="B27" s="20" t="s">
        <v>60</v>
      </c>
      <c r="C27" s="20" t="s">
        <v>138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 t="s">
        <v>1803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139</v>
      </c>
      <c r="B28" s="20" t="s">
        <v>77</v>
      </c>
      <c r="C28" s="20" t="s">
        <v>78</v>
      </c>
      <c r="D28" s="20" t="s">
        <v>215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1869.71</v>
      </c>
      <c r="O28" s="11">
        <v>0</v>
      </c>
      <c r="P28" s="11">
        <v>0</v>
      </c>
      <c r="Q28" s="13">
        <f>K28+N28</f>
        <v>1869.71</v>
      </c>
      <c r="R28" s="11">
        <f>L28+O28</f>
        <v>0</v>
      </c>
      <c r="S28" s="11">
        <f>M28+P28</f>
        <v>0</v>
      </c>
      <c r="T28" s="8">
        <f>I28-Q28</f>
        <v>-1869.71</v>
      </c>
      <c r="U28" s="18" t="s">
        <v>1803</v>
      </c>
      <c r="V28" s="11">
        <v>0</v>
      </c>
      <c r="W28" s="11">
        <v>0</v>
      </c>
      <c r="X28" s="11">
        <v>0</v>
      </c>
      <c r="Y28" s="11">
        <v>0</v>
      </c>
    </row>
    <row r="29" spans="1:25" x14ac:dyDescent="0.25">
      <c r="A29" s="20" t="s">
        <v>140</v>
      </c>
      <c r="B29" s="20" t="s">
        <v>91</v>
      </c>
      <c r="C29" s="20" t="s">
        <v>141</v>
      </c>
      <c r="D29" s="20" t="s">
        <v>216</v>
      </c>
      <c r="E29" s="13">
        <v>17096</v>
      </c>
      <c r="F29" s="11">
        <v>0</v>
      </c>
      <c r="G29" s="13">
        <v>6183</v>
      </c>
      <c r="H29" s="11">
        <v>0</v>
      </c>
      <c r="I29" s="13">
        <f>E29+G29</f>
        <v>23279</v>
      </c>
      <c r="J29" s="11">
        <f>F29+H29</f>
        <v>0</v>
      </c>
      <c r="K29" s="13">
        <v>16128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16128</v>
      </c>
      <c r="R29" s="11">
        <f>L29+O29</f>
        <v>0</v>
      </c>
      <c r="S29" s="11">
        <f>M29+P29</f>
        <v>0</v>
      </c>
      <c r="T29" s="8">
        <f>I29-Q29</f>
        <v>7151</v>
      </c>
      <c r="U29" s="18">
        <v>5.1296942497414948E-2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142</v>
      </c>
      <c r="B30" s="20" t="s">
        <v>91</v>
      </c>
      <c r="C30" s="20" t="s">
        <v>143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>
        <v>-1.2135210140924491E-2</v>
      </c>
      <c r="V30" s="11">
        <v>0</v>
      </c>
      <c r="W30" s="11">
        <v>0</v>
      </c>
      <c r="X30" s="11">
        <v>1</v>
      </c>
      <c r="Y30" s="11">
        <v>0</v>
      </c>
    </row>
    <row r="31" spans="1:25" x14ac:dyDescent="0.25">
      <c r="A31" s="20" t="s">
        <v>144</v>
      </c>
      <c r="B31" s="20" t="s">
        <v>60</v>
      </c>
      <c r="C31" s="20" t="s">
        <v>145</v>
      </c>
      <c r="D31" s="20" t="s">
        <v>216</v>
      </c>
      <c r="E31" s="13">
        <v>4952</v>
      </c>
      <c r="F31" s="11">
        <v>0</v>
      </c>
      <c r="G31" s="13">
        <v>15187</v>
      </c>
      <c r="H31" s="11">
        <v>1</v>
      </c>
      <c r="I31" s="13">
        <f>E31+G31</f>
        <v>20139</v>
      </c>
      <c r="J31" s="11">
        <f>F31+H31</f>
        <v>1</v>
      </c>
      <c r="K31" s="13">
        <v>5327</v>
      </c>
      <c r="L31" s="11">
        <v>0</v>
      </c>
      <c r="M31" s="11">
        <v>0</v>
      </c>
      <c r="N31" s="13">
        <v>20569</v>
      </c>
      <c r="O31" s="11">
        <v>1</v>
      </c>
      <c r="P31" s="11">
        <v>2</v>
      </c>
      <c r="Q31" s="13">
        <f>K31+N31</f>
        <v>25896</v>
      </c>
      <c r="R31" s="11">
        <f>L31+O31</f>
        <v>1</v>
      </c>
      <c r="S31" s="11">
        <f>M31+P31</f>
        <v>2</v>
      </c>
      <c r="T31" s="8">
        <f>I31-Q31</f>
        <v>-5757</v>
      </c>
      <c r="U31" s="18">
        <v>0.11876783167938888</v>
      </c>
      <c r="V31" s="11">
        <v>0.33</v>
      </c>
      <c r="W31" s="11">
        <v>2</v>
      </c>
      <c r="X31" s="11">
        <v>4</v>
      </c>
      <c r="Y31" s="11">
        <v>1</v>
      </c>
    </row>
    <row r="32" spans="1:25" x14ac:dyDescent="0.25">
      <c r="A32" s="20" t="s">
        <v>1525</v>
      </c>
      <c r="B32" s="20" t="s">
        <v>60</v>
      </c>
      <c r="C32" s="20" t="s">
        <v>1526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1.5728223973717896</v>
      </c>
      <c r="V32" s="11">
        <v>0</v>
      </c>
      <c r="W32" s="11">
        <v>0</v>
      </c>
      <c r="X32" s="11">
        <v>0</v>
      </c>
      <c r="Y32" s="11">
        <v>0</v>
      </c>
    </row>
    <row r="33" spans="1:25" x14ac:dyDescent="0.25">
      <c r="A33" s="20" t="s">
        <v>150</v>
      </c>
      <c r="B33" s="20" t="s">
        <v>60</v>
      </c>
      <c r="C33" s="20" t="s">
        <v>151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2.0916067545617763E-2</v>
      </c>
      <c r="V33" s="11">
        <v>0</v>
      </c>
      <c r="W33" s="11">
        <v>0</v>
      </c>
      <c r="X33" s="11">
        <v>2</v>
      </c>
      <c r="Y33" s="11">
        <v>0</v>
      </c>
    </row>
    <row r="34" spans="1:25" x14ac:dyDescent="0.25">
      <c r="A34" s="20" t="s">
        <v>152</v>
      </c>
      <c r="B34" s="20" t="s">
        <v>77</v>
      </c>
      <c r="C34" s="20" t="s">
        <v>153</v>
      </c>
      <c r="D34" s="20" t="s">
        <v>215</v>
      </c>
      <c r="E34" s="13">
        <v>3290</v>
      </c>
      <c r="F34" s="11">
        <v>0</v>
      </c>
      <c r="G34" s="13">
        <v>0</v>
      </c>
      <c r="H34" s="11">
        <v>0</v>
      </c>
      <c r="I34" s="13">
        <f>E34+G34</f>
        <v>3290</v>
      </c>
      <c r="J34" s="11">
        <f>F34+H34</f>
        <v>0</v>
      </c>
      <c r="K34" s="13">
        <v>2799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2799</v>
      </c>
      <c r="R34" s="11">
        <f>L34+O34</f>
        <v>0</v>
      </c>
      <c r="S34" s="11">
        <f>M34+P34</f>
        <v>0</v>
      </c>
      <c r="T34" s="8">
        <f>I34-Q34</f>
        <v>491</v>
      </c>
      <c r="U34" s="18" t="s">
        <v>1803</v>
      </c>
      <c r="V34" s="11">
        <v>0</v>
      </c>
      <c r="W34" s="11">
        <v>0</v>
      </c>
      <c r="X34" s="11">
        <v>1</v>
      </c>
      <c r="Y34" s="11">
        <v>0</v>
      </c>
    </row>
    <row r="35" spans="1:25" x14ac:dyDescent="0.25">
      <c r="A35" s="20" t="s">
        <v>154</v>
      </c>
      <c r="B35" s="20" t="s">
        <v>77</v>
      </c>
      <c r="C35" s="20" t="s">
        <v>155</v>
      </c>
      <c r="D35" s="20" t="s">
        <v>215</v>
      </c>
      <c r="E35" s="13">
        <v>0</v>
      </c>
      <c r="F35" s="11">
        <v>0</v>
      </c>
      <c r="G35" s="13">
        <v>2031</v>
      </c>
      <c r="H35" s="11">
        <v>0</v>
      </c>
      <c r="I35" s="13">
        <f>E35+G35</f>
        <v>2031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1934</v>
      </c>
      <c r="O35" s="11">
        <v>0</v>
      </c>
      <c r="P35" s="11">
        <v>0</v>
      </c>
      <c r="Q35" s="13">
        <f>K35+N35</f>
        <v>1934</v>
      </c>
      <c r="R35" s="11">
        <f>L35+O35</f>
        <v>0</v>
      </c>
      <c r="S35" s="11">
        <f>M35+P35</f>
        <v>0</v>
      </c>
      <c r="T35" s="8">
        <f>I35-Q35</f>
        <v>97</v>
      </c>
      <c r="U35" s="18" t="s">
        <v>1803</v>
      </c>
      <c r="V35" s="11">
        <v>0</v>
      </c>
      <c r="W35" s="11">
        <v>0</v>
      </c>
      <c r="X35" s="11">
        <v>1</v>
      </c>
      <c r="Y35" s="11">
        <v>0</v>
      </c>
    </row>
    <row r="36" spans="1:25" x14ac:dyDescent="0.25">
      <c r="A36" s="20" t="s">
        <v>156</v>
      </c>
      <c r="B36" s="20" t="s">
        <v>60</v>
      </c>
      <c r="C36" s="20" t="s">
        <v>157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>
        <v>-0.12020300787710098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158</v>
      </c>
      <c r="B37" s="20" t="s">
        <v>88</v>
      </c>
      <c r="C37" s="20" t="s">
        <v>159</v>
      </c>
      <c r="D37" s="20" t="s">
        <v>216</v>
      </c>
      <c r="E37" s="13">
        <v>0</v>
      </c>
      <c r="F37" s="11">
        <v>0</v>
      </c>
      <c r="G37" s="13">
        <v>7807</v>
      </c>
      <c r="H37" s="11">
        <v>0</v>
      </c>
      <c r="I37" s="13">
        <f>E37+G37</f>
        <v>7807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6793</v>
      </c>
      <c r="O37" s="11">
        <v>0</v>
      </c>
      <c r="P37" s="11">
        <v>0</v>
      </c>
      <c r="Q37" s="13">
        <f>K37+N37</f>
        <v>6793</v>
      </c>
      <c r="R37" s="11">
        <f>L37+O37</f>
        <v>0</v>
      </c>
      <c r="S37" s="11">
        <f>M37+P37</f>
        <v>0</v>
      </c>
      <c r="T37" s="8">
        <f>I37-Q37</f>
        <v>1014</v>
      </c>
      <c r="U37" s="18">
        <v>5.5578070686863991E-3</v>
      </c>
      <c r="V37" s="11">
        <v>0</v>
      </c>
      <c r="W37" s="11">
        <v>0</v>
      </c>
      <c r="X37" s="11">
        <v>1</v>
      </c>
      <c r="Y37" s="11">
        <v>1</v>
      </c>
    </row>
    <row r="38" spans="1:25" x14ac:dyDescent="0.25">
      <c r="A38" s="20" t="s">
        <v>115</v>
      </c>
      <c r="B38" s="20" t="s">
        <v>115</v>
      </c>
      <c r="C38" s="20" t="s">
        <v>116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-3245.81</v>
      </c>
      <c r="O38" s="11">
        <v>0</v>
      </c>
      <c r="P38" s="11">
        <v>0</v>
      </c>
      <c r="Q38" s="13">
        <f>K38+N38</f>
        <v>-3245.81</v>
      </c>
      <c r="R38" s="11">
        <f>L38+O38</f>
        <v>0</v>
      </c>
      <c r="S38" s="11">
        <f>M38+P38</f>
        <v>0</v>
      </c>
      <c r="T38" s="8">
        <f>I38-Q38</f>
        <v>3245.81</v>
      </c>
      <c r="U38" s="18">
        <v>1.0351300363759472</v>
      </c>
      <c r="V38" s="11">
        <v>0</v>
      </c>
      <c r="W38" s="11">
        <v>0</v>
      </c>
      <c r="X38" s="11">
        <v>2</v>
      </c>
      <c r="Y38" s="11">
        <v>1</v>
      </c>
    </row>
    <row r="39" spans="1:25" x14ac:dyDescent="0.25">
      <c r="A39" s="20" t="s">
        <v>160</v>
      </c>
      <c r="B39" s="20" t="s">
        <v>83</v>
      </c>
      <c r="C39" s="20" t="s">
        <v>114</v>
      </c>
      <c r="D39" s="20" t="s">
        <v>216</v>
      </c>
      <c r="E39" s="13">
        <v>37087.480000000003</v>
      </c>
      <c r="F39" s="11">
        <v>3</v>
      </c>
      <c r="G39" s="13">
        <v>56315.16</v>
      </c>
      <c r="H39" s="11">
        <v>2</v>
      </c>
      <c r="I39" s="13">
        <f>E39+G39</f>
        <v>93402.640000000014</v>
      </c>
      <c r="J39" s="11">
        <f>F39+H39</f>
        <v>5</v>
      </c>
      <c r="K39" s="13">
        <v>25093.47</v>
      </c>
      <c r="L39" s="11">
        <v>0</v>
      </c>
      <c r="M39" s="11">
        <v>1</v>
      </c>
      <c r="N39" s="13">
        <v>36735.06</v>
      </c>
      <c r="O39" s="11">
        <v>1</v>
      </c>
      <c r="P39" s="11">
        <v>3</v>
      </c>
      <c r="Q39" s="13">
        <f>K39+N39</f>
        <v>61828.53</v>
      </c>
      <c r="R39" s="11">
        <f>L39+O39</f>
        <v>1</v>
      </c>
      <c r="S39" s="11">
        <f>M39+P39</f>
        <v>4</v>
      </c>
      <c r="T39" s="8">
        <f>I39-Q39</f>
        <v>31574.110000000015</v>
      </c>
      <c r="U39" s="18">
        <v>0.29976939797709684</v>
      </c>
      <c r="V39" s="11">
        <v>0.43</v>
      </c>
      <c r="W39" s="11">
        <v>9</v>
      </c>
      <c r="X39" s="11">
        <v>12</v>
      </c>
      <c r="Y39" s="11">
        <v>0</v>
      </c>
    </row>
    <row r="40" spans="1:25" x14ac:dyDescent="0.25">
      <c r="A40" s="20" t="s">
        <v>161</v>
      </c>
      <c r="B40" s="20" t="s">
        <v>83</v>
      </c>
      <c r="C40" s="20" t="s">
        <v>162</v>
      </c>
      <c r="D40" s="20" t="s">
        <v>216</v>
      </c>
      <c r="E40" s="13">
        <v>0</v>
      </c>
      <c r="F40" s="11">
        <v>0</v>
      </c>
      <c r="G40" s="13">
        <v>0</v>
      </c>
      <c r="H40" s="11">
        <v>0</v>
      </c>
      <c r="I40" s="13">
        <f>E40+G40</f>
        <v>0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0</v>
      </c>
      <c r="O40" s="11">
        <v>0</v>
      </c>
      <c r="P40" s="11">
        <v>0</v>
      </c>
      <c r="Q40" s="13">
        <f>K40+N40</f>
        <v>0</v>
      </c>
      <c r="R40" s="11">
        <f>L40+O40</f>
        <v>0</v>
      </c>
      <c r="S40" s="11">
        <f>M40+P40</f>
        <v>0</v>
      </c>
      <c r="T40" s="8">
        <f>I40-Q40</f>
        <v>0</v>
      </c>
      <c r="U40" s="18" t="s">
        <v>1803</v>
      </c>
      <c r="V40" s="11">
        <v>0</v>
      </c>
      <c r="W40" s="11">
        <v>0</v>
      </c>
      <c r="X40" s="11">
        <v>0</v>
      </c>
      <c r="Y40" s="11">
        <v>0</v>
      </c>
    </row>
    <row r="41" spans="1:25" x14ac:dyDescent="0.25">
      <c r="A41" s="20" t="s">
        <v>164</v>
      </c>
      <c r="B41" s="20" t="s">
        <v>3203</v>
      </c>
      <c r="C41" s="20" t="s">
        <v>165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>
        <v>8.1034254456883989E-2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166</v>
      </c>
      <c r="B42" s="20" t="s">
        <v>77</v>
      </c>
      <c r="C42" s="20" t="s">
        <v>82</v>
      </c>
      <c r="D42" s="20" t="s">
        <v>215</v>
      </c>
      <c r="E42" s="13">
        <v>29530</v>
      </c>
      <c r="F42" s="11">
        <v>0</v>
      </c>
      <c r="G42" s="13">
        <v>0</v>
      </c>
      <c r="H42" s="11">
        <v>0</v>
      </c>
      <c r="I42" s="13">
        <f>E42+G42</f>
        <v>29530</v>
      </c>
      <c r="J42" s="11">
        <f>F42+H42</f>
        <v>0</v>
      </c>
      <c r="K42" s="13">
        <v>23424</v>
      </c>
      <c r="L42" s="11">
        <v>0</v>
      </c>
      <c r="M42" s="11">
        <v>1</v>
      </c>
      <c r="N42" s="13">
        <v>0</v>
      </c>
      <c r="O42" s="11">
        <v>0</v>
      </c>
      <c r="P42" s="11">
        <v>1</v>
      </c>
      <c r="Q42" s="13">
        <f>K42+N42</f>
        <v>23424</v>
      </c>
      <c r="R42" s="11">
        <f>L42+O42</f>
        <v>0</v>
      </c>
      <c r="S42" s="11">
        <f>M42+P42</f>
        <v>2</v>
      </c>
      <c r="T42" s="8">
        <f>I42-Q42</f>
        <v>6106</v>
      </c>
      <c r="U42" s="18" t="s">
        <v>1803</v>
      </c>
      <c r="V42" s="11">
        <v>0.5</v>
      </c>
      <c r="W42" s="11">
        <v>2</v>
      </c>
      <c r="X42" s="11">
        <v>2</v>
      </c>
      <c r="Y42" s="11">
        <v>0</v>
      </c>
    </row>
    <row r="43" spans="1:25" x14ac:dyDescent="0.25">
      <c r="A43" s="20" t="s">
        <v>167</v>
      </c>
      <c r="B43" s="20" t="s">
        <v>60</v>
      </c>
      <c r="C43" s="20" t="s">
        <v>168</v>
      </c>
      <c r="D43" s="20" t="s">
        <v>216</v>
      </c>
      <c r="E43" s="13">
        <v>13811</v>
      </c>
      <c r="F43" s="11">
        <v>0</v>
      </c>
      <c r="G43" s="13">
        <v>15160</v>
      </c>
      <c r="H43" s="11">
        <v>0</v>
      </c>
      <c r="I43" s="13">
        <f>E43+G43</f>
        <v>28971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41133</v>
      </c>
      <c r="O43" s="11">
        <v>1</v>
      </c>
      <c r="P43" s="11">
        <v>5</v>
      </c>
      <c r="Q43" s="13">
        <f>K43+N43</f>
        <v>41133</v>
      </c>
      <c r="R43" s="11">
        <f>L43+O43</f>
        <v>1</v>
      </c>
      <c r="S43" s="11">
        <f>M43+P43</f>
        <v>5</v>
      </c>
      <c r="T43" s="8">
        <f>I43-Q43</f>
        <v>-12162</v>
      </c>
      <c r="U43" s="18">
        <v>7.1130350377869078E-2</v>
      </c>
      <c r="V43" s="11">
        <v>0.28999999999999998</v>
      </c>
      <c r="W43" s="11">
        <v>4</v>
      </c>
      <c r="X43" s="11">
        <v>10</v>
      </c>
      <c r="Y43" s="11">
        <v>3</v>
      </c>
    </row>
    <row r="44" spans="1:25" x14ac:dyDescent="0.25">
      <c r="A44" s="20" t="s">
        <v>175</v>
      </c>
      <c r="B44" s="20" t="s">
        <v>60</v>
      </c>
      <c r="C44" s="20" t="s">
        <v>176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0</v>
      </c>
      <c r="R44" s="11">
        <f>L44+O44</f>
        <v>0</v>
      </c>
      <c r="S44" s="11">
        <f>M44+P44</f>
        <v>0</v>
      </c>
      <c r="T44" s="8">
        <f>I44-Q44</f>
        <v>0</v>
      </c>
      <c r="U44" s="18">
        <v>1.9197776937458083E-2</v>
      </c>
      <c r="V44" s="11">
        <v>0</v>
      </c>
      <c r="W44" s="11">
        <v>0</v>
      </c>
      <c r="X44" s="11">
        <v>1</v>
      </c>
      <c r="Y44" s="11">
        <v>1</v>
      </c>
    </row>
    <row r="45" spans="1:25" x14ac:dyDescent="0.25">
      <c r="A45" s="20" t="s">
        <v>178</v>
      </c>
      <c r="B45" s="20" t="s">
        <v>459</v>
      </c>
      <c r="C45" s="20" t="s">
        <v>3608</v>
      </c>
      <c r="D45" s="20" t="s">
        <v>215</v>
      </c>
      <c r="E45" s="13">
        <v>0</v>
      </c>
      <c r="F45" s="11">
        <v>0</v>
      </c>
      <c r="G45" s="13">
        <v>1250</v>
      </c>
      <c r="H45" s="11">
        <v>0</v>
      </c>
      <c r="I45" s="13">
        <f>E45+G45</f>
        <v>1250</v>
      </c>
      <c r="J45" s="11">
        <f>F45+H45</f>
        <v>0</v>
      </c>
      <c r="K45" s="13">
        <v>0</v>
      </c>
      <c r="L45" s="11">
        <v>0</v>
      </c>
      <c r="M45" s="11">
        <v>1</v>
      </c>
      <c r="N45" s="13">
        <v>20159</v>
      </c>
      <c r="O45" s="11">
        <v>0</v>
      </c>
      <c r="P45" s="11">
        <v>0</v>
      </c>
      <c r="Q45" s="13">
        <f>K45+N45</f>
        <v>20159</v>
      </c>
      <c r="R45" s="11">
        <f>L45+O45</f>
        <v>0</v>
      </c>
      <c r="S45" s="11">
        <f>M45+P45</f>
        <v>1</v>
      </c>
      <c r="T45" s="8">
        <f>I45-Q45</f>
        <v>-18909</v>
      </c>
      <c r="U45" s="18" t="s">
        <v>1803</v>
      </c>
      <c r="V45" s="11">
        <v>0.33</v>
      </c>
      <c r="W45" s="11">
        <v>1</v>
      </c>
      <c r="X45" s="11">
        <v>2</v>
      </c>
      <c r="Y45" s="11">
        <v>0</v>
      </c>
    </row>
    <row r="46" spans="1:25" x14ac:dyDescent="0.25">
      <c r="A46" s="20" t="s">
        <v>179</v>
      </c>
      <c r="B46" s="20" t="s">
        <v>91</v>
      </c>
      <c r="C46" s="20" t="s">
        <v>180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>
        <v>-2.5502636279115285E-2</v>
      </c>
      <c r="V46" s="11">
        <v>0</v>
      </c>
      <c r="W46" s="11">
        <v>0</v>
      </c>
      <c r="X46" s="11">
        <v>0</v>
      </c>
      <c r="Y46" s="11">
        <v>0</v>
      </c>
    </row>
    <row r="47" spans="1:25" x14ac:dyDescent="0.25">
      <c r="A47" s="20" t="s">
        <v>183</v>
      </c>
      <c r="B47" s="20" t="s">
        <v>60</v>
      </c>
      <c r="C47" s="20" t="s">
        <v>184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 t="s">
        <v>1803</v>
      </c>
      <c r="V47" s="11">
        <v>0</v>
      </c>
      <c r="W47" s="11">
        <v>0</v>
      </c>
      <c r="X47" s="11">
        <v>3</v>
      </c>
      <c r="Y47" s="11">
        <v>0</v>
      </c>
    </row>
    <row r="48" spans="1:25" x14ac:dyDescent="0.25">
      <c r="A48" s="20" t="s">
        <v>185</v>
      </c>
      <c r="B48" s="20" t="s">
        <v>97</v>
      </c>
      <c r="C48" s="20" t="s">
        <v>149</v>
      </c>
      <c r="D48" s="20" t="s">
        <v>216</v>
      </c>
      <c r="E48" s="13">
        <v>250</v>
      </c>
      <c r="F48" s="11">
        <v>0</v>
      </c>
      <c r="G48" s="13">
        <v>0</v>
      </c>
      <c r="H48" s="11">
        <v>0</v>
      </c>
      <c r="I48" s="13">
        <f>E48+G48</f>
        <v>250</v>
      </c>
      <c r="J48" s="11">
        <f>F48+H48</f>
        <v>0</v>
      </c>
      <c r="K48" s="13">
        <v>250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250</v>
      </c>
      <c r="R48" s="11">
        <f>L48+O48</f>
        <v>0</v>
      </c>
      <c r="S48" s="11">
        <f>M48+P48</f>
        <v>0</v>
      </c>
      <c r="T48" s="8">
        <f>I48-Q48</f>
        <v>0</v>
      </c>
      <c r="U48" s="18">
        <v>48.56488083841657</v>
      </c>
      <c r="V48" s="11">
        <v>0</v>
      </c>
      <c r="W48" s="11">
        <v>0</v>
      </c>
      <c r="X48" s="11">
        <v>0</v>
      </c>
      <c r="Y48" s="11">
        <v>0</v>
      </c>
    </row>
    <row r="49" spans="1:25" x14ac:dyDescent="0.25">
      <c r="A49" s="20" t="s">
        <v>188</v>
      </c>
      <c r="B49" s="20" t="s">
        <v>189</v>
      </c>
      <c r="C49" s="20" t="s">
        <v>190</v>
      </c>
      <c r="D49" s="20" t="s">
        <v>216</v>
      </c>
      <c r="E49" s="13">
        <v>0</v>
      </c>
      <c r="F49" s="11">
        <v>0</v>
      </c>
      <c r="G49" s="13">
        <v>10312</v>
      </c>
      <c r="H49" s="11">
        <v>0</v>
      </c>
      <c r="I49" s="13">
        <f>E49+G49</f>
        <v>10312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10154</v>
      </c>
      <c r="O49" s="11">
        <v>0</v>
      </c>
      <c r="P49" s="11">
        <v>0</v>
      </c>
      <c r="Q49" s="13">
        <f>K49+N49</f>
        <v>10154</v>
      </c>
      <c r="R49" s="11">
        <f>L49+O49</f>
        <v>0</v>
      </c>
      <c r="S49" s="11">
        <f>M49+P49</f>
        <v>0</v>
      </c>
      <c r="T49" s="8">
        <f>I49-Q49</f>
        <v>158</v>
      </c>
      <c r="U49" s="18">
        <v>1.3499339217781381</v>
      </c>
      <c r="V49" s="11">
        <v>0</v>
      </c>
      <c r="W49" s="11">
        <v>0</v>
      </c>
      <c r="X49" s="11">
        <v>6</v>
      </c>
      <c r="Y49" s="11">
        <v>1</v>
      </c>
    </row>
    <row r="50" spans="1:25" x14ac:dyDescent="0.25">
      <c r="A50" s="20" t="s">
        <v>191</v>
      </c>
      <c r="B50" s="20" t="s">
        <v>60</v>
      </c>
      <c r="C50" s="20" t="s">
        <v>192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>
        <v>-0.4471362701013642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193</v>
      </c>
      <c r="B51" s="20" t="s">
        <v>459</v>
      </c>
      <c r="C51" s="20" t="s">
        <v>3608</v>
      </c>
      <c r="D51" s="20" t="s">
        <v>215</v>
      </c>
      <c r="E51" s="13">
        <v>4426</v>
      </c>
      <c r="F51" s="11">
        <v>0</v>
      </c>
      <c r="G51" s="13">
        <v>0</v>
      </c>
      <c r="H51" s="11">
        <v>0</v>
      </c>
      <c r="I51" s="13">
        <f>E51+G51</f>
        <v>4426</v>
      </c>
      <c r="J51" s="11">
        <f>F51+H51</f>
        <v>0</v>
      </c>
      <c r="K51" s="13">
        <v>4531.53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4531.53</v>
      </c>
      <c r="R51" s="11">
        <f>L51+O51</f>
        <v>0</v>
      </c>
      <c r="S51" s="11">
        <f>M51+P51</f>
        <v>0</v>
      </c>
      <c r="T51" s="8">
        <f>I51-Q51</f>
        <v>-105.52999999999975</v>
      </c>
      <c r="U51" s="18" t="s">
        <v>1803</v>
      </c>
      <c r="V51" s="11">
        <v>0</v>
      </c>
      <c r="W51" s="11">
        <v>0</v>
      </c>
      <c r="X51" s="11">
        <v>0</v>
      </c>
      <c r="Y51" s="11">
        <v>0</v>
      </c>
    </row>
    <row r="52" spans="1:25" x14ac:dyDescent="0.25">
      <c r="A52" s="20" t="s">
        <v>194</v>
      </c>
      <c r="B52" s="20" t="s">
        <v>60</v>
      </c>
      <c r="C52" s="20" t="s">
        <v>195</v>
      </c>
      <c r="D52" s="20" t="s">
        <v>216</v>
      </c>
      <c r="E52" s="13">
        <v>2696</v>
      </c>
      <c r="F52" s="11">
        <v>0</v>
      </c>
      <c r="G52" s="13">
        <v>56179.5</v>
      </c>
      <c r="H52" s="11">
        <v>1</v>
      </c>
      <c r="I52" s="13">
        <f>E52+G52</f>
        <v>58875.5</v>
      </c>
      <c r="J52" s="11">
        <f>F52+H52</f>
        <v>1</v>
      </c>
      <c r="K52" s="13">
        <v>12678.71</v>
      </c>
      <c r="L52" s="11">
        <v>0</v>
      </c>
      <c r="M52" s="11">
        <v>3</v>
      </c>
      <c r="N52" s="13">
        <v>65694</v>
      </c>
      <c r="O52" s="11">
        <v>0</v>
      </c>
      <c r="P52" s="11">
        <v>1</v>
      </c>
      <c r="Q52" s="13">
        <f>K52+N52</f>
        <v>78372.709999999992</v>
      </c>
      <c r="R52" s="11">
        <f>L52+O52</f>
        <v>0</v>
      </c>
      <c r="S52" s="11">
        <f>M52+P52</f>
        <v>4</v>
      </c>
      <c r="T52" s="8">
        <f>I52-Q52</f>
        <v>-19497.209999999992</v>
      </c>
      <c r="U52" s="18">
        <v>7.2846542506222606E-2</v>
      </c>
      <c r="V52" s="11">
        <v>0.28000000000000003</v>
      </c>
      <c r="W52" s="11">
        <v>5</v>
      </c>
      <c r="X52" s="11">
        <v>13</v>
      </c>
      <c r="Y52" s="11">
        <v>3</v>
      </c>
    </row>
    <row r="53" spans="1:25" x14ac:dyDescent="0.25">
      <c r="A53" s="20" t="s">
        <v>196</v>
      </c>
      <c r="B53" s="20" t="s">
        <v>60</v>
      </c>
      <c r="C53" s="20" t="s">
        <v>197</v>
      </c>
      <c r="D53" s="20" t="s">
        <v>216</v>
      </c>
      <c r="E53" s="13">
        <v>0</v>
      </c>
      <c r="F53" s="11">
        <v>0</v>
      </c>
      <c r="G53" s="13">
        <v>17675</v>
      </c>
      <c r="H53" s="11">
        <v>0</v>
      </c>
      <c r="I53" s="13">
        <f>E53+G53</f>
        <v>17675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16944</v>
      </c>
      <c r="O53" s="11">
        <v>0</v>
      </c>
      <c r="P53" s="11">
        <v>1</v>
      </c>
      <c r="Q53" s="13">
        <f>K53+N53</f>
        <v>16944</v>
      </c>
      <c r="R53" s="11">
        <f>L53+O53</f>
        <v>0</v>
      </c>
      <c r="S53" s="11">
        <f>M53+P53</f>
        <v>1</v>
      </c>
      <c r="T53" s="8">
        <f>I53-Q53</f>
        <v>731</v>
      </c>
      <c r="U53" s="18">
        <v>0.10632252895266683</v>
      </c>
      <c r="V53" s="11">
        <v>0.17</v>
      </c>
      <c r="W53" s="11">
        <v>1</v>
      </c>
      <c r="X53" s="11">
        <v>5</v>
      </c>
      <c r="Y53" s="11">
        <v>0</v>
      </c>
    </row>
    <row r="54" spans="1:25" x14ac:dyDescent="0.25">
      <c r="A54" s="20" t="s">
        <v>198</v>
      </c>
      <c r="B54" s="20" t="s">
        <v>124</v>
      </c>
      <c r="C54" s="20" t="s">
        <v>199</v>
      </c>
      <c r="D54" s="20" t="s">
        <v>216</v>
      </c>
      <c r="E54" s="13">
        <v>10545</v>
      </c>
      <c r="F54" s="11">
        <v>1</v>
      </c>
      <c r="G54" s="13">
        <v>31635.4</v>
      </c>
      <c r="H54" s="11">
        <v>0</v>
      </c>
      <c r="I54" s="13">
        <f>E54+G54</f>
        <v>42180.4</v>
      </c>
      <c r="J54" s="11">
        <f>F54+H54</f>
        <v>1</v>
      </c>
      <c r="K54" s="13">
        <v>2952</v>
      </c>
      <c r="L54" s="11">
        <v>0</v>
      </c>
      <c r="M54" s="11">
        <v>5</v>
      </c>
      <c r="N54" s="13">
        <v>31489.8</v>
      </c>
      <c r="O54" s="11">
        <v>3</v>
      </c>
      <c r="P54" s="11">
        <v>9</v>
      </c>
      <c r="Q54" s="13">
        <f>K54+N54</f>
        <v>34441.800000000003</v>
      </c>
      <c r="R54" s="11">
        <f>L54+O54</f>
        <v>3</v>
      </c>
      <c r="S54" s="11">
        <f>M54+P54</f>
        <v>14</v>
      </c>
      <c r="T54" s="8">
        <f>I54-Q54</f>
        <v>7738.5999999999985</v>
      </c>
      <c r="U54" s="18">
        <v>8.7781520481189729E-2</v>
      </c>
      <c r="V54" s="11">
        <v>0.34</v>
      </c>
      <c r="W54" s="11">
        <v>13</v>
      </c>
      <c r="X54" s="11">
        <v>25</v>
      </c>
      <c r="Y54" s="11">
        <v>1</v>
      </c>
    </row>
    <row r="55" spans="1:25" x14ac:dyDescent="0.25">
      <c r="A55" s="20" t="s">
        <v>204</v>
      </c>
      <c r="B55" s="20" t="s">
        <v>97</v>
      </c>
      <c r="C55" s="20" t="s">
        <v>120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>
        <v>9.8241431927836263E-3</v>
      </c>
      <c r="V55" s="11">
        <v>0</v>
      </c>
      <c r="W55" s="11">
        <v>0</v>
      </c>
      <c r="X55" s="11">
        <v>1</v>
      </c>
      <c r="Y55" s="11">
        <v>0</v>
      </c>
    </row>
    <row r="56" spans="1:25" x14ac:dyDescent="0.25">
      <c r="A56" s="20" t="s">
        <v>205</v>
      </c>
      <c r="B56" s="20" t="s">
        <v>77</v>
      </c>
      <c r="C56" s="20" t="s">
        <v>206</v>
      </c>
      <c r="D56" s="20" t="s">
        <v>216</v>
      </c>
      <c r="E56" s="13">
        <v>0</v>
      </c>
      <c r="F56" s="11">
        <v>0</v>
      </c>
      <c r="G56" s="13">
        <v>12329</v>
      </c>
      <c r="H56" s="11">
        <v>0</v>
      </c>
      <c r="I56" s="13">
        <f>E56+G56</f>
        <v>12329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11627</v>
      </c>
      <c r="O56" s="11">
        <v>0</v>
      </c>
      <c r="P56" s="11">
        <v>0</v>
      </c>
      <c r="Q56" s="13">
        <f>K56+N56</f>
        <v>11627</v>
      </c>
      <c r="R56" s="11">
        <f>L56+O56</f>
        <v>0</v>
      </c>
      <c r="S56" s="11">
        <f>M56+P56</f>
        <v>0</v>
      </c>
      <c r="T56" s="8">
        <f>I56-Q56</f>
        <v>702</v>
      </c>
      <c r="U56" s="18">
        <v>1.0275685000634164E-2</v>
      </c>
      <c r="V56" s="11">
        <v>0</v>
      </c>
      <c r="W56" s="11">
        <v>0</v>
      </c>
      <c r="X56" s="11">
        <v>0</v>
      </c>
      <c r="Y56" s="11">
        <v>0</v>
      </c>
    </row>
    <row r="57" spans="1:25" x14ac:dyDescent="0.25">
      <c r="A57" s="20" t="s">
        <v>207</v>
      </c>
      <c r="B57" s="20" t="s">
        <v>124</v>
      </c>
      <c r="C57" s="20" t="s">
        <v>208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0</v>
      </c>
      <c r="N57" s="13">
        <v>0</v>
      </c>
      <c r="O57" s="11">
        <v>0</v>
      </c>
      <c r="P57" s="11">
        <v>0</v>
      </c>
      <c r="Q57" s="13">
        <f>K57+N57</f>
        <v>0</v>
      </c>
      <c r="R57" s="11">
        <f>L57+O57</f>
        <v>0</v>
      </c>
      <c r="S57" s="11">
        <f>M57+P57</f>
        <v>0</v>
      </c>
      <c r="T57" s="8">
        <f>I57-Q57</f>
        <v>0</v>
      </c>
      <c r="U57" s="18">
        <v>0.29652054007530132</v>
      </c>
      <c r="V57" s="11">
        <v>0</v>
      </c>
      <c r="W57" s="11">
        <v>0</v>
      </c>
      <c r="X57" s="11">
        <v>0</v>
      </c>
      <c r="Y57" s="11">
        <v>0</v>
      </c>
    </row>
    <row r="58" spans="1:25" x14ac:dyDescent="0.25">
      <c r="A58" s="20" t="s">
        <v>100</v>
      </c>
      <c r="B58" s="20" t="s">
        <v>100</v>
      </c>
      <c r="C58" s="20" t="s">
        <v>209</v>
      </c>
      <c r="D58" s="20" t="s">
        <v>216</v>
      </c>
      <c r="E58" s="13">
        <v>7954.9</v>
      </c>
      <c r="F58" s="11">
        <v>0</v>
      </c>
      <c r="G58" s="13">
        <v>0</v>
      </c>
      <c r="H58" s="11">
        <v>0</v>
      </c>
      <c r="I58" s="13">
        <f>E58+G58</f>
        <v>7954.9</v>
      </c>
      <c r="J58" s="11">
        <f>F58+H58</f>
        <v>0</v>
      </c>
      <c r="K58" s="13">
        <v>23373.82</v>
      </c>
      <c r="L58" s="11">
        <v>0</v>
      </c>
      <c r="M58" s="11">
        <v>0</v>
      </c>
      <c r="N58" s="13">
        <v>15794.5</v>
      </c>
      <c r="O58" s="11">
        <v>0</v>
      </c>
      <c r="P58" s="11">
        <v>0</v>
      </c>
      <c r="Q58" s="13">
        <f>K58+N58</f>
        <v>39168.32</v>
      </c>
      <c r="R58" s="11">
        <f>L58+O58</f>
        <v>0</v>
      </c>
      <c r="S58" s="11">
        <f>M58+P58</f>
        <v>0</v>
      </c>
      <c r="T58" s="8">
        <f>I58-Q58</f>
        <v>-31213.42</v>
      </c>
      <c r="U58" s="18">
        <v>0.24428969226066508</v>
      </c>
      <c r="V58" s="11">
        <v>0</v>
      </c>
      <c r="W58" s="11">
        <v>0</v>
      </c>
      <c r="X58" s="11">
        <v>3</v>
      </c>
      <c r="Y58" s="11">
        <v>0</v>
      </c>
    </row>
    <row r="59" spans="1:25" x14ac:dyDescent="0.25">
      <c r="A59" s="20" t="s">
        <v>213</v>
      </c>
      <c r="B59" s="20" t="s">
        <v>124</v>
      </c>
      <c r="C59" s="20" t="s">
        <v>214</v>
      </c>
      <c r="D59" s="20" t="s">
        <v>216</v>
      </c>
      <c r="E59" s="13">
        <v>0</v>
      </c>
      <c r="F59" s="11">
        <v>0</v>
      </c>
      <c r="G59" s="13">
        <v>7677</v>
      </c>
      <c r="H59" s="11">
        <v>0</v>
      </c>
      <c r="I59" s="13">
        <f>E59+G59</f>
        <v>7677</v>
      </c>
      <c r="J59" s="11">
        <f>F59+H59</f>
        <v>0</v>
      </c>
      <c r="K59" s="13">
        <v>0</v>
      </c>
      <c r="L59" s="11">
        <v>0</v>
      </c>
      <c r="M59" s="11">
        <v>0</v>
      </c>
      <c r="N59" s="13">
        <v>7494</v>
      </c>
      <c r="O59" s="11">
        <v>0</v>
      </c>
      <c r="P59" s="11">
        <v>0</v>
      </c>
      <c r="Q59" s="13">
        <f>K59+N59</f>
        <v>7494</v>
      </c>
      <c r="R59" s="11">
        <f>L59+O59</f>
        <v>0</v>
      </c>
      <c r="S59" s="11">
        <f>M59+P59</f>
        <v>0</v>
      </c>
      <c r="T59" s="8">
        <f>I59-Q59</f>
        <v>183</v>
      </c>
      <c r="U59" s="18">
        <v>8.5720408298491563E-2</v>
      </c>
      <c r="V59" s="11">
        <v>0</v>
      </c>
      <c r="W59" s="11">
        <v>0</v>
      </c>
      <c r="X59" s="11">
        <v>1</v>
      </c>
      <c r="Y59" s="11">
        <v>0</v>
      </c>
    </row>
    <row r="60" spans="1:25" x14ac:dyDescent="0.25">
      <c r="A60" s="20" t="s">
        <v>3023</v>
      </c>
      <c r="B60" s="20" t="s">
        <v>3023</v>
      </c>
      <c r="C60" s="20" t="s">
        <v>3024</v>
      </c>
      <c r="D60" s="20" t="s">
        <v>216</v>
      </c>
      <c r="E60" s="13">
        <v>30080</v>
      </c>
      <c r="F60" s="11">
        <v>0</v>
      </c>
      <c r="G60" s="13">
        <v>0</v>
      </c>
      <c r="H60" s="11">
        <v>0</v>
      </c>
      <c r="I60" s="13">
        <f>E60+G60</f>
        <v>30080</v>
      </c>
      <c r="J60" s="11">
        <f>F60+H60</f>
        <v>0</v>
      </c>
      <c r="K60" s="13">
        <v>28292</v>
      </c>
      <c r="L60" s="11">
        <v>0</v>
      </c>
      <c r="M60" s="11">
        <v>0</v>
      </c>
      <c r="N60" s="13">
        <v>317.56</v>
      </c>
      <c r="O60" s="11">
        <v>1</v>
      </c>
      <c r="P60" s="11">
        <v>2</v>
      </c>
      <c r="Q60" s="13">
        <f>K60+N60</f>
        <v>28609.56</v>
      </c>
      <c r="R60" s="11">
        <f>L60+O60</f>
        <v>1</v>
      </c>
      <c r="S60" s="11">
        <f>M60+P60</f>
        <v>2</v>
      </c>
      <c r="T60" s="8">
        <f>I60-Q60</f>
        <v>1470.4399999999987</v>
      </c>
      <c r="U60" s="18">
        <v>0.18235969094070437</v>
      </c>
      <c r="V60" s="11">
        <v>0.33</v>
      </c>
      <c r="W60" s="11">
        <v>1</v>
      </c>
      <c r="X60" s="11">
        <v>2</v>
      </c>
      <c r="Y60" s="11">
        <v>0</v>
      </c>
    </row>
    <row r="61" spans="1:25" x14ac:dyDescent="0.25">
      <c r="A61" s="20" t="s">
        <v>3071</v>
      </c>
      <c r="B61" s="20" t="s">
        <v>60</v>
      </c>
      <c r="C61" s="20" t="s">
        <v>3072</v>
      </c>
      <c r="D61" s="20" t="s">
        <v>216</v>
      </c>
      <c r="E61" s="13">
        <v>0</v>
      </c>
      <c r="F61" s="11">
        <v>0</v>
      </c>
      <c r="G61" s="13">
        <v>0</v>
      </c>
      <c r="H61" s="11">
        <v>0</v>
      </c>
      <c r="I61" s="13">
        <f>E61+G61</f>
        <v>0</v>
      </c>
      <c r="J61" s="11">
        <f>F61+H61</f>
        <v>0</v>
      </c>
      <c r="K61" s="13">
        <v>0</v>
      </c>
      <c r="L61" s="11">
        <v>0</v>
      </c>
      <c r="M61" s="11">
        <v>0</v>
      </c>
      <c r="N61" s="13">
        <v>0</v>
      </c>
      <c r="O61" s="11">
        <v>0</v>
      </c>
      <c r="P61" s="11">
        <v>0</v>
      </c>
      <c r="Q61" s="13">
        <f>K61+N61</f>
        <v>0</v>
      </c>
      <c r="R61" s="11">
        <f>L61+O61</f>
        <v>0</v>
      </c>
      <c r="S61" s="11">
        <f>M61+P61</f>
        <v>0</v>
      </c>
      <c r="T61" s="8">
        <f>I61-Q61</f>
        <v>0</v>
      </c>
      <c r="U61" s="18">
        <v>8.9895368303571435E-2</v>
      </c>
      <c r="V61" s="11">
        <v>0</v>
      </c>
      <c r="W61" s="11">
        <v>0</v>
      </c>
      <c r="X61" s="11">
        <v>0</v>
      </c>
      <c r="Y61" s="11">
        <v>0</v>
      </c>
    </row>
    <row r="62" spans="1:25" x14ac:dyDescent="0.25">
      <c r="A62" s="20" t="s">
        <v>3150</v>
      </c>
      <c r="B62" s="20" t="s">
        <v>949</v>
      </c>
      <c r="C62" s="20" t="s">
        <v>3149</v>
      </c>
      <c r="D62" s="20" t="s">
        <v>216</v>
      </c>
      <c r="E62" s="13">
        <v>0</v>
      </c>
      <c r="F62" s="11">
        <v>0</v>
      </c>
      <c r="G62" s="13">
        <v>-29.46</v>
      </c>
      <c r="H62" s="11">
        <v>0</v>
      </c>
      <c r="I62" s="13">
        <f>E62+G62</f>
        <v>-29.46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2150</v>
      </c>
      <c r="O62" s="11">
        <v>0</v>
      </c>
      <c r="P62" s="11">
        <v>0</v>
      </c>
      <c r="Q62" s="13">
        <f>K62+N62</f>
        <v>2150</v>
      </c>
      <c r="R62" s="11">
        <f>L62+O62</f>
        <v>0</v>
      </c>
      <c r="S62" s="11">
        <f>M62+P62</f>
        <v>0</v>
      </c>
      <c r="T62" s="8">
        <f>I62-Q62</f>
        <v>-2179.46</v>
      </c>
      <c r="U62" s="18">
        <v>0.69121655245787239</v>
      </c>
      <c r="V62" s="11">
        <v>0</v>
      </c>
      <c r="W62" s="11">
        <v>0</v>
      </c>
      <c r="X62" s="11">
        <v>0</v>
      </c>
      <c r="Y62" s="11">
        <v>0</v>
      </c>
    </row>
    <row r="63" spans="1:25" x14ac:dyDescent="0.25">
      <c r="A63" s="20" t="s">
        <v>3154</v>
      </c>
      <c r="B63" s="20" t="s">
        <v>3096</v>
      </c>
      <c r="C63" s="20" t="s">
        <v>3155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-4715.18</v>
      </c>
      <c r="O63" s="11">
        <v>0</v>
      </c>
      <c r="P63" s="11">
        <v>2</v>
      </c>
      <c r="Q63" s="13">
        <f>K63+N63</f>
        <v>-4715.18</v>
      </c>
      <c r="R63" s="11">
        <f>L63+O63</f>
        <v>0</v>
      </c>
      <c r="S63" s="11">
        <f>M63+P63</f>
        <v>2</v>
      </c>
      <c r="T63" s="8">
        <f>I63-Q63</f>
        <v>4715.18</v>
      </c>
      <c r="U63" s="18">
        <v>0.19200307552588985</v>
      </c>
      <c r="V63" s="11">
        <v>0.5</v>
      </c>
      <c r="W63" s="11">
        <v>2</v>
      </c>
      <c r="X63" s="11">
        <v>2</v>
      </c>
      <c r="Y63" s="11">
        <v>0</v>
      </c>
    </row>
    <row r="64" spans="1:25" x14ac:dyDescent="0.25">
      <c r="A64" s="20" t="s">
        <v>3188</v>
      </c>
      <c r="B64" s="20" t="s">
        <v>77</v>
      </c>
      <c r="C64" s="20" t="s">
        <v>3189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>
        <v>-5.4069896647620845E-2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3190</v>
      </c>
      <c r="B65" s="20" t="s">
        <v>257</v>
      </c>
      <c r="C65" s="20" t="s">
        <v>63</v>
      </c>
      <c r="D65" s="20" t="s">
        <v>216</v>
      </c>
      <c r="E65" s="13">
        <v>7602.77</v>
      </c>
      <c r="F65" s="11">
        <v>0</v>
      </c>
      <c r="G65" s="13">
        <v>0</v>
      </c>
      <c r="H65" s="11">
        <v>0</v>
      </c>
      <c r="I65" s="13">
        <f>E65+G65</f>
        <v>7602.77</v>
      </c>
      <c r="J65" s="11">
        <f>F65+H65</f>
        <v>0</v>
      </c>
      <c r="K65" s="13">
        <v>8645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8645</v>
      </c>
      <c r="R65" s="11">
        <f>L65+O65</f>
        <v>0</v>
      </c>
      <c r="S65" s="11">
        <f>M65+P65</f>
        <v>0</v>
      </c>
      <c r="T65" s="8">
        <f>I65-Q65</f>
        <v>-1042.2299999999996</v>
      </c>
      <c r="U65" s="18">
        <v>-8.4166754063222299E-2</v>
      </c>
      <c r="V65" s="11">
        <v>0</v>
      </c>
      <c r="W65" s="11">
        <v>0</v>
      </c>
      <c r="X65" s="11">
        <v>0</v>
      </c>
      <c r="Y65" s="11">
        <v>0</v>
      </c>
    </row>
    <row r="66" spans="1:25" x14ac:dyDescent="0.25">
      <c r="A66" s="20" t="s">
        <v>3191</v>
      </c>
      <c r="B66" s="20" t="s">
        <v>430</v>
      </c>
      <c r="C66" s="20" t="s">
        <v>3192</v>
      </c>
      <c r="D66" s="20" t="s">
        <v>216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0</v>
      </c>
      <c r="L66" s="11">
        <v>0</v>
      </c>
      <c r="M66" s="11">
        <v>0</v>
      </c>
      <c r="N66" s="13">
        <v>0</v>
      </c>
      <c r="O66" s="11">
        <v>0</v>
      </c>
      <c r="P66" s="11">
        <v>0</v>
      </c>
      <c r="Q66" s="13">
        <f>K66+N66</f>
        <v>0</v>
      </c>
      <c r="R66" s="11">
        <f>L66+O66</f>
        <v>0</v>
      </c>
      <c r="S66" s="11">
        <f>M66+P66</f>
        <v>0</v>
      </c>
      <c r="T66" s="8">
        <f>I66-Q66</f>
        <v>0</v>
      </c>
      <c r="U66" s="18">
        <v>0.10916095832859227</v>
      </c>
      <c r="V66" s="11">
        <v>0</v>
      </c>
      <c r="W66" s="11">
        <v>0</v>
      </c>
      <c r="X66" s="11">
        <v>0</v>
      </c>
      <c r="Y66" s="11">
        <v>0</v>
      </c>
    </row>
    <row r="67" spans="1:25" x14ac:dyDescent="0.25">
      <c r="A67" s="20" t="s">
        <v>3244</v>
      </c>
      <c r="B67" s="20" t="s">
        <v>949</v>
      </c>
      <c r="C67" s="20" t="s">
        <v>125</v>
      </c>
      <c r="D67" s="20" t="s">
        <v>216</v>
      </c>
      <c r="E67" s="13">
        <v>5622</v>
      </c>
      <c r="F67" s="11">
        <v>0</v>
      </c>
      <c r="G67" s="13">
        <v>0</v>
      </c>
      <c r="H67" s="11">
        <v>0</v>
      </c>
      <c r="I67" s="13">
        <f>E67+G67</f>
        <v>5622</v>
      </c>
      <c r="J67" s="11">
        <f>F67+H67</f>
        <v>0</v>
      </c>
      <c r="K67" s="13">
        <v>0</v>
      </c>
      <c r="L67" s="11">
        <v>0</v>
      </c>
      <c r="M67" s="11">
        <v>2</v>
      </c>
      <c r="N67" s="13">
        <v>26964.06</v>
      </c>
      <c r="O67" s="11">
        <v>1</v>
      </c>
      <c r="P67" s="11">
        <v>2</v>
      </c>
      <c r="Q67" s="13">
        <f>K67+N67</f>
        <v>26964.06</v>
      </c>
      <c r="R67" s="11">
        <f>L67+O67</f>
        <v>1</v>
      </c>
      <c r="S67" s="11">
        <f>M67+P67</f>
        <v>4</v>
      </c>
      <c r="T67" s="8">
        <f>I67-Q67</f>
        <v>-21342.06</v>
      </c>
      <c r="U67" s="18">
        <v>4.6104909577961803E-2</v>
      </c>
      <c r="V67" s="11">
        <v>0.43</v>
      </c>
      <c r="W67" s="11">
        <v>3</v>
      </c>
      <c r="X67" s="11">
        <v>4</v>
      </c>
      <c r="Y67" s="11">
        <v>0</v>
      </c>
    </row>
    <row r="68" spans="1:25" x14ac:dyDescent="0.25">
      <c r="A68" s="20" t="s">
        <v>3259</v>
      </c>
      <c r="B68" s="20" t="s">
        <v>390</v>
      </c>
      <c r="C68" s="20" t="s">
        <v>3247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>
        <v>-0.76379477378847394</v>
      </c>
      <c r="V68" s="11">
        <v>0</v>
      </c>
      <c r="W68" s="11">
        <v>0</v>
      </c>
      <c r="X68" s="11">
        <v>0</v>
      </c>
      <c r="Y68" s="11">
        <v>0</v>
      </c>
    </row>
    <row r="69" spans="1:25" x14ac:dyDescent="0.25">
      <c r="A69" s="20" t="s">
        <v>3260</v>
      </c>
      <c r="B69" s="20" t="s">
        <v>3260</v>
      </c>
      <c r="C69" s="20" t="s">
        <v>3011</v>
      </c>
      <c r="D69" s="20" t="s">
        <v>216</v>
      </c>
      <c r="E69" s="13">
        <v>26285.96</v>
      </c>
      <c r="F69" s="11">
        <v>2</v>
      </c>
      <c r="G69" s="13">
        <v>22732</v>
      </c>
      <c r="H69" s="11">
        <v>0</v>
      </c>
      <c r="I69" s="13">
        <f>E69+G69</f>
        <v>49017.96</v>
      </c>
      <c r="J69" s="11">
        <f>F69+H69</f>
        <v>2</v>
      </c>
      <c r="K69" s="13">
        <v>11006.5</v>
      </c>
      <c r="L69" s="11">
        <v>0</v>
      </c>
      <c r="M69" s="11">
        <v>2</v>
      </c>
      <c r="N69" s="13">
        <v>27584.28</v>
      </c>
      <c r="O69" s="11">
        <v>0</v>
      </c>
      <c r="P69" s="11">
        <v>5</v>
      </c>
      <c r="Q69" s="13">
        <f>K69+N69</f>
        <v>38590.78</v>
      </c>
      <c r="R69" s="11">
        <f>L69+O69</f>
        <v>0</v>
      </c>
      <c r="S69" s="11">
        <f>M69+P69</f>
        <v>7</v>
      </c>
      <c r="T69" s="8">
        <f>I69-Q69</f>
        <v>10427.18</v>
      </c>
      <c r="U69" s="18">
        <v>0.20460434298571689</v>
      </c>
      <c r="V69" s="11">
        <v>0.35</v>
      </c>
      <c r="W69" s="11">
        <v>9</v>
      </c>
      <c r="X69" s="11">
        <v>17</v>
      </c>
      <c r="Y69" s="11">
        <v>1</v>
      </c>
    </row>
    <row r="70" spans="1:25" x14ac:dyDescent="0.25">
      <c r="A70" s="20" t="s">
        <v>3285</v>
      </c>
      <c r="B70" s="20" t="s">
        <v>1523</v>
      </c>
      <c r="C70" s="20" t="s">
        <v>3286</v>
      </c>
      <c r="D70" s="20" t="s">
        <v>216</v>
      </c>
      <c r="E70" s="13">
        <v>8784</v>
      </c>
      <c r="F70" s="11">
        <v>1</v>
      </c>
      <c r="G70" s="13">
        <v>13955.25</v>
      </c>
      <c r="H70" s="11">
        <v>0</v>
      </c>
      <c r="I70" s="13">
        <f>E70+G70</f>
        <v>22739.25</v>
      </c>
      <c r="J70" s="11">
        <f>F70+H70</f>
        <v>1</v>
      </c>
      <c r="K70" s="13">
        <v>9486</v>
      </c>
      <c r="L70" s="11">
        <v>1</v>
      </c>
      <c r="M70" s="11">
        <v>2</v>
      </c>
      <c r="N70" s="13">
        <v>35894</v>
      </c>
      <c r="O70" s="11">
        <v>0</v>
      </c>
      <c r="P70" s="11">
        <v>1</v>
      </c>
      <c r="Q70" s="13">
        <f>K70+N70</f>
        <v>45380</v>
      </c>
      <c r="R70" s="11">
        <f>L70+O70</f>
        <v>1</v>
      </c>
      <c r="S70" s="11">
        <f>M70+P70</f>
        <v>3</v>
      </c>
      <c r="T70" s="8">
        <f>I70-Q70</f>
        <v>-22640.75</v>
      </c>
      <c r="U70" s="18">
        <v>1.1421849518838298</v>
      </c>
      <c r="V70" s="11">
        <v>0.43</v>
      </c>
      <c r="W70" s="11">
        <v>3</v>
      </c>
      <c r="X70" s="11">
        <v>4</v>
      </c>
      <c r="Y70" s="11">
        <v>0</v>
      </c>
    </row>
    <row r="71" spans="1:25" x14ac:dyDescent="0.25">
      <c r="A71" s="20" t="s">
        <v>3287</v>
      </c>
      <c r="B71" s="20" t="s">
        <v>723</v>
      </c>
      <c r="C71" s="20" t="s">
        <v>3284</v>
      </c>
      <c r="D71" s="20" t="s">
        <v>216</v>
      </c>
      <c r="E71" s="13">
        <v>943</v>
      </c>
      <c r="F71" s="11">
        <v>0</v>
      </c>
      <c r="G71" s="13">
        <v>0</v>
      </c>
      <c r="H71" s="11">
        <v>0</v>
      </c>
      <c r="I71" s="13">
        <f>E71+G71</f>
        <v>943</v>
      </c>
      <c r="J71" s="11">
        <f>F71+H71</f>
        <v>0</v>
      </c>
      <c r="K71" s="13">
        <v>931</v>
      </c>
      <c r="L71" s="11">
        <v>0</v>
      </c>
      <c r="M71" s="11">
        <v>0</v>
      </c>
      <c r="N71" s="13">
        <v>751</v>
      </c>
      <c r="O71" s="11">
        <v>0</v>
      </c>
      <c r="P71" s="11">
        <v>0</v>
      </c>
      <c r="Q71" s="13">
        <f>K71+N71</f>
        <v>1682</v>
      </c>
      <c r="R71" s="11">
        <f>L71+O71</f>
        <v>0</v>
      </c>
      <c r="S71" s="11">
        <f>M71+P71</f>
        <v>0</v>
      </c>
      <c r="T71" s="8">
        <f>I71-Q71</f>
        <v>-739</v>
      </c>
      <c r="U71" s="18">
        <v>0.76742686238756741</v>
      </c>
      <c r="V71" s="11">
        <v>0</v>
      </c>
      <c r="W71" s="11">
        <v>0</v>
      </c>
      <c r="X71" s="11">
        <v>1</v>
      </c>
      <c r="Y71" s="11">
        <v>0</v>
      </c>
    </row>
    <row r="72" spans="1:25" x14ac:dyDescent="0.25">
      <c r="A72" s="20" t="s">
        <v>3332</v>
      </c>
      <c r="B72" s="20" t="s">
        <v>60</v>
      </c>
      <c r="C72" s="20" t="s">
        <v>3333</v>
      </c>
      <c r="D72" s="20" t="s">
        <v>216</v>
      </c>
      <c r="E72" s="13">
        <v>0</v>
      </c>
      <c r="F72" s="11">
        <v>0</v>
      </c>
      <c r="G72" s="13">
        <v>0</v>
      </c>
      <c r="H72" s="11">
        <v>0</v>
      </c>
      <c r="I72" s="13">
        <f>E72+G72</f>
        <v>0</v>
      </c>
      <c r="J72" s="11">
        <f>F72+H72</f>
        <v>0</v>
      </c>
      <c r="K72" s="13">
        <v>0</v>
      </c>
      <c r="L72" s="11">
        <v>0</v>
      </c>
      <c r="M72" s="11">
        <v>1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1</v>
      </c>
      <c r="T72" s="8">
        <f>I72-Q72</f>
        <v>0</v>
      </c>
      <c r="U72" s="18">
        <v>2.8283741368487131E-2</v>
      </c>
      <c r="V72" s="11">
        <v>0.25</v>
      </c>
      <c r="W72" s="11">
        <v>1</v>
      </c>
      <c r="X72" s="11">
        <v>3</v>
      </c>
      <c r="Y72" s="11">
        <v>0</v>
      </c>
    </row>
    <row r="73" spans="1:25" x14ac:dyDescent="0.25">
      <c r="A73" s="20" t="s">
        <v>3334</v>
      </c>
      <c r="B73" s="20" t="s">
        <v>3203</v>
      </c>
      <c r="C73" s="20" t="s">
        <v>3011</v>
      </c>
      <c r="D73" s="20" t="s">
        <v>216</v>
      </c>
      <c r="E73" s="13">
        <v>0</v>
      </c>
      <c r="F73" s="11">
        <v>0</v>
      </c>
      <c r="G73" s="13">
        <v>0</v>
      </c>
      <c r="H73" s="11">
        <v>0</v>
      </c>
      <c r="I73" s="13">
        <f>E73+G73</f>
        <v>0</v>
      </c>
      <c r="J73" s="11">
        <f>F73+H73</f>
        <v>0</v>
      </c>
      <c r="K73" s="13">
        <v>0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0</v>
      </c>
      <c r="R73" s="11">
        <f>L73+O73</f>
        <v>0</v>
      </c>
      <c r="S73" s="11">
        <f>M73+P73</f>
        <v>0</v>
      </c>
      <c r="T73" s="8">
        <f>I73-Q73</f>
        <v>0</v>
      </c>
      <c r="U73" s="18">
        <v>-2.654432898814572E-2</v>
      </c>
      <c r="V73" s="11">
        <v>0</v>
      </c>
      <c r="W73" s="11">
        <v>0</v>
      </c>
      <c r="X73" s="11">
        <v>1</v>
      </c>
      <c r="Y73" s="11">
        <v>0</v>
      </c>
    </row>
    <row r="74" spans="1:25" x14ac:dyDescent="0.25">
      <c r="A74" s="20" t="s">
        <v>3349</v>
      </c>
      <c r="B74" s="20" t="s">
        <v>60</v>
      </c>
      <c r="C74" s="20" t="s">
        <v>3350</v>
      </c>
      <c r="D74" s="20" t="s">
        <v>216</v>
      </c>
      <c r="E74" s="13">
        <v>14236</v>
      </c>
      <c r="F74" s="11">
        <v>0</v>
      </c>
      <c r="G74" s="13">
        <v>1757</v>
      </c>
      <c r="H74" s="11">
        <v>0</v>
      </c>
      <c r="I74" s="13">
        <f>E74+G74</f>
        <v>15993</v>
      </c>
      <c r="J74" s="11">
        <f>F74+H74</f>
        <v>0</v>
      </c>
      <c r="K74" s="13">
        <v>13329</v>
      </c>
      <c r="L74" s="11">
        <v>0</v>
      </c>
      <c r="M74" s="11">
        <v>1</v>
      </c>
      <c r="N74" s="13">
        <v>4333.25</v>
      </c>
      <c r="O74" s="11">
        <v>0</v>
      </c>
      <c r="P74" s="11">
        <v>0</v>
      </c>
      <c r="Q74" s="13">
        <f>K74+N74</f>
        <v>17662.25</v>
      </c>
      <c r="R74" s="11">
        <f>L74+O74</f>
        <v>0</v>
      </c>
      <c r="S74" s="11">
        <f>M74+P74</f>
        <v>1</v>
      </c>
      <c r="T74" s="8">
        <f>I74-Q74</f>
        <v>-1669.25</v>
      </c>
      <c r="U74" s="18">
        <v>0.14710098785720988</v>
      </c>
      <c r="V74" s="11">
        <v>0.5</v>
      </c>
      <c r="W74" s="11">
        <v>1</v>
      </c>
      <c r="X74" s="11">
        <v>1</v>
      </c>
      <c r="Y74" s="11">
        <v>0</v>
      </c>
    </row>
    <row r="75" spans="1:25" x14ac:dyDescent="0.25">
      <c r="A75" s="20" t="s">
        <v>3358</v>
      </c>
      <c r="B75" s="20" t="s">
        <v>3358</v>
      </c>
      <c r="C75" s="20" t="s">
        <v>3359</v>
      </c>
      <c r="D75" s="20" t="s">
        <v>216</v>
      </c>
      <c r="E75" s="13">
        <v>0</v>
      </c>
      <c r="F75" s="11">
        <v>0</v>
      </c>
      <c r="G75" s="13">
        <v>0</v>
      </c>
      <c r="H75" s="11">
        <v>0</v>
      </c>
      <c r="I75" s="13">
        <f>E75+G75</f>
        <v>0</v>
      </c>
      <c r="J75" s="11">
        <f>F75+H75</f>
        <v>0</v>
      </c>
      <c r="K75" s="13">
        <v>0</v>
      </c>
      <c r="L75" s="11">
        <v>0</v>
      </c>
      <c r="M75" s="11">
        <v>0</v>
      </c>
      <c r="N75" s="13">
        <v>0</v>
      </c>
      <c r="O75" s="11">
        <v>0</v>
      </c>
      <c r="P75" s="11">
        <v>0</v>
      </c>
      <c r="Q75" s="13">
        <f>K75+N75</f>
        <v>0</v>
      </c>
      <c r="R75" s="11">
        <f>L75+O75</f>
        <v>0</v>
      </c>
      <c r="S75" s="11">
        <f>M75+P75</f>
        <v>0</v>
      </c>
      <c r="T75" s="8">
        <f>I75-Q75</f>
        <v>0</v>
      </c>
      <c r="U75" s="18" t="s">
        <v>1803</v>
      </c>
      <c r="V75" s="11">
        <v>0</v>
      </c>
      <c r="W75" s="11">
        <v>0</v>
      </c>
      <c r="X75" s="11">
        <v>0</v>
      </c>
      <c r="Y75" s="11">
        <v>0</v>
      </c>
    </row>
    <row r="76" spans="1:25" x14ac:dyDescent="0.25">
      <c r="A76" s="20" t="s">
        <v>3576</v>
      </c>
      <c r="B76" s="20" t="s">
        <v>901</v>
      </c>
      <c r="C76" s="20" t="s">
        <v>902</v>
      </c>
      <c r="D76" s="20" t="s">
        <v>216</v>
      </c>
      <c r="E76" s="13">
        <v>26319.77</v>
      </c>
      <c r="F76" s="11">
        <v>0</v>
      </c>
      <c r="G76" s="13">
        <v>153677</v>
      </c>
      <c r="H76" s="11">
        <v>0</v>
      </c>
      <c r="I76" s="13">
        <f>E76+G76</f>
        <v>179996.77</v>
      </c>
      <c r="J76" s="11">
        <f>F76+H76</f>
        <v>0</v>
      </c>
      <c r="K76" s="13">
        <v>0</v>
      </c>
      <c r="L76" s="11">
        <v>0</v>
      </c>
      <c r="M76" s="11">
        <v>4</v>
      </c>
      <c r="N76" s="13">
        <v>0</v>
      </c>
      <c r="O76" s="11">
        <v>0</v>
      </c>
      <c r="P76" s="11">
        <v>2</v>
      </c>
      <c r="Q76" s="13">
        <f>K76+N76</f>
        <v>0</v>
      </c>
      <c r="R76" s="11">
        <f>L76+O76</f>
        <v>0</v>
      </c>
      <c r="S76" s="11">
        <f>M76+P76</f>
        <v>6</v>
      </c>
      <c r="T76" s="8">
        <f>I76-Q76</f>
        <v>179996.77</v>
      </c>
      <c r="U76" s="18">
        <v>0.30101495946181051</v>
      </c>
      <c r="V76" s="11">
        <v>0.36</v>
      </c>
      <c r="W76" s="11">
        <v>4</v>
      </c>
      <c r="X76" s="11">
        <v>7</v>
      </c>
      <c r="Y76" s="11">
        <v>0</v>
      </c>
    </row>
    <row r="77" spans="1:25" x14ac:dyDescent="0.25">
      <c r="A77" s="20" t="s">
        <v>3613</v>
      </c>
      <c r="B77" s="20" t="s">
        <v>3203</v>
      </c>
      <c r="C77" s="20" t="s">
        <v>3614</v>
      </c>
      <c r="D77" s="20" t="s">
        <v>216</v>
      </c>
      <c r="E77" s="13">
        <v>35732</v>
      </c>
      <c r="F77" s="11">
        <v>1</v>
      </c>
      <c r="G77" s="13">
        <v>7121.25</v>
      </c>
      <c r="H77" s="11">
        <v>0</v>
      </c>
      <c r="I77" s="13">
        <f>E77+G77</f>
        <v>42853.25</v>
      </c>
      <c r="J77" s="11">
        <f>F77+H77</f>
        <v>1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42853.25</v>
      </c>
      <c r="U77" s="18">
        <v>0.19223364748326549</v>
      </c>
      <c r="V77" s="11">
        <v>0.5</v>
      </c>
      <c r="W77" s="11">
        <v>1</v>
      </c>
      <c r="X77" s="11">
        <v>1</v>
      </c>
      <c r="Y77" s="11">
        <v>0</v>
      </c>
    </row>
    <row r="78" spans="1:25" x14ac:dyDescent="0.25">
      <c r="A78" s="20" t="s">
        <v>3627</v>
      </c>
      <c r="B78" s="20" t="s">
        <v>459</v>
      </c>
      <c r="C78" s="20" t="s">
        <v>3608</v>
      </c>
      <c r="D78" s="20" t="s">
        <v>216</v>
      </c>
      <c r="E78" s="13">
        <v>297</v>
      </c>
      <c r="F78" s="11">
        <v>0</v>
      </c>
      <c r="G78" s="13">
        <v>0</v>
      </c>
      <c r="H78" s="11">
        <v>0</v>
      </c>
      <c r="I78" s="13">
        <f>E78+G78</f>
        <v>297</v>
      </c>
      <c r="J78" s="11">
        <f>F78+H78</f>
        <v>0</v>
      </c>
      <c r="K78" s="13">
        <v>0</v>
      </c>
      <c r="L78" s="11">
        <v>0</v>
      </c>
      <c r="M78" s="11">
        <v>0</v>
      </c>
      <c r="N78" s="13">
        <v>0</v>
      </c>
      <c r="O78" s="11">
        <v>0</v>
      </c>
      <c r="P78" s="11">
        <v>0</v>
      </c>
      <c r="Q78" s="13">
        <f>K78+N78</f>
        <v>0</v>
      </c>
      <c r="R78" s="11">
        <f>L78+O78</f>
        <v>0</v>
      </c>
      <c r="S78" s="11">
        <f>M78+P78</f>
        <v>0</v>
      </c>
      <c r="T78" s="8">
        <f>I78-Q78</f>
        <v>297</v>
      </c>
      <c r="U78" s="18">
        <v>1.2466605768602788</v>
      </c>
      <c r="V78" s="11">
        <v>0</v>
      </c>
      <c r="W78" s="11">
        <v>0</v>
      </c>
      <c r="X78" s="11">
        <v>0</v>
      </c>
      <c r="Y78" s="11">
        <v>0</v>
      </c>
    </row>
    <row r="79" spans="1:25" x14ac:dyDescent="0.25">
      <c r="A79" s="20" t="s">
        <v>3628</v>
      </c>
      <c r="B79" s="20" t="s">
        <v>459</v>
      </c>
      <c r="C79" s="20" t="s">
        <v>3608</v>
      </c>
      <c r="D79" s="20" t="s">
        <v>216</v>
      </c>
      <c r="E79" s="13">
        <v>0</v>
      </c>
      <c r="F79" s="11">
        <v>0</v>
      </c>
      <c r="G79" s="13">
        <v>0</v>
      </c>
      <c r="H79" s="11">
        <v>0</v>
      </c>
      <c r="I79" s="13">
        <f>E79+G79</f>
        <v>0</v>
      </c>
      <c r="J79" s="11">
        <f>F79+H79</f>
        <v>0</v>
      </c>
      <c r="K79" s="13">
        <v>0</v>
      </c>
      <c r="L79" s="11">
        <v>0</v>
      </c>
      <c r="M79" s="11">
        <v>0</v>
      </c>
      <c r="N79" s="13">
        <v>0</v>
      </c>
      <c r="O79" s="11">
        <v>0</v>
      </c>
      <c r="P79" s="11">
        <v>0</v>
      </c>
      <c r="Q79" s="13">
        <f>K79+N79</f>
        <v>0</v>
      </c>
      <c r="R79" s="11">
        <f>L79+O79</f>
        <v>0</v>
      </c>
      <c r="S79" s="11">
        <f>M79+P79</f>
        <v>0</v>
      </c>
      <c r="T79" s="8">
        <f>I79-Q79</f>
        <v>0</v>
      </c>
      <c r="U79" s="18" t="s">
        <v>1803</v>
      </c>
      <c r="V79" s="11">
        <v>0</v>
      </c>
      <c r="W79" s="11">
        <v>0</v>
      </c>
      <c r="X79" s="11">
        <v>1</v>
      </c>
      <c r="Y79" s="11">
        <v>0</v>
      </c>
    </row>
    <row r="80" spans="1:25" x14ac:dyDescent="0.25">
      <c r="A80" s="20" t="s">
        <v>3629</v>
      </c>
      <c r="B80" s="20" t="s">
        <v>459</v>
      </c>
      <c r="C80" s="20" t="s">
        <v>3608</v>
      </c>
      <c r="D80" s="20" t="s">
        <v>216</v>
      </c>
      <c r="E80" s="13">
        <v>0</v>
      </c>
      <c r="F80" s="11">
        <v>0</v>
      </c>
      <c r="G80" s="13">
        <v>20125</v>
      </c>
      <c r="H80" s="11">
        <v>0</v>
      </c>
      <c r="I80" s="13">
        <f>E80+G80</f>
        <v>20125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0</v>
      </c>
      <c r="O80" s="11">
        <v>0</v>
      </c>
      <c r="P80" s="11">
        <v>0</v>
      </c>
      <c r="Q80" s="13">
        <f>K80+N80</f>
        <v>0</v>
      </c>
      <c r="R80" s="11">
        <f>L80+O80</f>
        <v>0</v>
      </c>
      <c r="S80" s="11">
        <f>M80+P80</f>
        <v>0</v>
      </c>
      <c r="T80" s="8">
        <f>I80-Q80</f>
        <v>20125</v>
      </c>
      <c r="U80" s="18">
        <v>1.1820523392487212</v>
      </c>
      <c r="V80" s="11">
        <v>0</v>
      </c>
      <c r="W80" s="11">
        <v>0</v>
      </c>
      <c r="X80" s="11">
        <v>0</v>
      </c>
      <c r="Y80" s="11">
        <v>0</v>
      </c>
    </row>
    <row r="81" spans="1:25" x14ac:dyDescent="0.25">
      <c r="A81" s="20" t="s">
        <v>3656</v>
      </c>
      <c r="B81" s="20" t="s">
        <v>77</v>
      </c>
      <c r="C81" s="20" t="s">
        <v>78</v>
      </c>
      <c r="D81" s="20" t="s">
        <v>216</v>
      </c>
      <c r="E81" s="13">
        <v>0</v>
      </c>
      <c r="F81" s="11">
        <v>0</v>
      </c>
      <c r="G81" s="13">
        <v>0</v>
      </c>
      <c r="H81" s="11">
        <v>0</v>
      </c>
      <c r="I81" s="13">
        <f>E81+G81</f>
        <v>0</v>
      </c>
      <c r="J81" s="11">
        <f>F81+H81</f>
        <v>0</v>
      </c>
      <c r="K81" s="13">
        <v>0</v>
      </c>
      <c r="L81" s="11">
        <v>0</v>
      </c>
      <c r="M81" s="11">
        <v>0</v>
      </c>
      <c r="N81" s="13">
        <v>0</v>
      </c>
      <c r="O81" s="11">
        <v>0</v>
      </c>
      <c r="P81" s="11">
        <v>0</v>
      </c>
      <c r="Q81" s="13">
        <f>K81+N81</f>
        <v>0</v>
      </c>
      <c r="R81" s="11">
        <f>L81+O81</f>
        <v>0</v>
      </c>
      <c r="S81" s="11">
        <f>M81+P81</f>
        <v>0</v>
      </c>
      <c r="T81" s="8">
        <f>I81-Q81</f>
        <v>0</v>
      </c>
      <c r="U81" s="18">
        <v>-9.423833910023105E-2</v>
      </c>
      <c r="V81" s="11">
        <v>0</v>
      </c>
      <c r="W81" s="11">
        <v>0</v>
      </c>
      <c r="X81" s="11">
        <v>0</v>
      </c>
      <c r="Y81" s="11">
        <v>0</v>
      </c>
    </row>
    <row r="82" spans="1:25" x14ac:dyDescent="0.25">
      <c r="A82" s="20" t="s">
        <v>3657</v>
      </c>
      <c r="B82" s="20" t="s">
        <v>77</v>
      </c>
      <c r="C82" s="20" t="s">
        <v>147</v>
      </c>
      <c r="D82" s="20" t="s">
        <v>216</v>
      </c>
      <c r="E82" s="13">
        <v>0</v>
      </c>
      <c r="F82" s="11">
        <v>0</v>
      </c>
      <c r="G82" s="13">
        <v>0</v>
      </c>
      <c r="H82" s="11">
        <v>0</v>
      </c>
      <c r="I82" s="13">
        <f>E82+G82</f>
        <v>0</v>
      </c>
      <c r="J82" s="11">
        <f>F82+H82</f>
        <v>0</v>
      </c>
      <c r="K82" s="13">
        <v>0</v>
      </c>
      <c r="L82" s="11">
        <v>0</v>
      </c>
      <c r="M82" s="11">
        <v>0</v>
      </c>
      <c r="N82" s="13">
        <v>0</v>
      </c>
      <c r="O82" s="11">
        <v>0</v>
      </c>
      <c r="P82" s="11">
        <v>0</v>
      </c>
      <c r="Q82" s="13">
        <f>K82+N82</f>
        <v>0</v>
      </c>
      <c r="R82" s="11">
        <f>L82+O82</f>
        <v>0</v>
      </c>
      <c r="S82" s="11">
        <f>M82+P82</f>
        <v>0</v>
      </c>
      <c r="T82" s="8">
        <f>I82-Q82</f>
        <v>0</v>
      </c>
      <c r="U82" s="18">
        <v>6.5023007833922314E-2</v>
      </c>
      <c r="V82" s="11">
        <v>0</v>
      </c>
      <c r="W82" s="11">
        <v>0</v>
      </c>
      <c r="X82" s="11">
        <v>0</v>
      </c>
      <c r="Y82" s="11">
        <v>0</v>
      </c>
    </row>
    <row r="83" spans="1:25" x14ac:dyDescent="0.25">
      <c r="A83" s="20" t="s">
        <v>3658</v>
      </c>
      <c r="B83" s="20" t="s">
        <v>77</v>
      </c>
      <c r="C83" s="20" t="s">
        <v>153</v>
      </c>
      <c r="D83" s="20" t="s">
        <v>216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0</v>
      </c>
      <c r="L83" s="11">
        <v>0</v>
      </c>
      <c r="M83" s="11">
        <v>0</v>
      </c>
      <c r="N83" s="13">
        <v>0</v>
      </c>
      <c r="O83" s="11">
        <v>0</v>
      </c>
      <c r="P83" s="11">
        <v>0</v>
      </c>
      <c r="Q83" s="13">
        <f>K83+N83</f>
        <v>0</v>
      </c>
      <c r="R83" s="11">
        <f>L83+O83</f>
        <v>0</v>
      </c>
      <c r="S83" s="11">
        <f>M83+P83</f>
        <v>0</v>
      </c>
      <c r="T83" s="8">
        <f>I83-Q83</f>
        <v>0</v>
      </c>
      <c r="U83" s="18">
        <v>5.6135275435187988E-2</v>
      </c>
      <c r="V83" s="11">
        <v>0</v>
      </c>
      <c r="W83" s="11">
        <v>0</v>
      </c>
      <c r="X83" s="11">
        <v>0</v>
      </c>
      <c r="Y83" s="11">
        <v>0</v>
      </c>
    </row>
    <row r="84" spans="1:25" x14ac:dyDescent="0.25">
      <c r="A84" s="20" t="s">
        <v>3659</v>
      </c>
      <c r="B84" s="20" t="s">
        <v>77</v>
      </c>
      <c r="C84" s="20" t="s">
        <v>155</v>
      </c>
      <c r="D84" s="20" t="s">
        <v>216</v>
      </c>
      <c r="E84" s="13">
        <v>0</v>
      </c>
      <c r="F84" s="11">
        <v>0</v>
      </c>
      <c r="G84" s="13">
        <v>0</v>
      </c>
      <c r="H84" s="11">
        <v>0</v>
      </c>
      <c r="I84" s="13">
        <f>E84+G84</f>
        <v>0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0</v>
      </c>
      <c r="U84" s="18">
        <v>6.2855552406918452E-2</v>
      </c>
      <c r="V84" s="11">
        <v>0</v>
      </c>
      <c r="W84" s="11">
        <v>0</v>
      </c>
      <c r="X84" s="11">
        <v>0</v>
      </c>
      <c r="Y84" s="11">
        <v>0</v>
      </c>
    </row>
    <row r="85" spans="1:25" x14ac:dyDescent="0.25">
      <c r="A85" s="20" t="s">
        <v>3660</v>
      </c>
      <c r="B85" s="20" t="s">
        <v>77</v>
      </c>
      <c r="C85" s="20" t="s">
        <v>940</v>
      </c>
      <c r="D85" s="20" t="s">
        <v>216</v>
      </c>
      <c r="E85" s="13">
        <v>15266</v>
      </c>
      <c r="F85" s="11">
        <v>1</v>
      </c>
      <c r="G85" s="13">
        <v>0</v>
      </c>
      <c r="H85" s="11">
        <v>0</v>
      </c>
      <c r="I85" s="13">
        <f>E85+G85</f>
        <v>15266</v>
      </c>
      <c r="J85" s="11">
        <f>F85+H85</f>
        <v>1</v>
      </c>
      <c r="K85" s="13">
        <v>0</v>
      </c>
      <c r="L85" s="11">
        <v>0</v>
      </c>
      <c r="M85" s="11">
        <v>0</v>
      </c>
      <c r="N85" s="13">
        <v>0</v>
      </c>
      <c r="O85" s="11">
        <v>0</v>
      </c>
      <c r="P85" s="11">
        <v>0</v>
      </c>
      <c r="Q85" s="13">
        <f>K85+N85</f>
        <v>0</v>
      </c>
      <c r="R85" s="11">
        <f>L85+O85</f>
        <v>0</v>
      </c>
      <c r="S85" s="11">
        <f>M85+P85</f>
        <v>0</v>
      </c>
      <c r="T85" s="8">
        <f>I85-Q85</f>
        <v>15266</v>
      </c>
      <c r="U85" s="18">
        <v>-9.7347268674486204E-2</v>
      </c>
      <c r="V85" s="11">
        <v>0</v>
      </c>
      <c r="W85" s="11">
        <v>0</v>
      </c>
      <c r="X85" s="11">
        <v>0</v>
      </c>
      <c r="Y85" s="11">
        <v>0</v>
      </c>
    </row>
    <row r="86" spans="1:25" x14ac:dyDescent="0.25">
      <c r="A86" s="20" t="s">
        <v>3661</v>
      </c>
      <c r="B86" s="20" t="s">
        <v>77</v>
      </c>
      <c r="C86" s="20" t="s">
        <v>82</v>
      </c>
      <c r="D86" s="20" t="s">
        <v>216</v>
      </c>
      <c r="E86" s="13">
        <v>0</v>
      </c>
      <c r="F86" s="11">
        <v>0</v>
      </c>
      <c r="G86" s="13">
        <v>0</v>
      </c>
      <c r="H86" s="11">
        <v>0</v>
      </c>
      <c r="I86" s="13">
        <f>E86+G86</f>
        <v>0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0</v>
      </c>
      <c r="U86" s="18">
        <v>2.1599142594729543</v>
      </c>
      <c r="V86" s="11">
        <v>0</v>
      </c>
      <c r="W86" s="11">
        <v>0</v>
      </c>
      <c r="X86" s="11">
        <v>0</v>
      </c>
      <c r="Y86" s="11">
        <v>0</v>
      </c>
    </row>
    <row r="87" spans="1:25" x14ac:dyDescent="0.25">
      <c r="A87" s="20" t="s">
        <v>3662</v>
      </c>
      <c r="B87" s="20" t="s">
        <v>327</v>
      </c>
      <c r="C87" s="20" t="s">
        <v>3255</v>
      </c>
      <c r="D87" s="20" t="s">
        <v>216</v>
      </c>
      <c r="E87" s="13">
        <v>9013</v>
      </c>
      <c r="F87" s="11">
        <v>2</v>
      </c>
      <c r="G87" s="13">
        <v>8367</v>
      </c>
      <c r="H87" s="11">
        <v>1</v>
      </c>
      <c r="I87" s="13">
        <f>E87+G87</f>
        <v>17380</v>
      </c>
      <c r="J87" s="11">
        <f>F87+H87</f>
        <v>3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17380</v>
      </c>
      <c r="U87" s="18">
        <v>0.22563373211746005</v>
      </c>
      <c r="V87" s="11">
        <v>0.36</v>
      </c>
      <c r="W87" s="11">
        <v>4</v>
      </c>
      <c r="X87" s="11">
        <v>7</v>
      </c>
      <c r="Y87" s="11">
        <v>0</v>
      </c>
    </row>
    <row r="88" spans="1:25" x14ac:dyDescent="0.25">
      <c r="A88" s="20" t="s">
        <v>1805</v>
      </c>
      <c r="B88" s="20"/>
      <c r="C88" s="20"/>
      <c r="D88" s="20"/>
      <c r="E88" s="13">
        <f>SUBTOTAL(109,TableBRA[YTD WP])</f>
        <v>427269.42000000004</v>
      </c>
      <c r="F88" s="11">
        <f>SUBTOTAL(109,TableBRA[YTD NB '#])</f>
        <v>14</v>
      </c>
      <c r="G88" s="13">
        <f>SUBTOTAL(109,TableBRA[[YTD WP ]])</f>
        <v>661001.79</v>
      </c>
      <c r="H88" s="11">
        <f>SUBTOTAL(109,TableBRA[YTD NB '# ])</f>
        <v>15</v>
      </c>
      <c r="I88" s="13">
        <f>SUBTOTAL(109,TableBRA[[YTD WP  ]])</f>
        <v>1088271.21</v>
      </c>
      <c r="J88" s="11">
        <f>SUBTOTAL(109,TableBRA[YTD NB '#  ])</f>
        <v>29</v>
      </c>
      <c r="K88" s="13">
        <f>SUBTOTAL(109,TableBRA[PYTD WP])</f>
        <v>357237.65</v>
      </c>
      <c r="L88" s="11">
        <f>SUBTOTAL(109,TableBRA[PYTD NB '#])</f>
        <v>3</v>
      </c>
      <c r="M88" s="11">
        <f>SUBTOTAL(109,TableBRA[PY Total NB '#])</f>
        <v>36</v>
      </c>
      <c r="N88" s="13">
        <f>SUBTOTAL(109,TableBRA[[PYTD WP ]])</f>
        <v>933267.94000000006</v>
      </c>
      <c r="O88" s="11">
        <f>SUBTOTAL(109,TableBRA[PYTD NB '# ])</f>
        <v>20</v>
      </c>
      <c r="P88" s="11">
        <f>SUBTOTAL(109,TableBRA[PY Total NB '# ])</f>
        <v>97</v>
      </c>
      <c r="Q88" s="13">
        <f>SUBTOTAL(109,TableBRA[[PYTD WP  ]])</f>
        <v>1290505.5900000003</v>
      </c>
      <c r="R88" s="11">
        <f>SUBTOTAL(109,TableBRA[PYTD NB '#  ])</f>
        <v>23</v>
      </c>
      <c r="S88" s="11">
        <f>SUBTOTAL(109,TableBRA[PY Total NB '#  ])</f>
        <v>133</v>
      </c>
      <c r="T88" s="8">
        <f>SUBTOTAL(109,TableBRA[Premium Change])</f>
        <v>-202234.38000000012</v>
      </c>
      <c r="V88" s="11">
        <f>ROUND(SUM(TableBRA[12 Mo Bound])/SUM(TableBRA[12 Mo Quoted])+ SUM(TableBRA[12 Mo Bound]), 2)</f>
        <v>140.58000000000001</v>
      </c>
      <c r="W88" s="11">
        <f>SUBTOTAL(109,TableBRA[12 Mo Bound])</f>
        <v>140</v>
      </c>
      <c r="X88" s="11">
        <f>SUBTOTAL(109,TableBRA[12 Mo Quoted])</f>
        <v>242</v>
      </c>
      <c r="Y88" s="11">
        <f>SUBTOTAL(109,TableBRA[12 Mo Declined])</f>
        <v>24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35F5-82B6-4C49-91CE-F35282353A06}">
  <sheetPr>
    <pageSetUpPr fitToPage="1"/>
  </sheetPr>
  <dimension ref="A1:Z102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7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227</v>
      </c>
      <c r="B7" s="20" t="s">
        <v>83</v>
      </c>
      <c r="C7" s="20" t="s">
        <v>228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0</v>
      </c>
      <c r="O7" s="11">
        <v>0</v>
      </c>
      <c r="P7" s="11">
        <v>1</v>
      </c>
      <c r="Q7" s="13">
        <f>K7+N7</f>
        <v>0</v>
      </c>
      <c r="R7" s="11">
        <f>L7+O7</f>
        <v>0</v>
      </c>
      <c r="S7" s="11">
        <f>M7+P7</f>
        <v>1</v>
      </c>
      <c r="T7" s="8">
        <f>I7-Q7</f>
        <v>0</v>
      </c>
      <c r="U7" s="18">
        <v>-3.4660158935923675E-2</v>
      </c>
      <c r="V7" s="11">
        <v>0.5</v>
      </c>
      <c r="W7" s="11">
        <v>1</v>
      </c>
      <c r="X7" s="11">
        <v>1</v>
      </c>
      <c r="Y7" s="11">
        <v>0</v>
      </c>
    </row>
    <row r="8" spans="1:26" x14ac:dyDescent="0.25">
      <c r="A8" s="20" t="s">
        <v>229</v>
      </c>
      <c r="B8" s="20" t="s">
        <v>124</v>
      </c>
      <c r="C8" s="20" t="s">
        <v>3279</v>
      </c>
      <c r="D8" s="20" t="s">
        <v>216</v>
      </c>
      <c r="E8" s="13">
        <v>1784</v>
      </c>
      <c r="F8" s="11">
        <v>0</v>
      </c>
      <c r="G8" s="13">
        <v>0</v>
      </c>
      <c r="H8" s="11">
        <v>0</v>
      </c>
      <c r="I8" s="13">
        <f>E8+G8</f>
        <v>1784</v>
      </c>
      <c r="J8" s="11">
        <f>F8+H8</f>
        <v>0</v>
      </c>
      <c r="K8" s="13">
        <v>2069.7399999999998</v>
      </c>
      <c r="L8" s="11">
        <v>0</v>
      </c>
      <c r="M8" s="11">
        <v>0</v>
      </c>
      <c r="N8" s="13">
        <v>0</v>
      </c>
      <c r="O8" s="11">
        <v>0</v>
      </c>
      <c r="P8" s="11">
        <v>0</v>
      </c>
      <c r="Q8" s="13">
        <f>K8+N8</f>
        <v>2069.7399999999998</v>
      </c>
      <c r="R8" s="11">
        <f>L8+O8</f>
        <v>0</v>
      </c>
      <c r="S8" s="11">
        <f>M8+P8</f>
        <v>0</v>
      </c>
      <c r="T8" s="8">
        <f>I8-Q8</f>
        <v>-285.73999999999978</v>
      </c>
      <c r="U8" s="18">
        <v>-6.1473966115682274E-2</v>
      </c>
      <c r="V8" s="11">
        <v>0</v>
      </c>
      <c r="W8" s="11">
        <v>0</v>
      </c>
      <c r="X8" s="11">
        <v>1</v>
      </c>
      <c r="Y8" s="11">
        <v>0</v>
      </c>
    </row>
    <row r="9" spans="1:26" x14ac:dyDescent="0.25">
      <c r="A9" s="20" t="s">
        <v>230</v>
      </c>
      <c r="B9" s="20" t="s">
        <v>124</v>
      </c>
      <c r="C9" s="20" t="s">
        <v>231</v>
      </c>
      <c r="D9" s="20" t="s">
        <v>216</v>
      </c>
      <c r="E9" s="13">
        <v>0</v>
      </c>
      <c r="F9" s="11">
        <v>0</v>
      </c>
      <c r="G9" s="13">
        <v>0</v>
      </c>
      <c r="H9" s="11">
        <v>0</v>
      </c>
      <c r="I9" s="13">
        <f>E9+G9</f>
        <v>0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0</v>
      </c>
      <c r="O9" s="11">
        <v>0</v>
      </c>
      <c r="P9" s="11">
        <v>0</v>
      </c>
      <c r="Q9" s="13">
        <f>K9+N9</f>
        <v>0</v>
      </c>
      <c r="R9" s="11">
        <f>L9+O9</f>
        <v>0</v>
      </c>
      <c r="S9" s="11">
        <f>M9+P9</f>
        <v>0</v>
      </c>
      <c r="T9" s="8">
        <f>I9-Q9</f>
        <v>0</v>
      </c>
      <c r="U9" s="18">
        <v>-0.10684960318961199</v>
      </c>
      <c r="V9" s="11">
        <v>0</v>
      </c>
      <c r="W9" s="11">
        <v>0</v>
      </c>
      <c r="X9" s="11">
        <v>2</v>
      </c>
      <c r="Y9" s="11">
        <v>0</v>
      </c>
    </row>
    <row r="10" spans="1:26" x14ac:dyDescent="0.25">
      <c r="A10" s="20" t="s">
        <v>232</v>
      </c>
      <c r="B10" s="20" t="s">
        <v>232</v>
      </c>
      <c r="C10" s="20" t="s">
        <v>233</v>
      </c>
      <c r="D10" s="20" t="s">
        <v>216</v>
      </c>
      <c r="E10" s="13">
        <v>70305</v>
      </c>
      <c r="F10" s="11">
        <v>1</v>
      </c>
      <c r="G10" s="13">
        <v>184235.07</v>
      </c>
      <c r="H10" s="11">
        <v>4</v>
      </c>
      <c r="I10" s="13">
        <f>E10+G10</f>
        <v>254540.07</v>
      </c>
      <c r="J10" s="11">
        <f>F10+H10</f>
        <v>5</v>
      </c>
      <c r="K10" s="13">
        <v>42882</v>
      </c>
      <c r="L10" s="11">
        <v>0</v>
      </c>
      <c r="M10" s="11">
        <v>1</v>
      </c>
      <c r="N10" s="13">
        <v>179311.24</v>
      </c>
      <c r="O10" s="11">
        <v>6</v>
      </c>
      <c r="P10" s="11">
        <v>31</v>
      </c>
      <c r="Q10" s="13">
        <f>K10+N10</f>
        <v>222193.24</v>
      </c>
      <c r="R10" s="11">
        <f>L10+O10</f>
        <v>6</v>
      </c>
      <c r="S10" s="11">
        <f>M10+P10</f>
        <v>32</v>
      </c>
      <c r="T10" s="8">
        <f>I10-Q10</f>
        <v>32346.830000000016</v>
      </c>
      <c r="U10" s="18">
        <v>0.2398974848140179</v>
      </c>
      <c r="V10" s="11">
        <v>0.34</v>
      </c>
      <c r="W10" s="11">
        <v>31</v>
      </c>
      <c r="X10" s="11">
        <v>61</v>
      </c>
      <c r="Y10" s="11">
        <v>3</v>
      </c>
    </row>
    <row r="11" spans="1:26" x14ac:dyDescent="0.25">
      <c r="A11" s="20" t="s">
        <v>91</v>
      </c>
      <c r="B11" s="20" t="s">
        <v>91</v>
      </c>
      <c r="C11" s="20" t="s">
        <v>391</v>
      </c>
      <c r="D11" s="20" t="s">
        <v>216</v>
      </c>
      <c r="E11" s="13">
        <v>0</v>
      </c>
      <c r="F11" s="11">
        <v>0</v>
      </c>
      <c r="G11" s="13">
        <v>0</v>
      </c>
      <c r="H11" s="11">
        <v>0</v>
      </c>
      <c r="I11" s="13">
        <f>E11+G11</f>
        <v>0</v>
      </c>
      <c r="J11" s="11">
        <f>F11+H11</f>
        <v>0</v>
      </c>
      <c r="K11" s="13">
        <v>0</v>
      </c>
      <c r="L11" s="11">
        <v>0</v>
      </c>
      <c r="M11" s="11">
        <v>0</v>
      </c>
      <c r="N11" s="13">
        <v>0</v>
      </c>
      <c r="O11" s="11">
        <v>0</v>
      </c>
      <c r="P11" s="11">
        <v>0</v>
      </c>
      <c r="Q11" s="13">
        <f>K11+N11</f>
        <v>0</v>
      </c>
      <c r="R11" s="11">
        <f>L11+O11</f>
        <v>0</v>
      </c>
      <c r="S11" s="11">
        <f>M11+P11</f>
        <v>0</v>
      </c>
      <c r="T11" s="8">
        <f>I11-Q11</f>
        <v>0</v>
      </c>
      <c r="U11" s="18">
        <v>0.18419030807380321</v>
      </c>
      <c r="V11" s="11">
        <v>0</v>
      </c>
      <c r="W11" s="11">
        <v>0</v>
      </c>
      <c r="X11" s="11">
        <v>0</v>
      </c>
      <c r="Y11" s="11">
        <v>0</v>
      </c>
    </row>
    <row r="12" spans="1:26" x14ac:dyDescent="0.25">
      <c r="A12" s="20" t="s">
        <v>238</v>
      </c>
      <c r="B12" s="20" t="s">
        <v>60</v>
      </c>
      <c r="C12" s="20" t="s">
        <v>239</v>
      </c>
      <c r="D12" s="20" t="s">
        <v>216</v>
      </c>
      <c r="E12" s="13">
        <v>11018</v>
      </c>
      <c r="F12" s="11">
        <v>0</v>
      </c>
      <c r="G12" s="13">
        <v>0</v>
      </c>
      <c r="H12" s="11">
        <v>0</v>
      </c>
      <c r="I12" s="13">
        <f>E12+G12</f>
        <v>11018</v>
      </c>
      <c r="J12" s="11">
        <f>F12+H12</f>
        <v>0</v>
      </c>
      <c r="K12" s="13">
        <v>20235.099999999999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20235.099999999999</v>
      </c>
      <c r="R12" s="11">
        <f>L12+O12</f>
        <v>0</v>
      </c>
      <c r="S12" s="11">
        <f>M12+P12</f>
        <v>0</v>
      </c>
      <c r="T12" s="8">
        <f>I12-Q12</f>
        <v>-9217.0999999999985</v>
      </c>
      <c r="U12" s="18">
        <v>9.0611730163595375E-2</v>
      </c>
      <c r="V12" s="11">
        <v>0</v>
      </c>
      <c r="W12" s="11">
        <v>0</v>
      </c>
      <c r="X12" s="11">
        <v>4</v>
      </c>
      <c r="Y12" s="11">
        <v>0</v>
      </c>
    </row>
    <row r="13" spans="1:26" x14ac:dyDescent="0.25">
      <c r="A13" s="20" t="s">
        <v>240</v>
      </c>
      <c r="B13" s="20" t="s">
        <v>241</v>
      </c>
      <c r="C13" s="20" t="s">
        <v>242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0</v>
      </c>
      <c r="R13" s="11">
        <f>L13+O13</f>
        <v>0</v>
      </c>
      <c r="S13" s="11">
        <f>M13+P13</f>
        <v>0</v>
      </c>
      <c r="T13" s="8">
        <f>I13-Q13</f>
        <v>0</v>
      </c>
      <c r="U13" s="18">
        <v>-2.2173846970364144E-2</v>
      </c>
      <c r="V13" s="11">
        <v>0</v>
      </c>
      <c r="W13" s="11">
        <v>0</v>
      </c>
      <c r="X13" s="11">
        <v>1</v>
      </c>
      <c r="Y13" s="11">
        <v>0</v>
      </c>
    </row>
    <row r="14" spans="1:26" x14ac:dyDescent="0.25">
      <c r="A14" s="20" t="s">
        <v>2283</v>
      </c>
      <c r="B14" s="20" t="s">
        <v>60</v>
      </c>
      <c r="C14" s="20" t="s">
        <v>2993</v>
      </c>
      <c r="D14" s="20" t="s">
        <v>216</v>
      </c>
      <c r="E14" s="13">
        <v>0</v>
      </c>
      <c r="F14" s="11">
        <v>0</v>
      </c>
      <c r="G14" s="13">
        <v>17679</v>
      </c>
      <c r="H14" s="11">
        <v>0</v>
      </c>
      <c r="I14" s="13">
        <f>E14+G14</f>
        <v>17679</v>
      </c>
      <c r="J14" s="11">
        <f>F14+H14</f>
        <v>0</v>
      </c>
      <c r="K14" s="13">
        <v>0</v>
      </c>
      <c r="L14" s="11">
        <v>0</v>
      </c>
      <c r="M14" s="11">
        <v>0</v>
      </c>
      <c r="N14" s="13">
        <v>18088.599999999999</v>
      </c>
      <c r="O14" s="11">
        <v>0</v>
      </c>
      <c r="P14" s="11">
        <v>2</v>
      </c>
      <c r="Q14" s="13">
        <f>K14+N14</f>
        <v>18088.599999999999</v>
      </c>
      <c r="R14" s="11">
        <f>L14+O14</f>
        <v>0</v>
      </c>
      <c r="S14" s="11">
        <f>M14+P14</f>
        <v>2</v>
      </c>
      <c r="T14" s="8">
        <f>I14-Q14</f>
        <v>-409.59999999999854</v>
      </c>
      <c r="U14" s="18">
        <v>8.4191293516652464E-3</v>
      </c>
      <c r="V14" s="11">
        <v>0.28999999999999998</v>
      </c>
      <c r="W14" s="11">
        <v>2</v>
      </c>
      <c r="X14" s="11">
        <v>5</v>
      </c>
      <c r="Y14" s="11">
        <v>0</v>
      </c>
    </row>
    <row r="15" spans="1:26" x14ac:dyDescent="0.25">
      <c r="A15" s="20" t="s">
        <v>244</v>
      </c>
      <c r="B15" s="20" t="s">
        <v>245</v>
      </c>
      <c r="C15" s="20" t="s">
        <v>246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>
        <v>-0.15630373124458094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247</v>
      </c>
      <c r="B16" s="20" t="s">
        <v>247</v>
      </c>
      <c r="C16" s="20" t="s">
        <v>248</v>
      </c>
      <c r="D16" s="20" t="s">
        <v>216</v>
      </c>
      <c r="E16" s="13">
        <v>0</v>
      </c>
      <c r="F16" s="11">
        <v>0</v>
      </c>
      <c r="G16" s="13">
        <v>50093</v>
      </c>
      <c r="H16" s="11">
        <v>0</v>
      </c>
      <c r="I16" s="13">
        <f>E16+G16</f>
        <v>50093</v>
      </c>
      <c r="J16" s="11">
        <f>F16+H16</f>
        <v>0</v>
      </c>
      <c r="K16" s="13">
        <v>0</v>
      </c>
      <c r="L16" s="11">
        <v>0</v>
      </c>
      <c r="M16" s="11">
        <v>1</v>
      </c>
      <c r="N16" s="13">
        <v>80248</v>
      </c>
      <c r="O16" s="11">
        <v>1</v>
      </c>
      <c r="P16" s="11">
        <v>1</v>
      </c>
      <c r="Q16" s="13">
        <f>K16+N16</f>
        <v>80248</v>
      </c>
      <c r="R16" s="11">
        <f>L16+O16</f>
        <v>1</v>
      </c>
      <c r="S16" s="11">
        <f>M16+P16</f>
        <v>2</v>
      </c>
      <c r="T16" s="8">
        <f>I16-Q16</f>
        <v>-30155</v>
      </c>
      <c r="U16" s="18">
        <v>0.17125908134216347</v>
      </c>
      <c r="V16" s="11">
        <v>0.09</v>
      </c>
      <c r="W16" s="11">
        <v>2</v>
      </c>
      <c r="X16" s="11">
        <v>20</v>
      </c>
      <c r="Y16" s="11">
        <v>0</v>
      </c>
    </row>
    <row r="17" spans="1:25" x14ac:dyDescent="0.25">
      <c r="A17" s="20" t="s">
        <v>249</v>
      </c>
      <c r="B17" s="20" t="s">
        <v>124</v>
      </c>
      <c r="C17" s="20" t="s">
        <v>250</v>
      </c>
      <c r="D17" s="20" t="s">
        <v>216</v>
      </c>
      <c r="E17" s="13">
        <v>0</v>
      </c>
      <c r="F17" s="11">
        <v>0</v>
      </c>
      <c r="G17" s="13">
        <v>0</v>
      </c>
      <c r="H17" s="11">
        <v>0</v>
      </c>
      <c r="I17" s="13">
        <f>E17+G17</f>
        <v>0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0</v>
      </c>
      <c r="O17" s="11">
        <v>0</v>
      </c>
      <c r="P17" s="11">
        <v>0</v>
      </c>
      <c r="Q17" s="13">
        <f>K17+N17</f>
        <v>0</v>
      </c>
      <c r="R17" s="11">
        <f>L17+O17</f>
        <v>0</v>
      </c>
      <c r="S17" s="11">
        <f>M17+P17</f>
        <v>0</v>
      </c>
      <c r="T17" s="8">
        <f>I17-Q17</f>
        <v>0</v>
      </c>
      <c r="U17" s="18">
        <v>2.822577310941245E-2</v>
      </c>
      <c r="V17" s="11">
        <v>0</v>
      </c>
      <c r="W17" s="11">
        <v>0</v>
      </c>
      <c r="X17" s="11">
        <v>0</v>
      </c>
      <c r="Y17" s="11">
        <v>0</v>
      </c>
    </row>
    <row r="18" spans="1:25" x14ac:dyDescent="0.25">
      <c r="A18" s="20" t="s">
        <v>251</v>
      </c>
      <c r="B18" s="20" t="s">
        <v>252</v>
      </c>
      <c r="C18" s="20" t="s">
        <v>253</v>
      </c>
      <c r="D18" s="20" t="s">
        <v>216</v>
      </c>
      <c r="E18" s="13">
        <v>833</v>
      </c>
      <c r="F18" s="11">
        <v>0</v>
      </c>
      <c r="G18" s="13">
        <v>24999</v>
      </c>
      <c r="H18" s="11">
        <v>1</v>
      </c>
      <c r="I18" s="13">
        <f>E18+G18</f>
        <v>25832</v>
      </c>
      <c r="J18" s="11">
        <f>F18+H18</f>
        <v>1</v>
      </c>
      <c r="K18" s="13">
        <v>833</v>
      </c>
      <c r="L18" s="11">
        <v>0</v>
      </c>
      <c r="M18" s="11">
        <v>0</v>
      </c>
      <c r="N18" s="13">
        <v>0</v>
      </c>
      <c r="O18" s="11">
        <v>0</v>
      </c>
      <c r="P18" s="11">
        <v>1</v>
      </c>
      <c r="Q18" s="13">
        <f>K18+N18</f>
        <v>833</v>
      </c>
      <c r="R18" s="11">
        <f>L18+O18</f>
        <v>0</v>
      </c>
      <c r="S18" s="11">
        <f>M18+P18</f>
        <v>1</v>
      </c>
      <c r="T18" s="8">
        <f>I18-Q18</f>
        <v>24999</v>
      </c>
      <c r="U18" s="18">
        <v>-8.8621683959706141E-2</v>
      </c>
      <c r="V18" s="11">
        <v>0.4</v>
      </c>
      <c r="W18" s="11">
        <v>2</v>
      </c>
      <c r="X18" s="11">
        <v>3</v>
      </c>
      <c r="Y18" s="11">
        <v>0</v>
      </c>
    </row>
    <row r="19" spans="1:25" x14ac:dyDescent="0.25">
      <c r="A19" s="20" t="s">
        <v>254</v>
      </c>
      <c r="B19" s="20" t="s">
        <v>237</v>
      </c>
      <c r="C19" s="20" t="s">
        <v>255</v>
      </c>
      <c r="D19" s="20" t="s">
        <v>216</v>
      </c>
      <c r="E19" s="13">
        <v>0</v>
      </c>
      <c r="F19" s="11">
        <v>0</v>
      </c>
      <c r="G19" s="13">
        <v>0</v>
      </c>
      <c r="H19" s="11">
        <v>0</v>
      </c>
      <c r="I19" s="13">
        <f>E19+G19</f>
        <v>0</v>
      </c>
      <c r="J19" s="11">
        <f>F19+H19</f>
        <v>0</v>
      </c>
      <c r="K19" s="13">
        <v>0</v>
      </c>
      <c r="L19" s="11">
        <v>0</v>
      </c>
      <c r="M19" s="11">
        <v>0</v>
      </c>
      <c r="N19" s="13">
        <v>0</v>
      </c>
      <c r="O19" s="11">
        <v>0</v>
      </c>
      <c r="P19" s="11">
        <v>0</v>
      </c>
      <c r="Q19" s="13">
        <f>K19+N19</f>
        <v>0</v>
      </c>
      <c r="R19" s="11">
        <f>L19+O19</f>
        <v>0</v>
      </c>
      <c r="S19" s="11">
        <f>M19+P19</f>
        <v>0</v>
      </c>
      <c r="T19" s="8">
        <f>I19-Q19</f>
        <v>0</v>
      </c>
      <c r="U19" s="18">
        <v>0.13102003956003852</v>
      </c>
      <c r="V19" s="11">
        <v>0</v>
      </c>
      <c r="W19" s="11">
        <v>0</v>
      </c>
      <c r="X19" s="11">
        <v>0</v>
      </c>
      <c r="Y19" s="11">
        <v>1</v>
      </c>
    </row>
    <row r="20" spans="1:25" x14ac:dyDescent="0.25">
      <c r="A20" s="20" t="s">
        <v>1596</v>
      </c>
      <c r="B20" s="20" t="s">
        <v>60</v>
      </c>
      <c r="C20" s="20" t="s">
        <v>3414</v>
      </c>
      <c r="D20" s="20" t="s">
        <v>216</v>
      </c>
      <c r="E20" s="13">
        <v>0</v>
      </c>
      <c r="F20" s="11">
        <v>0</v>
      </c>
      <c r="G20" s="13">
        <v>0</v>
      </c>
      <c r="H20" s="11">
        <v>0</v>
      </c>
      <c r="I20" s="13">
        <f>E20+G20</f>
        <v>0</v>
      </c>
      <c r="J20" s="11">
        <f>F20+H20</f>
        <v>0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0</v>
      </c>
      <c r="Q20" s="13">
        <f>K20+N20</f>
        <v>0</v>
      </c>
      <c r="R20" s="11">
        <f>L20+O20</f>
        <v>0</v>
      </c>
      <c r="S20" s="11">
        <f>M20+P20</f>
        <v>0</v>
      </c>
      <c r="T20" s="8">
        <f>I20-Q20</f>
        <v>0</v>
      </c>
      <c r="U20" s="18">
        <v>-6.628353059763778E-2</v>
      </c>
      <c r="V20" s="11">
        <v>0</v>
      </c>
      <c r="W20" s="11">
        <v>0</v>
      </c>
      <c r="X20" s="11">
        <v>0</v>
      </c>
      <c r="Y20" s="11">
        <v>0</v>
      </c>
    </row>
    <row r="21" spans="1:25" x14ac:dyDescent="0.25">
      <c r="A21" s="20" t="s">
        <v>258</v>
      </c>
      <c r="B21" s="20" t="s">
        <v>60</v>
      </c>
      <c r="C21" s="20" t="s">
        <v>259</v>
      </c>
      <c r="D21" s="20" t="s">
        <v>216</v>
      </c>
      <c r="E21" s="13">
        <v>0</v>
      </c>
      <c r="F21" s="11">
        <v>0</v>
      </c>
      <c r="G21" s="13">
        <v>0</v>
      </c>
      <c r="H21" s="11">
        <v>0</v>
      </c>
      <c r="I21" s="13">
        <f>E21+G21</f>
        <v>0</v>
      </c>
      <c r="J21" s="11">
        <f>F21+H21</f>
        <v>0</v>
      </c>
      <c r="K21" s="13">
        <v>0</v>
      </c>
      <c r="L21" s="11">
        <v>0</v>
      </c>
      <c r="M21" s="11">
        <v>0</v>
      </c>
      <c r="N21" s="13">
        <v>0</v>
      </c>
      <c r="O21" s="11">
        <v>0</v>
      </c>
      <c r="P21" s="11">
        <v>0</v>
      </c>
      <c r="Q21" s="13">
        <f>K21+N21</f>
        <v>0</v>
      </c>
      <c r="R21" s="11">
        <f>L21+O21</f>
        <v>0</v>
      </c>
      <c r="S21" s="11">
        <f>M21+P21</f>
        <v>0</v>
      </c>
      <c r="T21" s="8">
        <f>I21-Q21</f>
        <v>0</v>
      </c>
      <c r="U21" s="18">
        <v>-90.047093451066957</v>
      </c>
      <c r="V21" s="11">
        <v>0</v>
      </c>
      <c r="W21" s="11">
        <v>0</v>
      </c>
      <c r="X21" s="11">
        <v>0</v>
      </c>
      <c r="Y21" s="11">
        <v>0</v>
      </c>
    </row>
    <row r="22" spans="1:25" x14ac:dyDescent="0.25">
      <c r="A22" s="20" t="s">
        <v>260</v>
      </c>
      <c r="B22" s="20" t="s">
        <v>260</v>
      </c>
      <c r="C22" s="20" t="s">
        <v>261</v>
      </c>
      <c r="D22" s="20" t="s">
        <v>216</v>
      </c>
      <c r="E22" s="13">
        <v>0</v>
      </c>
      <c r="F22" s="11">
        <v>0</v>
      </c>
      <c r="G22" s="13">
        <v>1242</v>
      </c>
      <c r="H22" s="11">
        <v>0</v>
      </c>
      <c r="I22" s="13">
        <f>E22+G22</f>
        <v>1242</v>
      </c>
      <c r="J22" s="11">
        <f>F22+H22</f>
        <v>0</v>
      </c>
      <c r="K22" s="13">
        <v>0</v>
      </c>
      <c r="L22" s="11">
        <v>0</v>
      </c>
      <c r="M22" s="11">
        <v>1</v>
      </c>
      <c r="N22" s="13">
        <v>1037</v>
      </c>
      <c r="O22" s="11">
        <v>0</v>
      </c>
      <c r="P22" s="11">
        <v>2</v>
      </c>
      <c r="Q22" s="13">
        <f>K22+N22</f>
        <v>1037</v>
      </c>
      <c r="R22" s="11">
        <f>L22+O22</f>
        <v>0</v>
      </c>
      <c r="S22" s="11">
        <f>M22+P22</f>
        <v>3</v>
      </c>
      <c r="T22" s="8">
        <f>I22-Q22</f>
        <v>205</v>
      </c>
      <c r="U22" s="18">
        <v>4.6036490589739555E-2</v>
      </c>
      <c r="V22" s="11">
        <v>0.5</v>
      </c>
      <c r="W22" s="11">
        <v>3</v>
      </c>
      <c r="X22" s="11">
        <v>3</v>
      </c>
      <c r="Y22" s="11">
        <v>1</v>
      </c>
    </row>
    <row r="23" spans="1:25" x14ac:dyDescent="0.25">
      <c r="A23" s="20" t="s">
        <v>1100</v>
      </c>
      <c r="B23" s="20" t="s">
        <v>327</v>
      </c>
      <c r="C23" s="20" t="s">
        <v>328</v>
      </c>
      <c r="D23" s="20" t="s">
        <v>215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6623</v>
      </c>
      <c r="O23" s="11">
        <v>0</v>
      </c>
      <c r="P23" s="11">
        <v>0</v>
      </c>
      <c r="Q23" s="13">
        <f>K23+N23</f>
        <v>6623</v>
      </c>
      <c r="R23" s="11">
        <f>L23+O23</f>
        <v>0</v>
      </c>
      <c r="S23" s="11">
        <f>M23+P23</f>
        <v>0</v>
      </c>
      <c r="T23" s="8">
        <f>I23-Q23</f>
        <v>-6623</v>
      </c>
      <c r="U23" s="18" t="s">
        <v>1803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263</v>
      </c>
      <c r="B24" s="20" t="s">
        <v>124</v>
      </c>
      <c r="C24" s="20" t="s">
        <v>264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6133</v>
      </c>
      <c r="O24" s="11">
        <v>0</v>
      </c>
      <c r="P24" s="11">
        <v>1</v>
      </c>
      <c r="Q24" s="13">
        <f>K24+N24</f>
        <v>6133</v>
      </c>
      <c r="R24" s="11">
        <f>L24+O24</f>
        <v>0</v>
      </c>
      <c r="S24" s="11">
        <f>M24+P24</f>
        <v>1</v>
      </c>
      <c r="T24" s="8">
        <f>I24-Q24</f>
        <v>-6133</v>
      </c>
      <c r="U24" s="18">
        <v>-3.0451872164453268E-2</v>
      </c>
      <c r="V24" s="11">
        <v>0.33</v>
      </c>
      <c r="W24" s="11">
        <v>1</v>
      </c>
      <c r="X24" s="11">
        <v>2</v>
      </c>
      <c r="Y24" s="11">
        <v>0</v>
      </c>
    </row>
    <row r="25" spans="1:25" x14ac:dyDescent="0.25">
      <c r="A25" s="20" t="s">
        <v>124</v>
      </c>
      <c r="B25" s="20" t="s">
        <v>124</v>
      </c>
      <c r="C25" s="20" t="s">
        <v>265</v>
      </c>
      <c r="D25" s="20" t="s">
        <v>216</v>
      </c>
      <c r="E25" s="13">
        <v>10157.290000000001</v>
      </c>
      <c r="F25" s="11">
        <v>1</v>
      </c>
      <c r="G25" s="13">
        <v>17007.88</v>
      </c>
      <c r="H25" s="11">
        <v>0</v>
      </c>
      <c r="I25" s="13">
        <f>E25+G25</f>
        <v>27165.170000000002</v>
      </c>
      <c r="J25" s="11">
        <f>F25+H25</f>
        <v>1</v>
      </c>
      <c r="K25" s="13">
        <v>31050.44</v>
      </c>
      <c r="L25" s="11">
        <v>2</v>
      </c>
      <c r="M25" s="11">
        <v>10</v>
      </c>
      <c r="N25" s="13">
        <v>42524</v>
      </c>
      <c r="O25" s="11">
        <v>2</v>
      </c>
      <c r="P25" s="11">
        <v>11</v>
      </c>
      <c r="Q25" s="13">
        <f>K25+N25</f>
        <v>73574.44</v>
      </c>
      <c r="R25" s="11">
        <f>L25+O25</f>
        <v>4</v>
      </c>
      <c r="S25" s="11">
        <f>M25+P25</f>
        <v>21</v>
      </c>
      <c r="T25" s="8">
        <f>I25-Q25</f>
        <v>-46409.270000000004</v>
      </c>
      <c r="U25" s="18">
        <v>6.7150598868508188E-2</v>
      </c>
      <c r="V25" s="11">
        <v>0.31</v>
      </c>
      <c r="W25" s="11">
        <v>18</v>
      </c>
      <c r="X25" s="11">
        <v>40</v>
      </c>
      <c r="Y25" s="11">
        <v>15</v>
      </c>
    </row>
    <row r="26" spans="1:25" x14ac:dyDescent="0.25">
      <c r="A26" s="20" t="s">
        <v>270</v>
      </c>
      <c r="B26" s="20" t="s">
        <v>270</v>
      </c>
      <c r="C26" s="20" t="s">
        <v>272</v>
      </c>
      <c r="D26" s="20" t="s">
        <v>216</v>
      </c>
      <c r="E26" s="13">
        <v>110346.81</v>
      </c>
      <c r="F26" s="11">
        <v>3</v>
      </c>
      <c r="G26" s="13">
        <v>102601.33</v>
      </c>
      <c r="H26" s="11">
        <v>1</v>
      </c>
      <c r="I26" s="13">
        <f>E26+G26</f>
        <v>212948.14</v>
      </c>
      <c r="J26" s="11">
        <f>F26+H26</f>
        <v>4</v>
      </c>
      <c r="K26" s="13">
        <v>93634.64</v>
      </c>
      <c r="L26" s="11">
        <v>0</v>
      </c>
      <c r="M26" s="11">
        <v>20</v>
      </c>
      <c r="N26" s="13">
        <v>87970.84</v>
      </c>
      <c r="O26" s="11">
        <v>2</v>
      </c>
      <c r="P26" s="11">
        <v>22</v>
      </c>
      <c r="Q26" s="13">
        <f>K26+N26</f>
        <v>181605.47999999998</v>
      </c>
      <c r="R26" s="11">
        <f>L26+O26</f>
        <v>2</v>
      </c>
      <c r="S26" s="11">
        <f>M26+P26</f>
        <v>42</v>
      </c>
      <c r="T26" s="8">
        <f>I26-Q26</f>
        <v>31342.660000000033</v>
      </c>
      <c r="U26" s="18">
        <v>0.28592947255474543</v>
      </c>
      <c r="V26" s="11">
        <v>0.23</v>
      </c>
      <c r="W26" s="11">
        <v>45</v>
      </c>
      <c r="X26" s="11">
        <v>148</v>
      </c>
      <c r="Y26" s="11">
        <v>25</v>
      </c>
    </row>
    <row r="27" spans="1:25" x14ac:dyDescent="0.25">
      <c r="A27" s="20" t="s">
        <v>280</v>
      </c>
      <c r="B27" s="20" t="s">
        <v>58</v>
      </c>
      <c r="C27" s="20" t="s">
        <v>281</v>
      </c>
      <c r="D27" s="20" t="s">
        <v>216</v>
      </c>
      <c r="E27" s="13">
        <v>6109</v>
      </c>
      <c r="F27" s="11">
        <v>0</v>
      </c>
      <c r="G27" s="13">
        <v>3000</v>
      </c>
      <c r="H27" s="11">
        <v>0</v>
      </c>
      <c r="I27" s="13">
        <f>E27+G27</f>
        <v>9109</v>
      </c>
      <c r="J27" s="11">
        <f>F27+H27</f>
        <v>0</v>
      </c>
      <c r="K27" s="13">
        <v>6415</v>
      </c>
      <c r="L27" s="11">
        <v>0</v>
      </c>
      <c r="M27" s="11">
        <v>0</v>
      </c>
      <c r="N27" s="13">
        <v>5120</v>
      </c>
      <c r="O27" s="11">
        <v>0</v>
      </c>
      <c r="P27" s="11">
        <v>0</v>
      </c>
      <c r="Q27" s="13">
        <f>K27+N27</f>
        <v>11535</v>
      </c>
      <c r="R27" s="11">
        <f>L27+O27</f>
        <v>0</v>
      </c>
      <c r="S27" s="11">
        <f>M27+P27</f>
        <v>0</v>
      </c>
      <c r="T27" s="8">
        <f>I27-Q27</f>
        <v>-2426</v>
      </c>
      <c r="U27" s="18">
        <v>0.22642939803673687</v>
      </c>
      <c r="V27" s="11">
        <v>0</v>
      </c>
      <c r="W27" s="11">
        <v>0</v>
      </c>
      <c r="X27" s="11">
        <v>1</v>
      </c>
      <c r="Y27" s="11">
        <v>0</v>
      </c>
    </row>
    <row r="28" spans="1:25" x14ac:dyDescent="0.25">
      <c r="A28" s="20" t="s">
        <v>282</v>
      </c>
      <c r="B28" s="20" t="s">
        <v>3588</v>
      </c>
      <c r="C28" s="20" t="s">
        <v>3600</v>
      </c>
      <c r="D28" s="20" t="s">
        <v>215</v>
      </c>
      <c r="E28" s="13">
        <v>5901.38</v>
      </c>
      <c r="F28" s="11">
        <v>0</v>
      </c>
      <c r="G28" s="13">
        <v>0</v>
      </c>
      <c r="H28" s="11">
        <v>0</v>
      </c>
      <c r="I28" s="13">
        <f>E28+G28</f>
        <v>5901.38</v>
      </c>
      <c r="J28" s="11">
        <f>F28+H28</f>
        <v>0</v>
      </c>
      <c r="K28" s="13">
        <v>71616.899999999994</v>
      </c>
      <c r="L28" s="11">
        <v>1</v>
      </c>
      <c r="M28" s="11">
        <v>5</v>
      </c>
      <c r="N28" s="13">
        <v>81257.33</v>
      </c>
      <c r="O28" s="11">
        <v>7</v>
      </c>
      <c r="P28" s="11">
        <v>15</v>
      </c>
      <c r="Q28" s="13">
        <f>K28+N28</f>
        <v>152874.22999999998</v>
      </c>
      <c r="R28" s="11">
        <f>L28+O28</f>
        <v>8</v>
      </c>
      <c r="S28" s="11">
        <f>M28+P28</f>
        <v>20</v>
      </c>
      <c r="T28" s="8">
        <f>I28-Q28</f>
        <v>-146972.84999999998</v>
      </c>
      <c r="U28" s="18" t="s">
        <v>1803</v>
      </c>
      <c r="V28" s="11">
        <v>0.32</v>
      </c>
      <c r="W28" s="11">
        <v>13</v>
      </c>
      <c r="X28" s="11">
        <v>28</v>
      </c>
      <c r="Y28" s="11">
        <v>7</v>
      </c>
    </row>
    <row r="29" spans="1:25" x14ac:dyDescent="0.25">
      <c r="A29" s="20" t="s">
        <v>252</v>
      </c>
      <c r="B29" s="20" t="s">
        <v>252</v>
      </c>
      <c r="C29" s="20" t="s">
        <v>284</v>
      </c>
      <c r="D29" s="20" t="s">
        <v>216</v>
      </c>
      <c r="E29" s="13">
        <v>49096.66</v>
      </c>
      <c r="F29" s="11">
        <v>2</v>
      </c>
      <c r="G29" s="13">
        <v>12165.13</v>
      </c>
      <c r="H29" s="11">
        <v>0</v>
      </c>
      <c r="I29" s="13">
        <f>E29+G29</f>
        <v>61261.79</v>
      </c>
      <c r="J29" s="11">
        <f>F29+H29</f>
        <v>2</v>
      </c>
      <c r="K29" s="13">
        <v>58257.87</v>
      </c>
      <c r="L29" s="11">
        <v>0</v>
      </c>
      <c r="M29" s="11">
        <v>2</v>
      </c>
      <c r="N29" s="13">
        <v>35815</v>
      </c>
      <c r="O29" s="11">
        <v>0</v>
      </c>
      <c r="P29" s="11">
        <v>12</v>
      </c>
      <c r="Q29" s="13">
        <f>K29+N29</f>
        <v>94072.87</v>
      </c>
      <c r="R29" s="11">
        <f>L29+O29</f>
        <v>0</v>
      </c>
      <c r="S29" s="11">
        <f>M29+P29</f>
        <v>14</v>
      </c>
      <c r="T29" s="8">
        <f>I29-Q29</f>
        <v>-32811.079999999994</v>
      </c>
      <c r="U29" s="18">
        <v>0.31539075278875389</v>
      </c>
      <c r="V29" s="11">
        <v>0.33</v>
      </c>
      <c r="W29" s="11">
        <v>16</v>
      </c>
      <c r="X29" s="11">
        <v>32</v>
      </c>
      <c r="Y29" s="11">
        <v>3</v>
      </c>
    </row>
    <row r="30" spans="1:25" x14ac:dyDescent="0.25">
      <c r="A30" s="20" t="s">
        <v>287</v>
      </c>
      <c r="B30" s="20" t="s">
        <v>60</v>
      </c>
      <c r="C30" s="20" t="s">
        <v>288</v>
      </c>
      <c r="D30" s="20" t="s">
        <v>216</v>
      </c>
      <c r="E30" s="13">
        <v>-40.07</v>
      </c>
      <c r="F30" s="11">
        <v>0</v>
      </c>
      <c r="G30" s="13">
        <v>40277.089999999997</v>
      </c>
      <c r="H30" s="11">
        <v>0</v>
      </c>
      <c r="I30" s="13">
        <f>E30+G30</f>
        <v>40237.019999999997</v>
      </c>
      <c r="J30" s="11">
        <f>F30+H30</f>
        <v>0</v>
      </c>
      <c r="K30" s="13">
        <v>1870.22</v>
      </c>
      <c r="L30" s="11">
        <v>0</v>
      </c>
      <c r="M30" s="11">
        <v>0</v>
      </c>
      <c r="N30" s="13">
        <v>39126.199999999997</v>
      </c>
      <c r="O30" s="11">
        <v>1</v>
      </c>
      <c r="P30" s="11">
        <v>4</v>
      </c>
      <c r="Q30" s="13">
        <f>K30+N30</f>
        <v>40996.42</v>
      </c>
      <c r="R30" s="11">
        <f>L30+O30</f>
        <v>1</v>
      </c>
      <c r="S30" s="11">
        <f>M30+P30</f>
        <v>4</v>
      </c>
      <c r="T30" s="8">
        <f>I30-Q30</f>
        <v>-759.40000000000146</v>
      </c>
      <c r="U30" s="18">
        <v>3.0729595822785911E-2</v>
      </c>
      <c r="V30" s="11">
        <v>0.33</v>
      </c>
      <c r="W30" s="11">
        <v>3</v>
      </c>
      <c r="X30" s="11">
        <v>6</v>
      </c>
      <c r="Y30" s="11">
        <v>0</v>
      </c>
    </row>
    <row r="31" spans="1:25" x14ac:dyDescent="0.25">
      <c r="A31" s="20" t="s">
        <v>2636</v>
      </c>
      <c r="B31" s="20" t="s">
        <v>91</v>
      </c>
      <c r="C31" s="20" t="s">
        <v>3409</v>
      </c>
      <c r="D31" s="20" t="s">
        <v>216</v>
      </c>
      <c r="E31" s="13">
        <v>0</v>
      </c>
      <c r="F31" s="11">
        <v>0</v>
      </c>
      <c r="G31" s="13">
        <v>6683</v>
      </c>
      <c r="H31" s="11">
        <v>1</v>
      </c>
      <c r="I31" s="13">
        <f>E31+G31</f>
        <v>6683</v>
      </c>
      <c r="J31" s="11">
        <f>F31+H31</f>
        <v>1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6683</v>
      </c>
      <c r="U31" s="18">
        <v>0.17563871904328796</v>
      </c>
      <c r="V31" s="11">
        <v>0.5</v>
      </c>
      <c r="W31" s="11">
        <v>1</v>
      </c>
      <c r="X31" s="11">
        <v>1</v>
      </c>
      <c r="Y31" s="11">
        <v>2</v>
      </c>
    </row>
    <row r="32" spans="1:25" x14ac:dyDescent="0.25">
      <c r="A32" s="20" t="s">
        <v>289</v>
      </c>
      <c r="B32" s="20" t="s">
        <v>60</v>
      </c>
      <c r="C32" s="20" t="s">
        <v>290</v>
      </c>
      <c r="D32" s="20" t="s">
        <v>216</v>
      </c>
      <c r="E32" s="13">
        <v>23651</v>
      </c>
      <c r="F32" s="11">
        <v>0</v>
      </c>
      <c r="G32" s="13">
        <v>51302.33</v>
      </c>
      <c r="H32" s="11">
        <v>1</v>
      </c>
      <c r="I32" s="13">
        <f>E32+G32</f>
        <v>74953.33</v>
      </c>
      <c r="J32" s="11">
        <f>F32+H32</f>
        <v>1</v>
      </c>
      <c r="K32" s="13">
        <v>25795.98</v>
      </c>
      <c r="L32" s="11">
        <v>0</v>
      </c>
      <c r="M32" s="11">
        <v>0</v>
      </c>
      <c r="N32" s="13">
        <v>45857.64</v>
      </c>
      <c r="O32" s="11">
        <v>1</v>
      </c>
      <c r="P32" s="11">
        <v>5</v>
      </c>
      <c r="Q32" s="13">
        <f>K32+N32</f>
        <v>71653.62</v>
      </c>
      <c r="R32" s="11">
        <f>L32+O32</f>
        <v>1</v>
      </c>
      <c r="S32" s="11">
        <f>M32+P32</f>
        <v>5</v>
      </c>
      <c r="T32" s="8">
        <f>I32-Q32</f>
        <v>3299.7100000000064</v>
      </c>
      <c r="U32" s="18">
        <v>0.11327346359196873</v>
      </c>
      <c r="V32" s="11">
        <v>0.16</v>
      </c>
      <c r="W32" s="11">
        <v>5</v>
      </c>
      <c r="X32" s="11">
        <v>26</v>
      </c>
      <c r="Y32" s="11">
        <v>6</v>
      </c>
    </row>
    <row r="33" spans="1:25" x14ac:dyDescent="0.25">
      <c r="A33" s="20" t="s">
        <v>291</v>
      </c>
      <c r="B33" s="20" t="s">
        <v>3096</v>
      </c>
      <c r="C33" s="20" t="s">
        <v>292</v>
      </c>
      <c r="D33" s="20" t="s">
        <v>216</v>
      </c>
      <c r="E33" s="13">
        <v>17415</v>
      </c>
      <c r="F33" s="11">
        <v>1</v>
      </c>
      <c r="G33" s="13">
        <v>6076</v>
      </c>
      <c r="H33" s="11">
        <v>0</v>
      </c>
      <c r="I33" s="13">
        <f>E33+G33</f>
        <v>23491</v>
      </c>
      <c r="J33" s="11">
        <f>F33+H33</f>
        <v>1</v>
      </c>
      <c r="K33" s="13">
        <v>19408</v>
      </c>
      <c r="L33" s="11">
        <v>0</v>
      </c>
      <c r="M33" s="11">
        <v>0</v>
      </c>
      <c r="N33" s="13">
        <v>11206.5</v>
      </c>
      <c r="O33" s="11">
        <v>0</v>
      </c>
      <c r="P33" s="11">
        <v>0</v>
      </c>
      <c r="Q33" s="13">
        <f>K33+N33</f>
        <v>30614.5</v>
      </c>
      <c r="R33" s="11">
        <f>L33+O33</f>
        <v>0</v>
      </c>
      <c r="S33" s="11">
        <f>M33+P33</f>
        <v>0</v>
      </c>
      <c r="T33" s="8">
        <f>I33-Q33</f>
        <v>-7123.5</v>
      </c>
      <c r="U33" s="18">
        <v>5.6287164714747422E-2</v>
      </c>
      <c r="V33" s="11">
        <v>0</v>
      </c>
      <c r="W33" s="11">
        <v>1</v>
      </c>
      <c r="Y33" s="11">
        <v>0</v>
      </c>
    </row>
    <row r="34" spans="1:25" x14ac:dyDescent="0.25">
      <c r="A34" s="20" t="s">
        <v>245</v>
      </c>
      <c r="B34" s="20" t="s">
        <v>245</v>
      </c>
      <c r="C34" s="20" t="s">
        <v>293</v>
      </c>
      <c r="D34" s="20" t="s">
        <v>216</v>
      </c>
      <c r="E34" s="13">
        <v>12972</v>
      </c>
      <c r="F34" s="11">
        <v>0</v>
      </c>
      <c r="G34" s="13">
        <v>18220</v>
      </c>
      <c r="H34" s="11">
        <v>0</v>
      </c>
      <c r="I34" s="13">
        <f>E34+G34</f>
        <v>31192</v>
      </c>
      <c r="J34" s="11">
        <f>F34+H34</f>
        <v>0</v>
      </c>
      <c r="K34" s="13">
        <v>7302</v>
      </c>
      <c r="L34" s="11">
        <v>0</v>
      </c>
      <c r="M34" s="11">
        <v>0</v>
      </c>
      <c r="N34" s="13">
        <v>20460</v>
      </c>
      <c r="O34" s="11">
        <v>0</v>
      </c>
      <c r="P34" s="11">
        <v>1</v>
      </c>
      <c r="Q34" s="13">
        <f>K34+N34</f>
        <v>27762</v>
      </c>
      <c r="R34" s="11">
        <f>L34+O34</f>
        <v>0</v>
      </c>
      <c r="S34" s="11">
        <f>M34+P34</f>
        <v>1</v>
      </c>
      <c r="T34" s="8">
        <f>I34-Q34</f>
        <v>3430</v>
      </c>
      <c r="U34" s="18">
        <v>9.2176985418976592E-2</v>
      </c>
      <c r="V34" s="11">
        <v>0.5</v>
      </c>
      <c r="W34" s="11">
        <v>1</v>
      </c>
      <c r="X34" s="11">
        <v>1</v>
      </c>
      <c r="Y34" s="11">
        <v>0</v>
      </c>
    </row>
    <row r="35" spans="1:25" x14ac:dyDescent="0.25">
      <c r="A35" s="20" t="s">
        <v>296</v>
      </c>
      <c r="B35" s="20" t="s">
        <v>225</v>
      </c>
      <c r="C35" s="20" t="s">
        <v>297</v>
      </c>
      <c r="D35" s="20" t="s">
        <v>216</v>
      </c>
      <c r="E35" s="13">
        <v>15274</v>
      </c>
      <c r="F35" s="11">
        <v>0</v>
      </c>
      <c r="G35" s="13">
        <v>-3166.73</v>
      </c>
      <c r="H35" s="11">
        <v>0</v>
      </c>
      <c r="I35" s="13">
        <f>E35+G35</f>
        <v>12107.27</v>
      </c>
      <c r="J35" s="11">
        <f>F35+H35</f>
        <v>0</v>
      </c>
      <c r="K35" s="13">
        <v>14390.86</v>
      </c>
      <c r="L35" s="11">
        <v>0</v>
      </c>
      <c r="M35" s="11">
        <v>0</v>
      </c>
      <c r="N35" s="13">
        <v>0</v>
      </c>
      <c r="O35" s="11">
        <v>0</v>
      </c>
      <c r="P35" s="11">
        <v>1</v>
      </c>
      <c r="Q35" s="13">
        <f>K35+N35</f>
        <v>14390.86</v>
      </c>
      <c r="R35" s="11">
        <f>L35+O35</f>
        <v>0</v>
      </c>
      <c r="S35" s="11">
        <f>M35+P35</f>
        <v>1</v>
      </c>
      <c r="T35" s="8">
        <f>I35-Q35</f>
        <v>-2283.59</v>
      </c>
      <c r="U35" s="18">
        <v>3.8821762730332772E-3</v>
      </c>
      <c r="V35" s="11">
        <v>0.5</v>
      </c>
      <c r="W35" s="11">
        <v>1</v>
      </c>
      <c r="X35" s="11">
        <v>1</v>
      </c>
      <c r="Y35" s="11">
        <v>0</v>
      </c>
    </row>
    <row r="36" spans="1:25" x14ac:dyDescent="0.25">
      <c r="A36" s="20" t="s">
        <v>298</v>
      </c>
      <c r="B36" s="20" t="s">
        <v>91</v>
      </c>
      <c r="C36" s="20" t="s">
        <v>299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2</v>
      </c>
      <c r="Q36" s="13">
        <f>K36+N36</f>
        <v>0</v>
      </c>
      <c r="R36" s="11">
        <f>L36+O36</f>
        <v>0</v>
      </c>
      <c r="S36" s="11">
        <f>M36+P36</f>
        <v>2</v>
      </c>
      <c r="T36" s="8">
        <f>I36-Q36</f>
        <v>0</v>
      </c>
      <c r="U36" s="18">
        <v>-4.0716929828649231E-2</v>
      </c>
      <c r="V36" s="11">
        <v>0.4</v>
      </c>
      <c r="W36" s="11">
        <v>2</v>
      </c>
      <c r="X36" s="11">
        <v>3</v>
      </c>
      <c r="Y36" s="11">
        <v>1</v>
      </c>
    </row>
    <row r="37" spans="1:25" x14ac:dyDescent="0.25">
      <c r="A37" s="20" t="s">
        <v>300</v>
      </c>
      <c r="B37" s="20" t="s">
        <v>91</v>
      </c>
      <c r="C37" s="20" t="s">
        <v>301</v>
      </c>
      <c r="D37" s="20" t="s">
        <v>216</v>
      </c>
      <c r="E37" s="13">
        <v>807.37</v>
      </c>
      <c r="F37" s="11">
        <v>0</v>
      </c>
      <c r="G37" s="13">
        <v>0</v>
      </c>
      <c r="H37" s="11">
        <v>0</v>
      </c>
      <c r="I37" s="13">
        <f>E37+G37</f>
        <v>807.37</v>
      </c>
      <c r="J37" s="11">
        <f>F37+H37</f>
        <v>0</v>
      </c>
      <c r="K37" s="13">
        <v>2971.8</v>
      </c>
      <c r="L37" s="11">
        <v>0</v>
      </c>
      <c r="M37" s="11">
        <v>0</v>
      </c>
      <c r="N37" s="13">
        <v>1789.52</v>
      </c>
      <c r="O37" s="11">
        <v>0</v>
      </c>
      <c r="P37" s="11">
        <v>2</v>
      </c>
      <c r="Q37" s="13">
        <f>K37+N37</f>
        <v>4761.32</v>
      </c>
      <c r="R37" s="11">
        <f>L37+O37</f>
        <v>0</v>
      </c>
      <c r="S37" s="11">
        <f>M37+P37</f>
        <v>2</v>
      </c>
      <c r="T37" s="8">
        <f>I37-Q37</f>
        <v>-3953.95</v>
      </c>
      <c r="U37" s="18">
        <v>1.0477925548165576</v>
      </c>
      <c r="V37" s="11">
        <v>0.2</v>
      </c>
      <c r="W37" s="11">
        <v>2</v>
      </c>
      <c r="X37" s="11">
        <v>8</v>
      </c>
      <c r="Y37" s="11">
        <v>2</v>
      </c>
    </row>
    <row r="38" spans="1:25" x14ac:dyDescent="0.25">
      <c r="A38" s="20" t="s">
        <v>303</v>
      </c>
      <c r="B38" s="20" t="s">
        <v>91</v>
      </c>
      <c r="C38" s="20" t="s">
        <v>304</v>
      </c>
      <c r="D38" s="20" t="s">
        <v>216</v>
      </c>
      <c r="E38" s="13">
        <v>46807.37</v>
      </c>
      <c r="F38" s="11">
        <v>0</v>
      </c>
      <c r="G38" s="13">
        <v>1644</v>
      </c>
      <c r="H38" s="11">
        <v>1</v>
      </c>
      <c r="I38" s="13">
        <f>E38+G38</f>
        <v>48451.37</v>
      </c>
      <c r="J38" s="11">
        <f>F38+H38</f>
        <v>1</v>
      </c>
      <c r="K38" s="13">
        <v>46276.59</v>
      </c>
      <c r="L38" s="11">
        <v>0</v>
      </c>
      <c r="M38" s="11">
        <v>1</v>
      </c>
      <c r="N38" s="13">
        <v>0</v>
      </c>
      <c r="O38" s="11">
        <v>0</v>
      </c>
      <c r="P38" s="11">
        <v>0</v>
      </c>
      <c r="Q38" s="13">
        <f>K38+N38</f>
        <v>46276.59</v>
      </c>
      <c r="R38" s="11">
        <f>L38+O38</f>
        <v>0</v>
      </c>
      <c r="S38" s="11">
        <f>M38+P38</f>
        <v>1</v>
      </c>
      <c r="T38" s="8">
        <f>I38-Q38</f>
        <v>2174.7800000000061</v>
      </c>
      <c r="U38" s="18">
        <v>7.4817234113445971E-2</v>
      </c>
      <c r="V38" s="11">
        <v>0.22</v>
      </c>
      <c r="W38" s="11">
        <v>2</v>
      </c>
      <c r="X38" s="11">
        <v>7</v>
      </c>
      <c r="Y38" s="11">
        <v>3</v>
      </c>
    </row>
    <row r="39" spans="1:25" x14ac:dyDescent="0.25">
      <c r="A39" s="20" t="s">
        <v>305</v>
      </c>
      <c r="B39" s="20" t="s">
        <v>124</v>
      </c>
      <c r="C39" s="20" t="s">
        <v>306</v>
      </c>
      <c r="D39" s="20" t="s">
        <v>216</v>
      </c>
      <c r="E39" s="13">
        <v>0</v>
      </c>
      <c r="F39" s="11">
        <v>0</v>
      </c>
      <c r="G39" s="13">
        <v>0</v>
      </c>
      <c r="H39" s="11">
        <v>0</v>
      </c>
      <c r="I39" s="13">
        <f>E39+G39</f>
        <v>0</v>
      </c>
      <c r="J39" s="11">
        <f>F39+H39</f>
        <v>0</v>
      </c>
      <c r="K39" s="13">
        <v>0</v>
      </c>
      <c r="L39" s="11">
        <v>0</v>
      </c>
      <c r="M39" s="11">
        <v>0</v>
      </c>
      <c r="N39" s="13">
        <v>-2658.08</v>
      </c>
      <c r="O39" s="11">
        <v>0</v>
      </c>
      <c r="P39" s="11">
        <v>1</v>
      </c>
      <c r="Q39" s="13">
        <f>K39+N39</f>
        <v>-2658.08</v>
      </c>
      <c r="R39" s="11">
        <f>L39+O39</f>
        <v>0</v>
      </c>
      <c r="S39" s="11">
        <f>M39+P39</f>
        <v>1</v>
      </c>
      <c r="T39" s="8">
        <f>I39-Q39</f>
        <v>2658.08</v>
      </c>
      <c r="U39" s="18">
        <v>3.6838819096427819E-2</v>
      </c>
      <c r="V39" s="11">
        <v>0.17</v>
      </c>
      <c r="W39" s="11">
        <v>1</v>
      </c>
      <c r="X39" s="11">
        <v>5</v>
      </c>
      <c r="Y39" s="11">
        <v>0</v>
      </c>
    </row>
    <row r="40" spans="1:25" x14ac:dyDescent="0.25">
      <c r="A40" s="20" t="s">
        <v>307</v>
      </c>
      <c r="B40" s="20" t="s">
        <v>124</v>
      </c>
      <c r="C40" s="20" t="s">
        <v>308</v>
      </c>
      <c r="D40" s="20" t="s">
        <v>216</v>
      </c>
      <c r="E40" s="13">
        <v>0</v>
      </c>
      <c r="F40" s="11">
        <v>0</v>
      </c>
      <c r="G40" s="13">
        <v>3407</v>
      </c>
      <c r="H40" s="11">
        <v>0</v>
      </c>
      <c r="I40" s="13">
        <f>E40+G40</f>
        <v>3407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3407</v>
      </c>
      <c r="O40" s="11">
        <v>0</v>
      </c>
      <c r="P40" s="11">
        <v>0</v>
      </c>
      <c r="Q40" s="13">
        <f>K40+N40</f>
        <v>3407</v>
      </c>
      <c r="R40" s="11">
        <f>L40+O40</f>
        <v>0</v>
      </c>
      <c r="S40" s="11">
        <f>M40+P40</f>
        <v>0</v>
      </c>
      <c r="T40" s="8">
        <f>I40-Q40</f>
        <v>0</v>
      </c>
      <c r="U40" s="18">
        <v>-6.271477653079803E-2</v>
      </c>
      <c r="V40" s="11">
        <v>0</v>
      </c>
      <c r="W40" s="11">
        <v>0</v>
      </c>
      <c r="X40" s="11">
        <v>1</v>
      </c>
      <c r="Y40" s="11">
        <v>0</v>
      </c>
    </row>
    <row r="41" spans="1:25" x14ac:dyDescent="0.25">
      <c r="A41" s="20" t="s">
        <v>309</v>
      </c>
      <c r="B41" s="20" t="s">
        <v>124</v>
      </c>
      <c r="C41" s="20" t="s">
        <v>310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2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2</v>
      </c>
      <c r="T41" s="8">
        <f>I41-Q41</f>
        <v>0</v>
      </c>
      <c r="U41" s="18">
        <v>0.1259754251197272</v>
      </c>
      <c r="V41" s="11">
        <v>0.4</v>
      </c>
      <c r="W41" s="11">
        <v>2</v>
      </c>
      <c r="X41" s="11">
        <v>3</v>
      </c>
      <c r="Y41" s="11">
        <v>0</v>
      </c>
    </row>
    <row r="42" spans="1:25" x14ac:dyDescent="0.25">
      <c r="A42" s="20" t="s">
        <v>311</v>
      </c>
      <c r="B42" s="20" t="s">
        <v>260</v>
      </c>
      <c r="C42" s="20" t="s">
        <v>286</v>
      </c>
      <c r="D42" s="20" t="s">
        <v>215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3850</v>
      </c>
      <c r="L42" s="11">
        <v>0</v>
      </c>
      <c r="M42" s="11">
        <v>1</v>
      </c>
      <c r="N42" s="13">
        <v>0</v>
      </c>
      <c r="O42" s="11">
        <v>0</v>
      </c>
      <c r="P42" s="11">
        <v>0</v>
      </c>
      <c r="Q42" s="13">
        <f>K42+N42</f>
        <v>3850</v>
      </c>
      <c r="R42" s="11">
        <f>L42+O42</f>
        <v>0</v>
      </c>
      <c r="S42" s="11">
        <f>M42+P42</f>
        <v>1</v>
      </c>
      <c r="T42" s="8">
        <f>I42-Q42</f>
        <v>-3850</v>
      </c>
      <c r="U42" s="18" t="s">
        <v>1803</v>
      </c>
      <c r="V42" s="11">
        <v>0.5</v>
      </c>
      <c r="W42" s="11">
        <v>1</v>
      </c>
      <c r="X42" s="11">
        <v>1</v>
      </c>
      <c r="Y42" s="11">
        <v>4</v>
      </c>
    </row>
    <row r="43" spans="1:25" x14ac:dyDescent="0.25">
      <c r="A43" s="20" t="s">
        <v>316</v>
      </c>
      <c r="B43" s="20" t="s">
        <v>237</v>
      </c>
      <c r="C43" s="20" t="s">
        <v>317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0</v>
      </c>
      <c r="O43" s="11">
        <v>0</v>
      </c>
      <c r="P43" s="11">
        <v>0</v>
      </c>
      <c r="Q43" s="13">
        <f>K43+N43</f>
        <v>0</v>
      </c>
      <c r="R43" s="11">
        <f>L43+O43</f>
        <v>0</v>
      </c>
      <c r="S43" s="11">
        <f>M43+P43</f>
        <v>0</v>
      </c>
      <c r="T43" s="8">
        <f>I43-Q43</f>
        <v>0</v>
      </c>
      <c r="U43" s="18">
        <v>-9.7318012691371327E-3</v>
      </c>
      <c r="V43" s="11">
        <v>0</v>
      </c>
      <c r="W43" s="11">
        <v>0</v>
      </c>
      <c r="X43" s="11">
        <v>0</v>
      </c>
      <c r="Y43" s="11">
        <v>0</v>
      </c>
    </row>
    <row r="44" spans="1:25" x14ac:dyDescent="0.25">
      <c r="A44" s="20" t="s">
        <v>319</v>
      </c>
      <c r="B44" s="20" t="s">
        <v>202</v>
      </c>
      <c r="C44" s="20" t="s">
        <v>320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0</v>
      </c>
      <c r="R44" s="11">
        <f>L44+O44</f>
        <v>0</v>
      </c>
      <c r="S44" s="11">
        <f>M44+P44</f>
        <v>0</v>
      </c>
      <c r="T44" s="8">
        <f>I44-Q44</f>
        <v>0</v>
      </c>
      <c r="U44" s="18">
        <v>-0.13499340454119801</v>
      </c>
      <c r="V44" s="11">
        <v>0</v>
      </c>
      <c r="W44" s="11">
        <v>0</v>
      </c>
      <c r="X44" s="11">
        <v>0</v>
      </c>
      <c r="Y44" s="11">
        <v>0</v>
      </c>
    </row>
    <row r="45" spans="1:25" x14ac:dyDescent="0.25">
      <c r="A45" s="20" t="s">
        <v>321</v>
      </c>
      <c r="B45" s="20" t="s">
        <v>321</v>
      </c>
      <c r="C45" s="20" t="s">
        <v>273</v>
      </c>
      <c r="D45" s="20" t="s">
        <v>216</v>
      </c>
      <c r="E45" s="13">
        <v>3013</v>
      </c>
      <c r="F45" s="11">
        <v>0</v>
      </c>
      <c r="G45" s="13">
        <v>5868.79</v>
      </c>
      <c r="H45" s="11">
        <v>0</v>
      </c>
      <c r="I45" s="13">
        <f>E45+G45</f>
        <v>8881.7900000000009</v>
      </c>
      <c r="J45" s="11">
        <f>F45+H45</f>
        <v>0</v>
      </c>
      <c r="K45" s="13">
        <v>2100.08</v>
      </c>
      <c r="L45" s="11">
        <v>0</v>
      </c>
      <c r="M45" s="11">
        <v>1</v>
      </c>
      <c r="N45" s="13">
        <v>10811.72</v>
      </c>
      <c r="O45" s="11">
        <v>0</v>
      </c>
      <c r="P45" s="11">
        <v>4</v>
      </c>
      <c r="Q45" s="13">
        <f>K45+N45</f>
        <v>12911.8</v>
      </c>
      <c r="R45" s="11">
        <f>L45+O45</f>
        <v>0</v>
      </c>
      <c r="S45" s="11">
        <f>M45+P45</f>
        <v>5</v>
      </c>
      <c r="T45" s="8">
        <f>I45-Q45</f>
        <v>-4030.0099999999984</v>
      </c>
      <c r="U45" s="18">
        <v>5.1193657933350845E-2</v>
      </c>
      <c r="V45" s="11">
        <v>0.25</v>
      </c>
      <c r="W45" s="11">
        <v>5</v>
      </c>
      <c r="X45" s="11">
        <v>15</v>
      </c>
      <c r="Y45" s="11">
        <v>2</v>
      </c>
    </row>
    <row r="46" spans="1:25" x14ac:dyDescent="0.25">
      <c r="A46" s="20" t="s">
        <v>225</v>
      </c>
      <c r="B46" s="20" t="s">
        <v>225</v>
      </c>
      <c r="C46" s="20" t="s">
        <v>325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>
        <v>2.7286222815069883E-3</v>
      </c>
      <c r="V46" s="11">
        <v>0</v>
      </c>
      <c r="W46" s="11">
        <v>0</v>
      </c>
      <c r="X46" s="11">
        <v>0</v>
      </c>
      <c r="Y46" s="11">
        <v>3</v>
      </c>
    </row>
    <row r="47" spans="1:25" x14ac:dyDescent="0.25">
      <c r="A47" s="20" t="s">
        <v>329</v>
      </c>
      <c r="B47" s="20" t="s">
        <v>225</v>
      </c>
      <c r="C47" s="20" t="s">
        <v>330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 t="s">
        <v>1803</v>
      </c>
      <c r="V47" s="11">
        <v>0</v>
      </c>
      <c r="W47" s="11">
        <v>0</v>
      </c>
      <c r="X47" s="11">
        <v>0</v>
      </c>
      <c r="Y47" s="11">
        <v>0</v>
      </c>
    </row>
    <row r="48" spans="1:25" x14ac:dyDescent="0.25">
      <c r="A48" s="20" t="s">
        <v>331</v>
      </c>
      <c r="B48" s="20" t="s">
        <v>60</v>
      </c>
      <c r="C48" s="20" t="s">
        <v>332</v>
      </c>
      <c r="D48" s="20" t="s">
        <v>216</v>
      </c>
      <c r="E48" s="13">
        <v>0</v>
      </c>
      <c r="F48" s="11">
        <v>0</v>
      </c>
      <c r="G48" s="13">
        <v>0</v>
      </c>
      <c r="H48" s="11">
        <v>0</v>
      </c>
      <c r="I48" s="13">
        <f>E48+G48</f>
        <v>0</v>
      </c>
      <c r="J48" s="11">
        <f>F48+H48</f>
        <v>0</v>
      </c>
      <c r="K48" s="13">
        <v>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0</v>
      </c>
      <c r="R48" s="11">
        <f>L48+O48</f>
        <v>0</v>
      </c>
      <c r="S48" s="11">
        <f>M48+P48</f>
        <v>0</v>
      </c>
      <c r="T48" s="8">
        <f>I48-Q48</f>
        <v>0</v>
      </c>
      <c r="U48" s="18" t="s">
        <v>1803</v>
      </c>
      <c r="V48" s="11">
        <v>0</v>
      </c>
      <c r="W48" s="11">
        <v>0</v>
      </c>
      <c r="X48" s="11">
        <v>0</v>
      </c>
      <c r="Y48" s="11">
        <v>0</v>
      </c>
    </row>
    <row r="49" spans="1:25" x14ac:dyDescent="0.25">
      <c r="A49" s="20" t="s">
        <v>1870</v>
      </c>
      <c r="B49" s="20" t="s">
        <v>60</v>
      </c>
      <c r="C49" s="20" t="s">
        <v>3352</v>
      </c>
      <c r="D49" s="20" t="s">
        <v>216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0</v>
      </c>
      <c r="O49" s="11">
        <v>0</v>
      </c>
      <c r="P49" s="11">
        <v>0</v>
      </c>
      <c r="Q49" s="13">
        <f>K49+N49</f>
        <v>0</v>
      </c>
      <c r="R49" s="11">
        <f>L49+O49</f>
        <v>0</v>
      </c>
      <c r="S49" s="11">
        <f>M49+P49</f>
        <v>0</v>
      </c>
      <c r="T49" s="8">
        <f>I49-Q49</f>
        <v>0</v>
      </c>
      <c r="U49" s="18" t="s">
        <v>1803</v>
      </c>
      <c r="V49" s="11">
        <v>0</v>
      </c>
      <c r="W49" s="11">
        <v>0</v>
      </c>
      <c r="X49" s="11">
        <v>0</v>
      </c>
      <c r="Y49" s="11">
        <v>0</v>
      </c>
    </row>
    <row r="50" spans="1:25" x14ac:dyDescent="0.25">
      <c r="A50" s="20" t="s">
        <v>334</v>
      </c>
      <c r="B50" s="20" t="s">
        <v>91</v>
      </c>
      <c r="C50" s="20" t="s">
        <v>335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>
        <v>0.15236652794292507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339</v>
      </c>
      <c r="B51" s="20" t="s">
        <v>91</v>
      </c>
      <c r="C51" s="20" t="s">
        <v>323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0</v>
      </c>
      <c r="T51" s="8">
        <f>I51-Q51</f>
        <v>0</v>
      </c>
      <c r="U51" s="18">
        <v>-0.98825946580569413</v>
      </c>
      <c r="V51" s="11">
        <v>0</v>
      </c>
      <c r="W51" s="11">
        <v>0</v>
      </c>
      <c r="X51" s="11">
        <v>0</v>
      </c>
      <c r="Y51" s="11">
        <v>0</v>
      </c>
    </row>
    <row r="52" spans="1:25" x14ac:dyDescent="0.25">
      <c r="A52" s="20" t="s">
        <v>237</v>
      </c>
      <c r="B52" s="20" t="s">
        <v>237</v>
      </c>
      <c r="C52" s="20" t="s">
        <v>340</v>
      </c>
      <c r="D52" s="20" t="s">
        <v>216</v>
      </c>
      <c r="E52" s="13">
        <v>0</v>
      </c>
      <c r="F52" s="11">
        <v>0</v>
      </c>
      <c r="G52" s="13">
        <v>0</v>
      </c>
      <c r="H52" s="11">
        <v>0</v>
      </c>
      <c r="I52" s="13">
        <f>E52+G52</f>
        <v>0</v>
      </c>
      <c r="J52" s="11">
        <f>F52+H52</f>
        <v>0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0</v>
      </c>
      <c r="Q52" s="13">
        <f>K52+N52</f>
        <v>0</v>
      </c>
      <c r="R52" s="11">
        <f>L52+O52</f>
        <v>0</v>
      </c>
      <c r="S52" s="11">
        <f>M52+P52</f>
        <v>0</v>
      </c>
      <c r="T52" s="8">
        <f>I52-Q52</f>
        <v>0</v>
      </c>
      <c r="U52" s="18">
        <v>-6.1761474859392096E-2</v>
      </c>
      <c r="V52" s="11">
        <v>0</v>
      </c>
      <c r="W52" s="11">
        <v>0</v>
      </c>
      <c r="X52" s="11">
        <v>2</v>
      </c>
      <c r="Y52" s="11">
        <v>0</v>
      </c>
    </row>
    <row r="53" spans="1:25" x14ac:dyDescent="0.25">
      <c r="A53" s="20" t="s">
        <v>341</v>
      </c>
      <c r="B53" s="20" t="s">
        <v>3096</v>
      </c>
      <c r="C53" s="20" t="s">
        <v>342</v>
      </c>
      <c r="D53" s="20" t="s">
        <v>216</v>
      </c>
      <c r="E53" s="13">
        <v>12949</v>
      </c>
      <c r="F53" s="11">
        <v>0</v>
      </c>
      <c r="G53" s="13">
        <v>7499</v>
      </c>
      <c r="H53" s="11">
        <v>0</v>
      </c>
      <c r="I53" s="13">
        <f>E53+G53</f>
        <v>20448</v>
      </c>
      <c r="J53" s="11">
        <f>F53+H53</f>
        <v>0</v>
      </c>
      <c r="K53" s="13">
        <v>11199</v>
      </c>
      <c r="L53" s="11">
        <v>2</v>
      </c>
      <c r="M53" s="11">
        <v>4</v>
      </c>
      <c r="N53" s="13">
        <v>7243</v>
      </c>
      <c r="O53" s="11">
        <v>1</v>
      </c>
      <c r="P53" s="11">
        <v>2</v>
      </c>
      <c r="Q53" s="13">
        <f>K53+N53</f>
        <v>18442</v>
      </c>
      <c r="R53" s="11">
        <f>L53+O53</f>
        <v>3</v>
      </c>
      <c r="S53" s="11">
        <f>M53+P53</f>
        <v>6</v>
      </c>
      <c r="T53" s="8">
        <f>I53-Q53</f>
        <v>2006</v>
      </c>
      <c r="U53" s="18">
        <v>0.31214686535776165</v>
      </c>
      <c r="V53" s="11">
        <v>0.19</v>
      </c>
      <c r="W53" s="11">
        <v>3</v>
      </c>
      <c r="X53" s="11">
        <v>13</v>
      </c>
      <c r="Y53" s="11">
        <v>4</v>
      </c>
    </row>
    <row r="54" spans="1:25" x14ac:dyDescent="0.25">
      <c r="A54" s="20" t="s">
        <v>344</v>
      </c>
      <c r="B54" s="20" t="s">
        <v>77</v>
      </c>
      <c r="C54" s="20" t="s">
        <v>314</v>
      </c>
      <c r="D54" s="20" t="s">
        <v>216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0</v>
      </c>
      <c r="O54" s="11">
        <v>0</v>
      </c>
      <c r="P54" s="11">
        <v>0</v>
      </c>
      <c r="Q54" s="13">
        <f>K54+N54</f>
        <v>0</v>
      </c>
      <c r="R54" s="11">
        <f>L54+O54</f>
        <v>0</v>
      </c>
      <c r="S54" s="11">
        <f>M54+P54</f>
        <v>0</v>
      </c>
      <c r="T54" s="8">
        <f>I54-Q54</f>
        <v>0</v>
      </c>
      <c r="U54" s="18">
        <v>6.7137524131676896E-2</v>
      </c>
      <c r="V54" s="11">
        <v>0</v>
      </c>
      <c r="W54" s="11">
        <v>0</v>
      </c>
      <c r="X54" s="11">
        <v>0</v>
      </c>
      <c r="Y54" s="11">
        <v>0</v>
      </c>
    </row>
    <row r="55" spans="1:25" x14ac:dyDescent="0.25">
      <c r="A55" s="20" t="s">
        <v>345</v>
      </c>
      <c r="B55" s="20" t="s">
        <v>60</v>
      </c>
      <c r="C55" s="20" t="s">
        <v>346</v>
      </c>
      <c r="D55" s="20" t="s">
        <v>216</v>
      </c>
      <c r="E55" s="13">
        <v>2025</v>
      </c>
      <c r="F55" s="11">
        <v>1</v>
      </c>
      <c r="G55" s="13">
        <v>0</v>
      </c>
      <c r="H55" s="11">
        <v>0</v>
      </c>
      <c r="I55" s="13">
        <f>E55+G55</f>
        <v>2025</v>
      </c>
      <c r="J55" s="11">
        <f>F55+H55</f>
        <v>1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1</v>
      </c>
      <c r="Q55" s="13">
        <f>K55+N55</f>
        <v>0</v>
      </c>
      <c r="R55" s="11">
        <f>L55+O55</f>
        <v>0</v>
      </c>
      <c r="S55" s="11">
        <f>M55+P55</f>
        <v>1</v>
      </c>
      <c r="T55" s="8">
        <f>I55-Q55</f>
        <v>2025</v>
      </c>
      <c r="U55" s="18">
        <v>-3.559495163850504E-2</v>
      </c>
      <c r="V55" s="11">
        <v>0.28999999999999998</v>
      </c>
      <c r="W55" s="11">
        <v>2</v>
      </c>
      <c r="X55" s="11">
        <v>5</v>
      </c>
      <c r="Y55" s="11">
        <v>0</v>
      </c>
    </row>
    <row r="56" spans="1:25" x14ac:dyDescent="0.25">
      <c r="A56" s="20" t="s">
        <v>350</v>
      </c>
      <c r="B56" s="20" t="s">
        <v>83</v>
      </c>
      <c r="C56" s="20" t="s">
        <v>351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0</v>
      </c>
      <c r="L56" s="11">
        <v>0</v>
      </c>
      <c r="M56" s="11">
        <v>2</v>
      </c>
      <c r="N56" s="13">
        <v>5860</v>
      </c>
      <c r="O56" s="11">
        <v>1</v>
      </c>
      <c r="P56" s="11">
        <v>5</v>
      </c>
      <c r="Q56" s="13">
        <f>K56+N56</f>
        <v>5860</v>
      </c>
      <c r="R56" s="11">
        <f>L56+O56</f>
        <v>1</v>
      </c>
      <c r="S56" s="11">
        <f>M56+P56</f>
        <v>7</v>
      </c>
      <c r="T56" s="8">
        <f>I56-Q56</f>
        <v>-5860</v>
      </c>
      <c r="U56" s="18">
        <v>2.2853426425362623E-2</v>
      </c>
      <c r="V56" s="11">
        <v>0.5</v>
      </c>
      <c r="W56" s="11">
        <v>6</v>
      </c>
      <c r="X56" s="11">
        <v>6</v>
      </c>
      <c r="Y56" s="11">
        <v>0</v>
      </c>
    </row>
    <row r="57" spans="1:25" x14ac:dyDescent="0.25">
      <c r="A57" s="20" t="s">
        <v>352</v>
      </c>
      <c r="B57" s="20" t="s">
        <v>172</v>
      </c>
      <c r="C57" s="20" t="s">
        <v>353</v>
      </c>
      <c r="D57" s="20" t="s">
        <v>216</v>
      </c>
      <c r="E57" s="13">
        <v>7272</v>
      </c>
      <c r="F57" s="11">
        <v>0</v>
      </c>
      <c r="G57" s="13">
        <v>7512</v>
      </c>
      <c r="H57" s="11">
        <v>0</v>
      </c>
      <c r="I57" s="13">
        <f>E57+G57</f>
        <v>14784</v>
      </c>
      <c r="J57" s="11">
        <f>F57+H57</f>
        <v>0</v>
      </c>
      <c r="K57" s="13">
        <v>7036</v>
      </c>
      <c r="L57" s="11">
        <v>0</v>
      </c>
      <c r="M57" s="11">
        <v>2</v>
      </c>
      <c r="N57" s="13">
        <v>7397</v>
      </c>
      <c r="O57" s="11">
        <v>0</v>
      </c>
      <c r="P57" s="11">
        <v>0</v>
      </c>
      <c r="Q57" s="13">
        <f>K57+N57</f>
        <v>14433</v>
      </c>
      <c r="R57" s="11">
        <f>L57+O57</f>
        <v>0</v>
      </c>
      <c r="S57" s="11">
        <f>M57+P57</f>
        <v>2</v>
      </c>
      <c r="T57" s="8">
        <f>I57-Q57</f>
        <v>351</v>
      </c>
      <c r="U57" s="18">
        <v>0.14708271107783713</v>
      </c>
      <c r="V57" s="11">
        <v>0.5</v>
      </c>
      <c r="W57" s="11">
        <v>2</v>
      </c>
      <c r="X57" s="11">
        <v>2</v>
      </c>
      <c r="Y57" s="11">
        <v>2</v>
      </c>
    </row>
    <row r="58" spans="1:25" x14ac:dyDescent="0.25">
      <c r="A58" s="20" t="s">
        <v>354</v>
      </c>
      <c r="B58" s="20" t="s">
        <v>77</v>
      </c>
      <c r="C58" s="20" t="s">
        <v>262</v>
      </c>
      <c r="D58" s="20" t="s">
        <v>216</v>
      </c>
      <c r="E58" s="13">
        <v>0</v>
      </c>
      <c r="F58" s="11">
        <v>0</v>
      </c>
      <c r="G58" s="13">
        <v>0</v>
      </c>
      <c r="H58" s="11">
        <v>0</v>
      </c>
      <c r="I58" s="13">
        <f>E58+G58</f>
        <v>0</v>
      </c>
      <c r="J58" s="11">
        <f>F58+H58</f>
        <v>0</v>
      </c>
      <c r="K58" s="13">
        <v>37.86</v>
      </c>
      <c r="L58" s="11">
        <v>0</v>
      </c>
      <c r="M58" s="11">
        <v>0</v>
      </c>
      <c r="N58" s="13">
        <v>0</v>
      </c>
      <c r="O58" s="11">
        <v>0</v>
      </c>
      <c r="P58" s="11">
        <v>1</v>
      </c>
      <c r="Q58" s="13">
        <f>K58+N58</f>
        <v>37.86</v>
      </c>
      <c r="R58" s="11">
        <f>L58+O58</f>
        <v>0</v>
      </c>
      <c r="S58" s="11">
        <f>M58+P58</f>
        <v>1</v>
      </c>
      <c r="T58" s="8">
        <f>I58-Q58</f>
        <v>-37.86</v>
      </c>
      <c r="U58" s="18">
        <v>6.7347222555201262E-3</v>
      </c>
      <c r="V58" s="11">
        <v>0.33</v>
      </c>
      <c r="W58" s="11">
        <v>1</v>
      </c>
      <c r="X58" s="11">
        <v>2</v>
      </c>
      <c r="Y58" s="11">
        <v>0</v>
      </c>
    </row>
    <row r="59" spans="1:25" x14ac:dyDescent="0.25">
      <c r="A59" s="20" t="s">
        <v>360</v>
      </c>
      <c r="B59" s="20" t="s">
        <v>295</v>
      </c>
      <c r="C59" s="20" t="s">
        <v>964</v>
      </c>
      <c r="D59" s="20" t="s">
        <v>216</v>
      </c>
      <c r="E59" s="13">
        <v>0</v>
      </c>
      <c r="F59" s="11">
        <v>0</v>
      </c>
      <c r="G59" s="13">
        <v>0</v>
      </c>
      <c r="H59" s="11">
        <v>0</v>
      </c>
      <c r="I59" s="13">
        <f>E59+G59</f>
        <v>0</v>
      </c>
      <c r="J59" s="11">
        <f>F59+H59</f>
        <v>0</v>
      </c>
      <c r="K59" s="13">
        <v>0</v>
      </c>
      <c r="L59" s="11">
        <v>0</v>
      </c>
      <c r="M59" s="11">
        <v>0</v>
      </c>
      <c r="N59" s="13">
        <v>0</v>
      </c>
      <c r="O59" s="11">
        <v>0</v>
      </c>
      <c r="P59" s="11">
        <v>0</v>
      </c>
      <c r="Q59" s="13">
        <f>K59+N59</f>
        <v>0</v>
      </c>
      <c r="R59" s="11">
        <f>L59+O59</f>
        <v>0</v>
      </c>
      <c r="S59" s="11">
        <f>M59+P59</f>
        <v>0</v>
      </c>
      <c r="T59" s="8">
        <f>I59-Q59</f>
        <v>0</v>
      </c>
      <c r="U59" s="18">
        <v>4.1915843772569926E-2</v>
      </c>
      <c r="V59" s="11">
        <v>0</v>
      </c>
      <c r="W59" s="11">
        <v>0</v>
      </c>
      <c r="X59" s="11">
        <v>2</v>
      </c>
      <c r="Y59" s="11">
        <v>3</v>
      </c>
    </row>
    <row r="60" spans="1:25" x14ac:dyDescent="0.25">
      <c r="A60" s="20" t="s">
        <v>364</v>
      </c>
      <c r="B60" s="20" t="s">
        <v>77</v>
      </c>
      <c r="C60" s="20" t="s">
        <v>365</v>
      </c>
      <c r="D60" s="20" t="s">
        <v>216</v>
      </c>
      <c r="E60" s="13">
        <v>27916</v>
      </c>
      <c r="F60" s="11">
        <v>1</v>
      </c>
      <c r="G60" s="13">
        <v>2281</v>
      </c>
      <c r="H60" s="11">
        <v>1</v>
      </c>
      <c r="I60" s="13">
        <f>E60+G60</f>
        <v>30197</v>
      </c>
      <c r="J60" s="11">
        <f>F60+H60</f>
        <v>2</v>
      </c>
      <c r="K60" s="13">
        <v>-1914.92</v>
      </c>
      <c r="L60" s="11">
        <v>0</v>
      </c>
      <c r="M60" s="11">
        <v>0</v>
      </c>
      <c r="N60" s="13">
        <v>0</v>
      </c>
      <c r="O60" s="11">
        <v>0</v>
      </c>
      <c r="P60" s="11">
        <v>0</v>
      </c>
      <c r="Q60" s="13">
        <f>K60+N60</f>
        <v>-1914.92</v>
      </c>
      <c r="R60" s="11">
        <f>L60+O60</f>
        <v>0</v>
      </c>
      <c r="S60" s="11">
        <f>M60+P60</f>
        <v>0</v>
      </c>
      <c r="T60" s="8">
        <f>I60-Q60</f>
        <v>32111.919999999998</v>
      </c>
      <c r="U60" s="18">
        <v>-0.38266426765393746</v>
      </c>
      <c r="V60" s="11">
        <v>0.33</v>
      </c>
      <c r="W60" s="11">
        <v>2</v>
      </c>
      <c r="X60" s="11">
        <v>4</v>
      </c>
      <c r="Y60" s="11">
        <v>0</v>
      </c>
    </row>
    <row r="61" spans="1:25" x14ac:dyDescent="0.25">
      <c r="A61" s="20" t="s">
        <v>366</v>
      </c>
      <c r="B61" s="20" t="s">
        <v>366</v>
      </c>
      <c r="C61" s="20" t="s">
        <v>367</v>
      </c>
      <c r="D61" s="20" t="s">
        <v>216</v>
      </c>
      <c r="E61" s="13">
        <v>0</v>
      </c>
      <c r="F61" s="11">
        <v>0</v>
      </c>
      <c r="G61" s="13">
        <v>0</v>
      </c>
      <c r="H61" s="11">
        <v>0</v>
      </c>
      <c r="I61" s="13">
        <f>E61+G61</f>
        <v>0</v>
      </c>
      <c r="J61" s="11">
        <f>F61+H61</f>
        <v>0</v>
      </c>
      <c r="K61" s="13">
        <v>0</v>
      </c>
      <c r="L61" s="11">
        <v>0</v>
      </c>
      <c r="M61" s="11">
        <v>0</v>
      </c>
      <c r="N61" s="13">
        <v>0</v>
      </c>
      <c r="O61" s="11">
        <v>0</v>
      </c>
      <c r="P61" s="11">
        <v>0</v>
      </c>
      <c r="Q61" s="13">
        <f>K61+N61</f>
        <v>0</v>
      </c>
      <c r="R61" s="11">
        <f>L61+O61</f>
        <v>0</v>
      </c>
      <c r="S61" s="11">
        <f>M61+P61</f>
        <v>0</v>
      </c>
      <c r="T61" s="8">
        <f>I61-Q61</f>
        <v>0</v>
      </c>
      <c r="U61" s="18">
        <v>-2.2400754465855474E-2</v>
      </c>
      <c r="V61" s="11">
        <v>0</v>
      </c>
      <c r="W61" s="11">
        <v>0</v>
      </c>
      <c r="X61" s="11">
        <v>0</v>
      </c>
      <c r="Y61" s="11">
        <v>0</v>
      </c>
    </row>
    <row r="62" spans="1:25" x14ac:dyDescent="0.25">
      <c r="A62" s="20" t="s">
        <v>368</v>
      </c>
      <c r="B62" s="20" t="s">
        <v>295</v>
      </c>
      <c r="C62" s="20" t="s">
        <v>964</v>
      </c>
      <c r="D62" s="20" t="s">
        <v>216</v>
      </c>
      <c r="E62" s="13">
        <v>0</v>
      </c>
      <c r="F62" s="11">
        <v>0</v>
      </c>
      <c r="G62" s="13">
        <v>501</v>
      </c>
      <c r="H62" s="11">
        <v>0</v>
      </c>
      <c r="I62" s="13">
        <f>E62+G62</f>
        <v>501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501</v>
      </c>
      <c r="O62" s="11">
        <v>1</v>
      </c>
      <c r="P62" s="11">
        <v>1</v>
      </c>
      <c r="Q62" s="13">
        <f>K62+N62</f>
        <v>501</v>
      </c>
      <c r="R62" s="11">
        <f>L62+O62</f>
        <v>1</v>
      </c>
      <c r="S62" s="11">
        <f>M62+P62</f>
        <v>1</v>
      </c>
      <c r="T62" s="8">
        <f>I62-Q62</f>
        <v>0</v>
      </c>
      <c r="U62" s="18">
        <v>1.0631655309998187</v>
      </c>
      <c r="V62" s="11">
        <v>0</v>
      </c>
      <c r="W62" s="11">
        <v>0</v>
      </c>
      <c r="X62" s="11">
        <v>0</v>
      </c>
      <c r="Y62" s="11">
        <v>0</v>
      </c>
    </row>
    <row r="63" spans="1:25" x14ac:dyDescent="0.25">
      <c r="A63" s="20" t="s">
        <v>348</v>
      </c>
      <c r="B63" s="20" t="s">
        <v>348</v>
      </c>
      <c r="C63" s="20" t="s">
        <v>349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4844</v>
      </c>
      <c r="L63" s="11">
        <v>0</v>
      </c>
      <c r="M63" s="11">
        <v>0</v>
      </c>
      <c r="N63" s="13">
        <v>0</v>
      </c>
      <c r="O63" s="11">
        <v>0</v>
      </c>
      <c r="P63" s="11">
        <v>0</v>
      </c>
      <c r="Q63" s="13">
        <f>K63+N63</f>
        <v>4844</v>
      </c>
      <c r="R63" s="11">
        <f>L63+O63</f>
        <v>0</v>
      </c>
      <c r="S63" s="11">
        <f>M63+P63</f>
        <v>0</v>
      </c>
      <c r="T63" s="8">
        <f>I63-Q63</f>
        <v>-4844</v>
      </c>
      <c r="U63" s="18">
        <v>-5.6115875896342003E-2</v>
      </c>
      <c r="V63" s="11">
        <v>0</v>
      </c>
      <c r="W63" s="11">
        <v>0</v>
      </c>
      <c r="X63" s="11">
        <v>0</v>
      </c>
      <c r="Y63" s="11">
        <v>0</v>
      </c>
    </row>
    <row r="64" spans="1:25" x14ac:dyDescent="0.25">
      <c r="A64" s="20" t="s">
        <v>370</v>
      </c>
      <c r="B64" s="20" t="s">
        <v>225</v>
      </c>
      <c r="C64" s="20" t="s">
        <v>313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>
        <v>-4.772607723606965E-3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371</v>
      </c>
      <c r="B65" s="20" t="s">
        <v>60</v>
      </c>
      <c r="C65" s="20" t="s">
        <v>372</v>
      </c>
      <c r="D65" s="20" t="s">
        <v>216</v>
      </c>
      <c r="E65" s="13">
        <v>2494</v>
      </c>
      <c r="F65" s="11">
        <v>0</v>
      </c>
      <c r="G65" s="13">
        <v>0</v>
      </c>
      <c r="H65" s="11">
        <v>0</v>
      </c>
      <c r="I65" s="13">
        <f>E65+G65</f>
        <v>2494</v>
      </c>
      <c r="J65" s="11">
        <f>F65+H65</f>
        <v>0</v>
      </c>
      <c r="K65" s="13">
        <v>1753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1753</v>
      </c>
      <c r="R65" s="11">
        <f>L65+O65</f>
        <v>0</v>
      </c>
      <c r="S65" s="11">
        <f>M65+P65</f>
        <v>0</v>
      </c>
      <c r="T65" s="8">
        <f>I65-Q65</f>
        <v>741</v>
      </c>
      <c r="U65" s="18">
        <v>1.25020386761858</v>
      </c>
      <c r="V65" s="11">
        <v>0</v>
      </c>
      <c r="W65" s="11">
        <v>0</v>
      </c>
      <c r="X65" s="11">
        <v>0</v>
      </c>
      <c r="Y65" s="11">
        <v>0</v>
      </c>
    </row>
    <row r="66" spans="1:25" x14ac:dyDescent="0.25">
      <c r="A66" s="20" t="s">
        <v>373</v>
      </c>
      <c r="B66" s="20" t="s">
        <v>247</v>
      </c>
      <c r="C66" s="20" t="s">
        <v>374</v>
      </c>
      <c r="D66" s="20" t="s">
        <v>216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0</v>
      </c>
      <c r="L66" s="11">
        <v>0</v>
      </c>
      <c r="M66" s="11">
        <v>0</v>
      </c>
      <c r="N66" s="13">
        <v>0</v>
      </c>
      <c r="O66" s="11">
        <v>0</v>
      </c>
      <c r="P66" s="11">
        <v>0</v>
      </c>
      <c r="Q66" s="13">
        <f>K66+N66</f>
        <v>0</v>
      </c>
      <c r="R66" s="11">
        <f>L66+O66</f>
        <v>0</v>
      </c>
      <c r="S66" s="11">
        <f>M66+P66</f>
        <v>0</v>
      </c>
      <c r="T66" s="8">
        <f>I66-Q66</f>
        <v>0</v>
      </c>
      <c r="U66" s="18">
        <v>-1.7237466153024232E-2</v>
      </c>
      <c r="V66" s="11">
        <v>0</v>
      </c>
      <c r="W66" s="11">
        <v>0</v>
      </c>
      <c r="X66" s="11">
        <v>0</v>
      </c>
      <c r="Y66" s="11">
        <v>0</v>
      </c>
    </row>
    <row r="67" spans="1:25" x14ac:dyDescent="0.25">
      <c r="A67" s="20" t="s">
        <v>375</v>
      </c>
      <c r="B67" s="20" t="s">
        <v>225</v>
      </c>
      <c r="C67" s="20" t="s">
        <v>376</v>
      </c>
      <c r="D67" s="20" t="s">
        <v>216</v>
      </c>
      <c r="E67" s="13">
        <v>0</v>
      </c>
      <c r="F67" s="11">
        <v>0</v>
      </c>
      <c r="G67" s="13">
        <v>0</v>
      </c>
      <c r="H67" s="11">
        <v>0</v>
      </c>
      <c r="I67" s="13">
        <f>E67+G67</f>
        <v>0</v>
      </c>
      <c r="J67" s="11">
        <f>F67+H67</f>
        <v>0</v>
      </c>
      <c r="K67" s="13">
        <v>0</v>
      </c>
      <c r="L67" s="11">
        <v>0</v>
      </c>
      <c r="M67" s="11">
        <v>0</v>
      </c>
      <c r="N67" s="13">
        <v>0</v>
      </c>
      <c r="O67" s="11">
        <v>0</v>
      </c>
      <c r="P67" s="11">
        <v>1</v>
      </c>
      <c r="Q67" s="13">
        <f>K67+N67</f>
        <v>0</v>
      </c>
      <c r="R67" s="11">
        <f>L67+O67</f>
        <v>0</v>
      </c>
      <c r="S67" s="11">
        <f>M67+P67</f>
        <v>1</v>
      </c>
      <c r="T67" s="8">
        <f>I67-Q67</f>
        <v>0</v>
      </c>
      <c r="U67" s="18">
        <v>7.7770289060838563E-2</v>
      </c>
      <c r="V67" s="11">
        <v>0.5</v>
      </c>
      <c r="W67" s="11">
        <v>1</v>
      </c>
      <c r="X67" s="11">
        <v>1</v>
      </c>
      <c r="Y67" s="11">
        <v>1</v>
      </c>
    </row>
    <row r="68" spans="1:25" x14ac:dyDescent="0.25">
      <c r="A68" s="20" t="s">
        <v>377</v>
      </c>
      <c r="B68" s="20" t="s">
        <v>124</v>
      </c>
      <c r="C68" s="20" t="s">
        <v>378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>
        <v>0.10084778121612295</v>
      </c>
      <c r="V68" s="11">
        <v>0</v>
      </c>
      <c r="W68" s="11">
        <v>0</v>
      </c>
      <c r="X68" s="11">
        <v>0</v>
      </c>
      <c r="Y68" s="11">
        <v>0</v>
      </c>
    </row>
    <row r="69" spans="1:25" x14ac:dyDescent="0.25">
      <c r="A69" s="20" t="s">
        <v>379</v>
      </c>
      <c r="B69" s="20" t="s">
        <v>257</v>
      </c>
      <c r="C69" s="20" t="s">
        <v>279</v>
      </c>
      <c r="D69" s="20" t="s">
        <v>216</v>
      </c>
      <c r="E69" s="13">
        <v>32147.1</v>
      </c>
      <c r="F69" s="11">
        <v>0</v>
      </c>
      <c r="G69" s="13">
        <v>112748.76</v>
      </c>
      <c r="H69" s="11">
        <v>0</v>
      </c>
      <c r="I69" s="13">
        <f>E69+G69</f>
        <v>144895.85999999999</v>
      </c>
      <c r="J69" s="11">
        <f>F69+H69</f>
        <v>0</v>
      </c>
      <c r="K69" s="13">
        <v>30622.68</v>
      </c>
      <c r="L69" s="11">
        <v>1</v>
      </c>
      <c r="M69" s="11">
        <v>7</v>
      </c>
      <c r="N69" s="13">
        <v>64287.61</v>
      </c>
      <c r="O69" s="11">
        <v>3</v>
      </c>
      <c r="P69" s="11">
        <v>16</v>
      </c>
      <c r="Q69" s="13">
        <f>K69+N69</f>
        <v>94910.290000000008</v>
      </c>
      <c r="R69" s="11">
        <f>L69+O69</f>
        <v>4</v>
      </c>
      <c r="S69" s="11">
        <f>M69+P69</f>
        <v>23</v>
      </c>
      <c r="T69" s="8">
        <f>I69-Q69</f>
        <v>49985.569999999978</v>
      </c>
      <c r="U69" s="18">
        <v>0.79660891531718003</v>
      </c>
      <c r="V69" s="11">
        <v>0.37</v>
      </c>
      <c r="W69" s="11">
        <v>19</v>
      </c>
      <c r="X69" s="11">
        <v>33</v>
      </c>
      <c r="Y69" s="11">
        <v>5</v>
      </c>
    </row>
    <row r="70" spans="1:25" x14ac:dyDescent="0.25">
      <c r="A70" s="20" t="s">
        <v>380</v>
      </c>
      <c r="B70" s="20" t="s">
        <v>225</v>
      </c>
      <c r="C70" s="20" t="s">
        <v>381</v>
      </c>
      <c r="D70" s="20" t="s">
        <v>216</v>
      </c>
      <c r="E70" s="13">
        <v>0</v>
      </c>
      <c r="F70" s="11">
        <v>0</v>
      </c>
      <c r="G70" s="13">
        <v>0</v>
      </c>
      <c r="H70" s="11">
        <v>0</v>
      </c>
      <c r="I70" s="13">
        <f>E70+G70</f>
        <v>0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0</v>
      </c>
      <c r="O70" s="11">
        <v>0</v>
      </c>
      <c r="P70" s="11">
        <v>0</v>
      </c>
      <c r="Q70" s="13">
        <f>K70+N70</f>
        <v>0</v>
      </c>
      <c r="R70" s="11">
        <f>L70+O70</f>
        <v>0</v>
      </c>
      <c r="S70" s="11">
        <f>M70+P70</f>
        <v>0</v>
      </c>
      <c r="T70" s="8">
        <f>I70-Q70</f>
        <v>0</v>
      </c>
      <c r="U70" s="18" t="s">
        <v>1803</v>
      </c>
      <c r="V70" s="11">
        <v>0</v>
      </c>
      <c r="W70" s="11">
        <v>0</v>
      </c>
      <c r="X70" s="11">
        <v>0</v>
      </c>
      <c r="Y70" s="11">
        <v>0</v>
      </c>
    </row>
    <row r="71" spans="1:25" x14ac:dyDescent="0.25">
      <c r="A71" s="20" t="s">
        <v>327</v>
      </c>
      <c r="B71" s="20" t="s">
        <v>327</v>
      </c>
      <c r="C71" s="20" t="s">
        <v>328</v>
      </c>
      <c r="D71" s="20" t="s">
        <v>216</v>
      </c>
      <c r="E71" s="13">
        <v>41959</v>
      </c>
      <c r="F71" s="11">
        <v>2</v>
      </c>
      <c r="G71" s="13">
        <v>71010.2</v>
      </c>
      <c r="H71" s="11">
        <v>1</v>
      </c>
      <c r="I71" s="13">
        <f>E71+G71</f>
        <v>112969.2</v>
      </c>
      <c r="J71" s="11">
        <f>F71+H71</f>
        <v>3</v>
      </c>
      <c r="K71" s="13">
        <v>67242.2</v>
      </c>
      <c r="L71" s="11">
        <v>0</v>
      </c>
      <c r="M71" s="11">
        <v>1</v>
      </c>
      <c r="N71" s="13">
        <v>31892</v>
      </c>
      <c r="O71" s="11">
        <v>1</v>
      </c>
      <c r="P71" s="11">
        <v>4</v>
      </c>
      <c r="Q71" s="13">
        <f>K71+N71</f>
        <v>99134.2</v>
      </c>
      <c r="R71" s="11">
        <f>L71+O71</f>
        <v>1</v>
      </c>
      <c r="S71" s="11">
        <f>M71+P71</f>
        <v>5</v>
      </c>
      <c r="T71" s="8">
        <f>I71-Q71</f>
        <v>13835</v>
      </c>
      <c r="U71" s="18">
        <v>1.6159144497002131</v>
      </c>
      <c r="V71" s="11">
        <v>0.24</v>
      </c>
      <c r="W71" s="11">
        <v>8</v>
      </c>
      <c r="X71" s="11">
        <v>26</v>
      </c>
      <c r="Y71" s="11">
        <v>14</v>
      </c>
    </row>
    <row r="72" spans="1:25" x14ac:dyDescent="0.25">
      <c r="A72" s="20" t="s">
        <v>382</v>
      </c>
      <c r="B72" s="20" t="s">
        <v>83</v>
      </c>
      <c r="C72" s="20" t="s">
        <v>383</v>
      </c>
      <c r="D72" s="20" t="s">
        <v>216</v>
      </c>
      <c r="E72" s="13">
        <v>0</v>
      </c>
      <c r="F72" s="11">
        <v>0</v>
      </c>
      <c r="G72" s="13">
        <v>0</v>
      </c>
      <c r="H72" s="11">
        <v>0</v>
      </c>
      <c r="I72" s="13">
        <f>E72+G72</f>
        <v>0</v>
      </c>
      <c r="J72" s="11">
        <f>F72+H72</f>
        <v>0</v>
      </c>
      <c r="K72" s="13">
        <v>0</v>
      </c>
      <c r="L72" s="11">
        <v>0</v>
      </c>
      <c r="M72" s="11">
        <v>0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0</v>
      </c>
      <c r="T72" s="8">
        <f>I72-Q72</f>
        <v>0</v>
      </c>
      <c r="U72" s="18" t="s">
        <v>1803</v>
      </c>
      <c r="V72" s="11">
        <v>0</v>
      </c>
      <c r="W72" s="11">
        <v>0</v>
      </c>
      <c r="X72" s="11">
        <v>0</v>
      </c>
      <c r="Y72" s="11">
        <v>0</v>
      </c>
    </row>
    <row r="73" spans="1:25" x14ac:dyDescent="0.25">
      <c r="A73" s="20" t="s">
        <v>357</v>
      </c>
      <c r="B73" s="20" t="s">
        <v>357</v>
      </c>
      <c r="C73" s="20" t="s">
        <v>358</v>
      </c>
      <c r="D73" s="20" t="s">
        <v>216</v>
      </c>
      <c r="E73" s="13">
        <v>0</v>
      </c>
      <c r="F73" s="11">
        <v>0</v>
      </c>
      <c r="G73" s="13">
        <v>0</v>
      </c>
      <c r="H73" s="11">
        <v>0</v>
      </c>
      <c r="I73" s="13">
        <f>E73+G73</f>
        <v>0</v>
      </c>
      <c r="J73" s="11">
        <f>F73+H73</f>
        <v>0</v>
      </c>
      <c r="K73" s="13">
        <v>0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0</v>
      </c>
      <c r="R73" s="11">
        <f>L73+O73</f>
        <v>0</v>
      </c>
      <c r="S73" s="11">
        <f>M73+P73</f>
        <v>0</v>
      </c>
      <c r="T73" s="8">
        <f>I73-Q73</f>
        <v>0</v>
      </c>
      <c r="U73" s="18">
        <v>-8.9959229486819732E-3</v>
      </c>
      <c r="V73" s="11">
        <v>0</v>
      </c>
      <c r="W73" s="11">
        <v>0</v>
      </c>
      <c r="X73" s="11">
        <v>0</v>
      </c>
      <c r="Y73" s="11">
        <v>0</v>
      </c>
    </row>
    <row r="74" spans="1:25" x14ac:dyDescent="0.25">
      <c r="A74" s="20" t="s">
        <v>384</v>
      </c>
      <c r="B74" s="20" t="s">
        <v>260</v>
      </c>
      <c r="C74" s="20" t="s">
        <v>286</v>
      </c>
      <c r="D74" s="20" t="s">
        <v>216</v>
      </c>
      <c r="E74" s="13">
        <v>0</v>
      </c>
      <c r="F74" s="11">
        <v>0</v>
      </c>
      <c r="G74" s="13">
        <v>0</v>
      </c>
      <c r="H74" s="11">
        <v>0</v>
      </c>
      <c r="I74" s="13">
        <f>E74+G74</f>
        <v>0</v>
      </c>
      <c r="J74" s="11">
        <f>F74+H74</f>
        <v>0</v>
      </c>
      <c r="K74" s="13">
        <v>0</v>
      </c>
      <c r="L74" s="11">
        <v>0</v>
      </c>
      <c r="M74" s="11">
        <v>0</v>
      </c>
      <c r="N74" s="13">
        <v>0</v>
      </c>
      <c r="O74" s="11">
        <v>0</v>
      </c>
      <c r="P74" s="11">
        <v>0</v>
      </c>
      <c r="Q74" s="13">
        <f>K74+N74</f>
        <v>0</v>
      </c>
      <c r="R74" s="11">
        <f>L74+O74</f>
        <v>0</v>
      </c>
      <c r="S74" s="11">
        <f>M74+P74</f>
        <v>0</v>
      </c>
      <c r="T74" s="8">
        <f>I74-Q74</f>
        <v>0</v>
      </c>
      <c r="U74" s="18">
        <v>0.37347196551944789</v>
      </c>
      <c r="V74" s="11">
        <v>0</v>
      </c>
      <c r="W74" s="11">
        <v>0</v>
      </c>
      <c r="X74" s="11">
        <v>0</v>
      </c>
      <c r="Y74" s="11">
        <v>1</v>
      </c>
    </row>
    <row r="75" spans="1:25" x14ac:dyDescent="0.25">
      <c r="A75" s="20" t="s">
        <v>385</v>
      </c>
      <c r="B75" s="20" t="s">
        <v>257</v>
      </c>
      <c r="C75" s="20" t="s">
        <v>386</v>
      </c>
      <c r="D75" s="20" t="s">
        <v>216</v>
      </c>
      <c r="E75" s="13">
        <v>4775</v>
      </c>
      <c r="F75" s="11">
        <v>0</v>
      </c>
      <c r="G75" s="13">
        <v>2612</v>
      </c>
      <c r="H75" s="11">
        <v>0</v>
      </c>
      <c r="I75" s="13">
        <f>E75+G75</f>
        <v>7387</v>
      </c>
      <c r="J75" s="11">
        <f>F75+H75</f>
        <v>0</v>
      </c>
      <c r="K75" s="13">
        <v>4354.63</v>
      </c>
      <c r="L75" s="11">
        <v>0</v>
      </c>
      <c r="M75" s="11">
        <v>1</v>
      </c>
      <c r="N75" s="13">
        <v>2543</v>
      </c>
      <c r="O75" s="11">
        <v>0</v>
      </c>
      <c r="P75" s="11">
        <v>3</v>
      </c>
      <c r="Q75" s="13">
        <f>K75+N75</f>
        <v>6897.63</v>
      </c>
      <c r="R75" s="11">
        <f>L75+O75</f>
        <v>0</v>
      </c>
      <c r="S75" s="11">
        <f>M75+P75</f>
        <v>4</v>
      </c>
      <c r="T75" s="8">
        <f>I75-Q75</f>
        <v>489.36999999999989</v>
      </c>
      <c r="U75" s="18">
        <v>8.6107139879311276E-2</v>
      </c>
      <c r="V75" s="11">
        <v>0.19</v>
      </c>
      <c r="W75" s="11">
        <v>3</v>
      </c>
      <c r="X75" s="11">
        <v>13</v>
      </c>
      <c r="Y75" s="11">
        <v>2</v>
      </c>
    </row>
    <row r="76" spans="1:25" x14ac:dyDescent="0.25">
      <c r="A76" s="20" t="s">
        <v>2996</v>
      </c>
      <c r="B76" s="20" t="s">
        <v>60</v>
      </c>
      <c r="C76" s="20" t="s">
        <v>2997</v>
      </c>
      <c r="D76" s="20" t="s">
        <v>216</v>
      </c>
      <c r="E76" s="13">
        <v>0</v>
      </c>
      <c r="F76" s="11">
        <v>0</v>
      </c>
      <c r="G76" s="13">
        <v>0</v>
      </c>
      <c r="H76" s="11">
        <v>0</v>
      </c>
      <c r="I76" s="13">
        <f>E76+G76</f>
        <v>0</v>
      </c>
      <c r="J76" s="11">
        <f>F76+H76</f>
        <v>0</v>
      </c>
      <c r="K76" s="13">
        <v>0</v>
      </c>
      <c r="L76" s="11">
        <v>0</v>
      </c>
      <c r="M76" s="11">
        <v>0</v>
      </c>
      <c r="N76" s="13">
        <v>0</v>
      </c>
      <c r="O76" s="11">
        <v>0</v>
      </c>
      <c r="P76" s="11">
        <v>0</v>
      </c>
      <c r="Q76" s="13">
        <f>K76+N76</f>
        <v>0</v>
      </c>
      <c r="R76" s="11">
        <f>L76+O76</f>
        <v>0</v>
      </c>
      <c r="S76" s="11">
        <f>M76+P76</f>
        <v>0</v>
      </c>
      <c r="T76" s="8">
        <f>I76-Q76</f>
        <v>0</v>
      </c>
      <c r="U76" s="18" t="s">
        <v>1803</v>
      </c>
      <c r="V76" s="11">
        <v>0</v>
      </c>
      <c r="W76" s="11">
        <v>0</v>
      </c>
      <c r="X76" s="11">
        <v>0</v>
      </c>
      <c r="Y76" s="11">
        <v>0</v>
      </c>
    </row>
    <row r="77" spans="1:25" x14ac:dyDescent="0.25">
      <c r="A77" s="20" t="s">
        <v>3027</v>
      </c>
      <c r="B77" s="20" t="s">
        <v>60</v>
      </c>
      <c r="C77" s="20" t="s">
        <v>3028</v>
      </c>
      <c r="D77" s="20" t="s">
        <v>216</v>
      </c>
      <c r="E77" s="13">
        <v>0</v>
      </c>
      <c r="F77" s="11">
        <v>0</v>
      </c>
      <c r="G77" s="13">
        <v>0</v>
      </c>
      <c r="H77" s="11">
        <v>0</v>
      </c>
      <c r="I77" s="13">
        <f>E77+G77</f>
        <v>0</v>
      </c>
      <c r="J77" s="11">
        <f>F77+H77</f>
        <v>0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0</v>
      </c>
      <c r="U77" s="18">
        <v>-4.5679500896490745E-4</v>
      </c>
      <c r="V77" s="11">
        <v>0</v>
      </c>
      <c r="W77" s="11">
        <v>0</v>
      </c>
      <c r="X77" s="11">
        <v>0</v>
      </c>
      <c r="Y77" s="11">
        <v>0</v>
      </c>
    </row>
    <row r="78" spans="1:25" x14ac:dyDescent="0.25">
      <c r="A78" s="20" t="s">
        <v>3060</v>
      </c>
      <c r="B78" s="20" t="s">
        <v>519</v>
      </c>
      <c r="C78" s="20" t="s">
        <v>221</v>
      </c>
      <c r="D78" s="20" t="s">
        <v>216</v>
      </c>
      <c r="E78" s="13">
        <v>0</v>
      </c>
      <c r="F78" s="11">
        <v>0</v>
      </c>
      <c r="G78" s="13">
        <v>15824</v>
      </c>
      <c r="H78" s="11">
        <v>0</v>
      </c>
      <c r="I78" s="13">
        <f>E78+G78</f>
        <v>15824</v>
      </c>
      <c r="J78" s="11">
        <f>F78+H78</f>
        <v>0</v>
      </c>
      <c r="K78" s="13">
        <v>0</v>
      </c>
      <c r="L78" s="11">
        <v>0</v>
      </c>
      <c r="M78" s="11">
        <v>0</v>
      </c>
      <c r="N78" s="13">
        <v>17098</v>
      </c>
      <c r="O78" s="11">
        <v>0</v>
      </c>
      <c r="P78" s="11">
        <v>0</v>
      </c>
      <c r="Q78" s="13">
        <f>K78+N78</f>
        <v>17098</v>
      </c>
      <c r="R78" s="11">
        <f>L78+O78</f>
        <v>0</v>
      </c>
      <c r="S78" s="11">
        <f>M78+P78</f>
        <v>0</v>
      </c>
      <c r="T78" s="8">
        <f>I78-Q78</f>
        <v>-1274</v>
      </c>
      <c r="U78" s="18">
        <v>1.4725766438425403E-2</v>
      </c>
      <c r="V78" s="11">
        <v>0</v>
      </c>
      <c r="W78" s="11">
        <v>0</v>
      </c>
      <c r="X78" s="11">
        <v>0</v>
      </c>
      <c r="Y78" s="11">
        <v>0</v>
      </c>
    </row>
    <row r="79" spans="1:25" x14ac:dyDescent="0.25">
      <c r="A79" s="20" t="s">
        <v>3061</v>
      </c>
      <c r="B79" s="20" t="s">
        <v>519</v>
      </c>
      <c r="C79" s="20" t="s">
        <v>221</v>
      </c>
      <c r="D79" s="20" t="s">
        <v>216</v>
      </c>
      <c r="E79" s="13">
        <v>6186</v>
      </c>
      <c r="F79" s="11">
        <v>1</v>
      </c>
      <c r="G79" s="13">
        <v>0</v>
      </c>
      <c r="H79" s="11">
        <v>0</v>
      </c>
      <c r="I79" s="13">
        <f>E79+G79</f>
        <v>6186</v>
      </c>
      <c r="J79" s="11">
        <f>F79+H79</f>
        <v>1</v>
      </c>
      <c r="K79" s="13">
        <v>16390</v>
      </c>
      <c r="L79" s="11">
        <v>0</v>
      </c>
      <c r="M79" s="11">
        <v>0</v>
      </c>
      <c r="N79" s="13">
        <v>-1894.64</v>
      </c>
      <c r="O79" s="11">
        <v>0</v>
      </c>
      <c r="P79" s="11">
        <v>0</v>
      </c>
      <c r="Q79" s="13">
        <f>K79+N79</f>
        <v>14495.36</v>
      </c>
      <c r="R79" s="11">
        <f>L79+O79</f>
        <v>0</v>
      </c>
      <c r="S79" s="11">
        <f>M79+P79</f>
        <v>0</v>
      </c>
      <c r="T79" s="8">
        <f>I79-Q79</f>
        <v>-8309.36</v>
      </c>
      <c r="U79" s="18">
        <v>0.51878464307440264</v>
      </c>
      <c r="V79" s="11">
        <v>0.17</v>
      </c>
      <c r="W79" s="11">
        <v>1</v>
      </c>
      <c r="X79" s="11">
        <v>5</v>
      </c>
      <c r="Y79" s="11">
        <v>0</v>
      </c>
    </row>
    <row r="80" spans="1:25" x14ac:dyDescent="0.25">
      <c r="A80" s="20" t="s">
        <v>3076</v>
      </c>
      <c r="B80" s="20" t="s">
        <v>3076</v>
      </c>
      <c r="C80" s="20" t="s">
        <v>3077</v>
      </c>
      <c r="D80" s="20" t="s">
        <v>216</v>
      </c>
      <c r="E80" s="13">
        <v>0</v>
      </c>
      <c r="F80" s="11">
        <v>0</v>
      </c>
      <c r="G80" s="13">
        <v>0</v>
      </c>
      <c r="H80" s="11">
        <v>0</v>
      </c>
      <c r="I80" s="13">
        <f>E80+G80</f>
        <v>0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0</v>
      </c>
      <c r="O80" s="11">
        <v>0</v>
      </c>
      <c r="P80" s="11">
        <v>0</v>
      </c>
      <c r="Q80" s="13">
        <f>K80+N80</f>
        <v>0</v>
      </c>
      <c r="R80" s="11">
        <f>L80+O80</f>
        <v>0</v>
      </c>
      <c r="S80" s="11">
        <f>M80+P80</f>
        <v>0</v>
      </c>
      <c r="T80" s="8">
        <f>I80-Q80</f>
        <v>0</v>
      </c>
      <c r="U80" s="18">
        <v>-0.10840263604273827</v>
      </c>
      <c r="V80" s="11">
        <v>0</v>
      </c>
      <c r="W80" s="11">
        <v>0</v>
      </c>
      <c r="X80" s="11">
        <v>0</v>
      </c>
      <c r="Y80" s="11">
        <v>0</v>
      </c>
    </row>
    <row r="81" spans="1:25" x14ac:dyDescent="0.25">
      <c r="A81" s="20" t="s">
        <v>3078</v>
      </c>
      <c r="B81" s="20" t="s">
        <v>83</v>
      </c>
      <c r="C81" s="20" t="s">
        <v>638</v>
      </c>
      <c r="D81" s="20" t="s">
        <v>216</v>
      </c>
      <c r="E81" s="13">
        <v>36882</v>
      </c>
      <c r="F81" s="11">
        <v>0</v>
      </c>
      <c r="G81" s="13">
        <v>1173</v>
      </c>
      <c r="H81" s="11">
        <v>0</v>
      </c>
      <c r="I81" s="13">
        <f>E81+G81</f>
        <v>38055</v>
      </c>
      <c r="J81" s="11">
        <f>F81+H81</f>
        <v>0</v>
      </c>
      <c r="K81" s="13">
        <v>44866.400000000001</v>
      </c>
      <c r="L81" s="11">
        <v>0</v>
      </c>
      <c r="M81" s="11">
        <v>3</v>
      </c>
      <c r="N81" s="13">
        <v>9506</v>
      </c>
      <c r="O81" s="11">
        <v>1</v>
      </c>
      <c r="P81" s="11">
        <v>1</v>
      </c>
      <c r="Q81" s="13">
        <f>K81+N81</f>
        <v>54372.4</v>
      </c>
      <c r="R81" s="11">
        <f>L81+O81</f>
        <v>1</v>
      </c>
      <c r="S81" s="11">
        <f>M81+P81</f>
        <v>4</v>
      </c>
      <c r="T81" s="8">
        <f>I81-Q81</f>
        <v>-16317.400000000001</v>
      </c>
      <c r="U81" s="18">
        <v>5.0090205314667666E-2</v>
      </c>
      <c r="V81" s="11">
        <v>0.36</v>
      </c>
      <c r="W81" s="11">
        <v>4</v>
      </c>
      <c r="X81" s="11">
        <v>7</v>
      </c>
      <c r="Y81" s="11">
        <v>1</v>
      </c>
    </row>
    <row r="82" spans="1:25" x14ac:dyDescent="0.25">
      <c r="A82" s="20" t="s">
        <v>3125</v>
      </c>
      <c r="B82" s="20" t="s">
        <v>3125</v>
      </c>
      <c r="C82" s="20" t="s">
        <v>3126</v>
      </c>
      <c r="D82" s="20" t="s">
        <v>216</v>
      </c>
      <c r="E82" s="13">
        <v>33807.94</v>
      </c>
      <c r="F82" s="11">
        <v>0</v>
      </c>
      <c r="G82" s="13">
        <v>64194</v>
      </c>
      <c r="H82" s="11">
        <v>0</v>
      </c>
      <c r="I82" s="13">
        <f>E82+G82</f>
        <v>98001.94</v>
      </c>
      <c r="J82" s="11">
        <f>F82+H82</f>
        <v>0</v>
      </c>
      <c r="K82" s="13">
        <v>34802</v>
      </c>
      <c r="L82" s="11">
        <v>0</v>
      </c>
      <c r="M82" s="11">
        <v>0</v>
      </c>
      <c r="N82" s="13">
        <v>74178</v>
      </c>
      <c r="O82" s="11">
        <v>0</v>
      </c>
      <c r="P82" s="11">
        <v>2</v>
      </c>
      <c r="Q82" s="13">
        <f>K82+N82</f>
        <v>108980</v>
      </c>
      <c r="R82" s="11">
        <f>L82+O82</f>
        <v>0</v>
      </c>
      <c r="S82" s="11">
        <f>M82+P82</f>
        <v>2</v>
      </c>
      <c r="T82" s="8">
        <f>I82-Q82</f>
        <v>-10978.059999999998</v>
      </c>
      <c r="U82" s="18">
        <v>0.10930926853851772</v>
      </c>
      <c r="V82" s="11">
        <v>0.27</v>
      </c>
      <c r="W82" s="11">
        <v>3</v>
      </c>
      <c r="X82" s="11">
        <v>8</v>
      </c>
      <c r="Y82" s="11">
        <v>3</v>
      </c>
    </row>
    <row r="83" spans="1:25" x14ac:dyDescent="0.25">
      <c r="A83" s="20" t="s">
        <v>3214</v>
      </c>
      <c r="B83" s="20" t="s">
        <v>124</v>
      </c>
      <c r="C83" s="20" t="s">
        <v>265</v>
      </c>
      <c r="D83" s="20" t="s">
        <v>215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5979</v>
      </c>
      <c r="L83" s="11">
        <v>0</v>
      </c>
      <c r="M83" s="11">
        <v>0</v>
      </c>
      <c r="N83" s="13">
        <v>7208.5</v>
      </c>
      <c r="O83" s="11">
        <v>0</v>
      </c>
      <c r="P83" s="11">
        <v>0</v>
      </c>
      <c r="Q83" s="13">
        <f>K83+N83</f>
        <v>13187.5</v>
      </c>
      <c r="R83" s="11">
        <f>L83+O83</f>
        <v>0</v>
      </c>
      <c r="S83" s="11">
        <f>M83+P83</f>
        <v>0</v>
      </c>
      <c r="T83" s="8">
        <f>I83-Q83</f>
        <v>-13187.5</v>
      </c>
      <c r="U83" s="18" t="s">
        <v>1803</v>
      </c>
      <c r="V83" s="11">
        <v>0</v>
      </c>
      <c r="W83" s="11">
        <v>0</v>
      </c>
      <c r="X83" s="11">
        <v>0</v>
      </c>
      <c r="Y83" s="11">
        <v>0</v>
      </c>
    </row>
    <row r="84" spans="1:25" x14ac:dyDescent="0.25">
      <c r="A84" s="20" t="s">
        <v>3224</v>
      </c>
      <c r="B84" s="20" t="s">
        <v>77</v>
      </c>
      <c r="C84" s="20" t="s">
        <v>3225</v>
      </c>
      <c r="D84" s="20" t="s">
        <v>216</v>
      </c>
      <c r="E84" s="13">
        <v>0</v>
      </c>
      <c r="F84" s="11">
        <v>0</v>
      </c>
      <c r="G84" s="13">
        <v>0</v>
      </c>
      <c r="H84" s="11">
        <v>0</v>
      </c>
      <c r="I84" s="13">
        <f>E84+G84</f>
        <v>0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0</v>
      </c>
      <c r="U84" s="18">
        <v>0.12329856746226324</v>
      </c>
      <c r="V84" s="11">
        <v>0</v>
      </c>
      <c r="W84" s="11">
        <v>0</v>
      </c>
      <c r="X84" s="11">
        <v>0</v>
      </c>
      <c r="Y84" s="11">
        <v>0</v>
      </c>
    </row>
    <row r="85" spans="1:25" x14ac:dyDescent="0.25">
      <c r="A85" s="20" t="s">
        <v>3288</v>
      </c>
      <c r="B85" s="20" t="s">
        <v>3203</v>
      </c>
      <c r="C85" s="20" t="s">
        <v>277</v>
      </c>
      <c r="D85" s="20" t="s">
        <v>216</v>
      </c>
      <c r="E85" s="13">
        <v>19105</v>
      </c>
      <c r="F85" s="11">
        <v>0</v>
      </c>
      <c r="G85" s="13">
        <v>4675</v>
      </c>
      <c r="H85" s="11">
        <v>0</v>
      </c>
      <c r="I85" s="13">
        <f>E85+G85</f>
        <v>23780</v>
      </c>
      <c r="J85" s="11">
        <f>F85+H85</f>
        <v>0</v>
      </c>
      <c r="K85" s="13">
        <v>17079</v>
      </c>
      <c r="L85" s="11">
        <v>0</v>
      </c>
      <c r="M85" s="11">
        <v>0</v>
      </c>
      <c r="N85" s="13">
        <v>1467</v>
      </c>
      <c r="O85" s="11">
        <v>0</v>
      </c>
      <c r="P85" s="11">
        <v>0</v>
      </c>
      <c r="Q85" s="13">
        <f>K85+N85</f>
        <v>18546</v>
      </c>
      <c r="R85" s="11">
        <f>L85+O85</f>
        <v>0</v>
      </c>
      <c r="S85" s="11">
        <f>M85+P85</f>
        <v>0</v>
      </c>
      <c r="T85" s="8">
        <f>I85-Q85</f>
        <v>5234</v>
      </c>
      <c r="U85" s="18">
        <v>0.23296703804279342</v>
      </c>
      <c r="V85" s="11">
        <v>0.33</v>
      </c>
      <c r="W85" s="11">
        <v>1</v>
      </c>
      <c r="X85" s="11">
        <v>2</v>
      </c>
      <c r="Y85" s="11">
        <v>0</v>
      </c>
    </row>
    <row r="86" spans="1:25" x14ac:dyDescent="0.25">
      <c r="A86" s="20" t="s">
        <v>3289</v>
      </c>
      <c r="B86" s="20" t="s">
        <v>3203</v>
      </c>
      <c r="C86" s="20" t="s">
        <v>3011</v>
      </c>
      <c r="D86" s="20" t="s">
        <v>216</v>
      </c>
      <c r="E86" s="13">
        <v>2401</v>
      </c>
      <c r="F86" s="11">
        <v>0</v>
      </c>
      <c r="G86" s="13">
        <v>0</v>
      </c>
      <c r="H86" s="11">
        <v>0</v>
      </c>
      <c r="I86" s="13">
        <f>E86+G86</f>
        <v>2401</v>
      </c>
      <c r="J86" s="11">
        <f>F86+H86</f>
        <v>0</v>
      </c>
      <c r="K86" s="13">
        <v>560</v>
      </c>
      <c r="L86" s="11">
        <v>1</v>
      </c>
      <c r="M86" s="11">
        <v>2</v>
      </c>
      <c r="N86" s="13">
        <v>0</v>
      </c>
      <c r="O86" s="11">
        <v>0</v>
      </c>
      <c r="P86" s="11">
        <v>0</v>
      </c>
      <c r="Q86" s="13">
        <f>K86+N86</f>
        <v>560</v>
      </c>
      <c r="R86" s="11">
        <f>L86+O86</f>
        <v>1</v>
      </c>
      <c r="S86" s="11">
        <f>M86+P86</f>
        <v>2</v>
      </c>
      <c r="T86" s="8">
        <f>I86-Q86</f>
        <v>1841</v>
      </c>
      <c r="U86" s="18">
        <v>7.1494224917742835E-2</v>
      </c>
      <c r="V86" s="11">
        <v>0.17</v>
      </c>
      <c r="W86" s="11">
        <v>1</v>
      </c>
      <c r="X86" s="11">
        <v>5</v>
      </c>
      <c r="Y86" s="11">
        <v>0</v>
      </c>
    </row>
    <row r="87" spans="1:25" x14ac:dyDescent="0.25">
      <c r="A87" s="20" t="s">
        <v>3336</v>
      </c>
      <c r="B87" s="20" t="s">
        <v>519</v>
      </c>
      <c r="C87" s="20" t="s">
        <v>221</v>
      </c>
      <c r="D87" s="20" t="s">
        <v>216</v>
      </c>
      <c r="E87" s="13">
        <v>0</v>
      </c>
      <c r="F87" s="11">
        <v>0</v>
      </c>
      <c r="G87" s="13">
        <v>0</v>
      </c>
      <c r="H87" s="11">
        <v>0</v>
      </c>
      <c r="I87" s="13">
        <f>E87+G87</f>
        <v>0</v>
      </c>
      <c r="J87" s="11">
        <f>F87+H87</f>
        <v>0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1</v>
      </c>
      <c r="Q87" s="13">
        <f>K87+N87</f>
        <v>0</v>
      </c>
      <c r="R87" s="11">
        <f>L87+O87</f>
        <v>0</v>
      </c>
      <c r="S87" s="11">
        <f>M87+P87</f>
        <v>1</v>
      </c>
      <c r="T87" s="8">
        <f>I87-Q87</f>
        <v>0</v>
      </c>
      <c r="U87" s="18">
        <v>0.12307287658196314</v>
      </c>
      <c r="V87" s="11">
        <v>0.25</v>
      </c>
      <c r="W87" s="11">
        <v>1</v>
      </c>
      <c r="X87" s="11">
        <v>3</v>
      </c>
      <c r="Y87" s="11">
        <v>0</v>
      </c>
    </row>
    <row r="88" spans="1:25" x14ac:dyDescent="0.25">
      <c r="A88" s="20" t="s">
        <v>3337</v>
      </c>
      <c r="B88" s="20" t="s">
        <v>3203</v>
      </c>
      <c r="C88" s="20" t="s">
        <v>3338</v>
      </c>
      <c r="D88" s="20" t="s">
        <v>216</v>
      </c>
      <c r="E88" s="13">
        <v>0</v>
      </c>
      <c r="F88" s="11">
        <v>0</v>
      </c>
      <c r="G88" s="13">
        <v>0</v>
      </c>
      <c r="H88" s="11">
        <v>0</v>
      </c>
      <c r="I88" s="13">
        <f>E88+G88</f>
        <v>0</v>
      </c>
      <c r="J88" s="11">
        <f>F88+H88</f>
        <v>0</v>
      </c>
      <c r="K88" s="13">
        <v>0</v>
      </c>
      <c r="L88" s="11">
        <v>0</v>
      </c>
      <c r="M88" s="11">
        <v>0</v>
      </c>
      <c r="N88" s="13">
        <v>0</v>
      </c>
      <c r="O88" s="11">
        <v>0</v>
      </c>
      <c r="P88" s="11">
        <v>0</v>
      </c>
      <c r="Q88" s="13">
        <f>K88+N88</f>
        <v>0</v>
      </c>
      <c r="R88" s="11">
        <f>L88+O88</f>
        <v>0</v>
      </c>
      <c r="S88" s="11">
        <f>M88+P88</f>
        <v>0</v>
      </c>
      <c r="T88" s="8">
        <f>I88-Q88</f>
        <v>0</v>
      </c>
      <c r="U88" s="18" t="s">
        <v>1803</v>
      </c>
      <c r="V88" s="11">
        <v>0</v>
      </c>
      <c r="W88" s="11">
        <v>0</v>
      </c>
      <c r="X88" s="11">
        <v>0</v>
      </c>
      <c r="Y88" s="11">
        <v>0</v>
      </c>
    </row>
    <row r="89" spans="1:25" x14ac:dyDescent="0.25">
      <c r="A89" s="20" t="s">
        <v>3335</v>
      </c>
      <c r="B89" s="20" t="s">
        <v>3335</v>
      </c>
      <c r="C89" s="20" t="s">
        <v>3339</v>
      </c>
      <c r="D89" s="20" t="s">
        <v>216</v>
      </c>
      <c r="E89" s="13">
        <v>0</v>
      </c>
      <c r="F89" s="11">
        <v>0</v>
      </c>
      <c r="G89" s="13">
        <v>10527</v>
      </c>
      <c r="H89" s="11">
        <v>0</v>
      </c>
      <c r="I89" s="13">
        <f>E89+G89</f>
        <v>10527</v>
      </c>
      <c r="J89" s="11">
        <f>F89+H89</f>
        <v>0</v>
      </c>
      <c r="K89" s="13">
        <v>0</v>
      </c>
      <c r="L89" s="11">
        <v>0</v>
      </c>
      <c r="M89" s="11">
        <v>0</v>
      </c>
      <c r="N89" s="13">
        <v>9963</v>
      </c>
      <c r="O89" s="11">
        <v>0</v>
      </c>
      <c r="P89" s="11">
        <v>1</v>
      </c>
      <c r="Q89" s="13">
        <f>K89+N89</f>
        <v>9963</v>
      </c>
      <c r="R89" s="11">
        <f>L89+O89</f>
        <v>0</v>
      </c>
      <c r="S89" s="11">
        <f>M89+P89</f>
        <v>1</v>
      </c>
      <c r="T89" s="8">
        <f>I89-Q89</f>
        <v>564</v>
      </c>
      <c r="U89" s="18">
        <v>0.23655717013827113</v>
      </c>
      <c r="V89" s="11">
        <v>0.2</v>
      </c>
      <c r="W89" s="11">
        <v>1</v>
      </c>
      <c r="X89" s="11">
        <v>4</v>
      </c>
      <c r="Y89" s="11">
        <v>0</v>
      </c>
    </row>
    <row r="90" spans="1:25" x14ac:dyDescent="0.25">
      <c r="A90" s="20" t="s">
        <v>3360</v>
      </c>
      <c r="B90" s="20" t="s">
        <v>91</v>
      </c>
      <c r="C90" s="20" t="s">
        <v>3361</v>
      </c>
      <c r="D90" s="20" t="s">
        <v>216</v>
      </c>
      <c r="E90" s="13">
        <v>0</v>
      </c>
      <c r="F90" s="11">
        <v>0</v>
      </c>
      <c r="G90" s="13">
        <v>0</v>
      </c>
      <c r="H90" s="11">
        <v>0</v>
      </c>
      <c r="I90" s="13">
        <f>E90+G90</f>
        <v>0</v>
      </c>
      <c r="J90" s="11">
        <f>F90+H90</f>
        <v>0</v>
      </c>
      <c r="K90" s="13">
        <v>0</v>
      </c>
      <c r="L90" s="11">
        <v>0</v>
      </c>
      <c r="M90" s="11">
        <v>0</v>
      </c>
      <c r="N90" s="13">
        <v>0</v>
      </c>
      <c r="O90" s="11">
        <v>0</v>
      </c>
      <c r="P90" s="11">
        <v>0</v>
      </c>
      <c r="Q90" s="13">
        <f>K90+N90</f>
        <v>0</v>
      </c>
      <c r="R90" s="11">
        <f>L90+O90</f>
        <v>0</v>
      </c>
      <c r="S90" s="11">
        <f>M90+P90</f>
        <v>0</v>
      </c>
      <c r="T90" s="8">
        <f>I90-Q90</f>
        <v>0</v>
      </c>
      <c r="U90" s="18" t="s">
        <v>1803</v>
      </c>
      <c r="V90" s="11">
        <v>0</v>
      </c>
      <c r="W90" s="11">
        <v>0</v>
      </c>
      <c r="X90" s="11">
        <v>2</v>
      </c>
      <c r="Y90" s="11">
        <v>0</v>
      </c>
    </row>
    <row r="91" spans="1:25" x14ac:dyDescent="0.25">
      <c r="A91" s="20" t="s">
        <v>3380</v>
      </c>
      <c r="B91" s="20" t="s">
        <v>60</v>
      </c>
      <c r="C91" s="20" t="s">
        <v>3381</v>
      </c>
      <c r="D91" s="20" t="s">
        <v>216</v>
      </c>
      <c r="E91" s="13">
        <v>0</v>
      </c>
      <c r="F91" s="11">
        <v>0</v>
      </c>
      <c r="G91" s="13">
        <v>-4976.3900000000003</v>
      </c>
      <c r="H91" s="11">
        <v>0</v>
      </c>
      <c r="I91" s="13">
        <f>E91+G91</f>
        <v>-4976.3900000000003</v>
      </c>
      <c r="J91" s="11">
        <f>F91+H91</f>
        <v>0</v>
      </c>
      <c r="K91" s="13">
        <v>0</v>
      </c>
      <c r="L91" s="11">
        <v>0</v>
      </c>
      <c r="M91" s="11">
        <v>0</v>
      </c>
      <c r="N91" s="13">
        <v>0</v>
      </c>
      <c r="O91" s="11">
        <v>0</v>
      </c>
      <c r="P91" s="11">
        <v>4</v>
      </c>
      <c r="Q91" s="13">
        <f>K91+N91</f>
        <v>0</v>
      </c>
      <c r="R91" s="11">
        <f>L91+O91</f>
        <v>0</v>
      </c>
      <c r="S91" s="11">
        <f>M91+P91</f>
        <v>4</v>
      </c>
      <c r="T91" s="8">
        <f>I91-Q91</f>
        <v>-4976.3900000000003</v>
      </c>
      <c r="U91" s="18">
        <v>1.7026531331101134E-2</v>
      </c>
      <c r="V91" s="11">
        <v>0.36</v>
      </c>
      <c r="W91" s="11">
        <v>4</v>
      </c>
      <c r="X91" s="11">
        <v>7</v>
      </c>
      <c r="Y91" s="11">
        <v>0</v>
      </c>
    </row>
    <row r="92" spans="1:25" x14ac:dyDescent="0.25">
      <c r="A92" s="20" t="s">
        <v>3382</v>
      </c>
      <c r="B92" s="20" t="s">
        <v>60</v>
      </c>
      <c r="C92" s="20" t="s">
        <v>3383</v>
      </c>
      <c r="D92" s="20" t="s">
        <v>216</v>
      </c>
      <c r="E92" s="13">
        <v>6639</v>
      </c>
      <c r="F92" s="11">
        <v>1</v>
      </c>
      <c r="G92" s="13">
        <v>0</v>
      </c>
      <c r="H92" s="11">
        <v>0</v>
      </c>
      <c r="I92" s="13">
        <f>E92+G92</f>
        <v>6639</v>
      </c>
      <c r="J92" s="11">
        <f>F92+H92</f>
        <v>1</v>
      </c>
      <c r="K92" s="13">
        <v>0</v>
      </c>
      <c r="L92" s="11">
        <v>0</v>
      </c>
      <c r="M92" s="11">
        <v>0</v>
      </c>
      <c r="N92" s="13">
        <v>0</v>
      </c>
      <c r="O92" s="11">
        <v>0</v>
      </c>
      <c r="P92" s="11">
        <v>0</v>
      </c>
      <c r="Q92" s="13">
        <f>K92+N92</f>
        <v>0</v>
      </c>
      <c r="R92" s="11">
        <f>L92+O92</f>
        <v>0</v>
      </c>
      <c r="S92" s="11">
        <f>M92+P92</f>
        <v>0</v>
      </c>
      <c r="T92" s="8">
        <f>I92-Q92</f>
        <v>6639</v>
      </c>
      <c r="U92" s="18">
        <v>0.3381462253947653</v>
      </c>
      <c r="V92" s="11">
        <v>0.25</v>
      </c>
      <c r="W92" s="11">
        <v>1</v>
      </c>
      <c r="X92" s="11">
        <v>3</v>
      </c>
      <c r="Y92" s="11">
        <v>0</v>
      </c>
    </row>
    <row r="93" spans="1:25" x14ac:dyDescent="0.25">
      <c r="A93" s="20" t="s">
        <v>3578</v>
      </c>
      <c r="B93" s="20" t="s">
        <v>60</v>
      </c>
      <c r="C93" s="20" t="s">
        <v>3579</v>
      </c>
      <c r="D93" s="20" t="s">
        <v>216</v>
      </c>
      <c r="E93" s="13">
        <v>0</v>
      </c>
      <c r="F93" s="11">
        <v>0</v>
      </c>
      <c r="G93" s="13">
        <v>0</v>
      </c>
      <c r="H93" s="11">
        <v>0</v>
      </c>
      <c r="I93" s="13">
        <f>E93+G93</f>
        <v>0</v>
      </c>
      <c r="J93" s="11">
        <f>F93+H93</f>
        <v>0</v>
      </c>
      <c r="K93" s="13">
        <v>0</v>
      </c>
      <c r="L93" s="11">
        <v>0</v>
      </c>
      <c r="M93" s="11">
        <v>0</v>
      </c>
      <c r="N93" s="13">
        <v>0</v>
      </c>
      <c r="O93" s="11">
        <v>0</v>
      </c>
      <c r="P93" s="11">
        <v>0</v>
      </c>
      <c r="Q93" s="13">
        <f>K93+N93</f>
        <v>0</v>
      </c>
      <c r="R93" s="11">
        <f>L93+O93</f>
        <v>0</v>
      </c>
      <c r="S93" s="11">
        <f>M93+P93</f>
        <v>0</v>
      </c>
      <c r="T93" s="8">
        <f>I93-Q93</f>
        <v>0</v>
      </c>
      <c r="U93" s="18">
        <v>0.11522215471494622</v>
      </c>
      <c r="V93" s="11">
        <v>0</v>
      </c>
      <c r="W93" s="11">
        <v>0</v>
      </c>
      <c r="X93" s="11">
        <v>2</v>
      </c>
      <c r="Y93" s="11">
        <v>0</v>
      </c>
    </row>
    <row r="94" spans="1:25" x14ac:dyDescent="0.25">
      <c r="A94" s="20" t="s">
        <v>3588</v>
      </c>
      <c r="B94" s="20" t="s">
        <v>3588</v>
      </c>
      <c r="C94" s="20" t="s">
        <v>283</v>
      </c>
      <c r="D94" s="20" t="s">
        <v>216</v>
      </c>
      <c r="E94" s="13">
        <v>66885.009999999995</v>
      </c>
      <c r="F94" s="11">
        <v>1</v>
      </c>
      <c r="G94" s="13">
        <v>47930.5</v>
      </c>
      <c r="H94" s="11">
        <v>1</v>
      </c>
      <c r="I94" s="13">
        <f>E94+G94</f>
        <v>114815.51</v>
      </c>
      <c r="J94" s="11">
        <f>F94+H94</f>
        <v>2</v>
      </c>
      <c r="K94" s="13">
        <v>0</v>
      </c>
      <c r="L94" s="11">
        <v>0</v>
      </c>
      <c r="M94" s="11">
        <v>2</v>
      </c>
      <c r="N94" s="13">
        <v>0</v>
      </c>
      <c r="O94" s="11">
        <v>4</v>
      </c>
      <c r="P94" s="11">
        <v>9</v>
      </c>
      <c r="Q94" s="13">
        <f>K94+N94</f>
        <v>0</v>
      </c>
      <c r="R94" s="11">
        <f>L94+O94</f>
        <v>4</v>
      </c>
      <c r="S94" s="11">
        <f>M94+P94</f>
        <v>11</v>
      </c>
      <c r="T94" s="8">
        <f>I94-Q94</f>
        <v>114815.51</v>
      </c>
      <c r="U94" s="18">
        <v>0.1193336625416456</v>
      </c>
      <c r="V94" s="11">
        <v>0.38</v>
      </c>
      <c r="W94" s="11">
        <v>10</v>
      </c>
      <c r="X94" s="11">
        <v>16</v>
      </c>
      <c r="Y94" s="11">
        <v>0</v>
      </c>
    </row>
    <row r="95" spans="1:25" x14ac:dyDescent="0.25">
      <c r="A95" s="20" t="s">
        <v>3593</v>
      </c>
      <c r="B95" s="20" t="s">
        <v>260</v>
      </c>
      <c r="C95" s="20" t="s">
        <v>286</v>
      </c>
      <c r="D95" s="20" t="s">
        <v>216</v>
      </c>
      <c r="E95" s="13">
        <v>3024</v>
      </c>
      <c r="F95" s="11">
        <v>0</v>
      </c>
      <c r="G95" s="13">
        <v>2091</v>
      </c>
      <c r="H95" s="11">
        <v>0</v>
      </c>
      <c r="I95" s="13">
        <f>E95+G95</f>
        <v>5115</v>
      </c>
      <c r="J95" s="11">
        <f>F95+H95</f>
        <v>0</v>
      </c>
      <c r="K95" s="13">
        <v>0</v>
      </c>
      <c r="L95" s="11">
        <v>0</v>
      </c>
      <c r="M95" s="11">
        <v>1</v>
      </c>
      <c r="N95" s="13">
        <v>0</v>
      </c>
      <c r="O95" s="11">
        <v>0</v>
      </c>
      <c r="P95" s="11">
        <v>0</v>
      </c>
      <c r="Q95" s="13">
        <f>K95+N95</f>
        <v>0</v>
      </c>
      <c r="R95" s="11">
        <f>L95+O95</f>
        <v>0</v>
      </c>
      <c r="S95" s="11">
        <f>M95+P95</f>
        <v>1</v>
      </c>
      <c r="T95" s="8">
        <f>I95-Q95</f>
        <v>5115</v>
      </c>
      <c r="U95" s="18">
        <v>-5.0370100090768293E-3</v>
      </c>
      <c r="V95" s="11">
        <v>0.33</v>
      </c>
      <c r="W95" s="11">
        <v>1</v>
      </c>
      <c r="X95" s="11">
        <v>2</v>
      </c>
      <c r="Y95" s="11">
        <v>0</v>
      </c>
    </row>
    <row r="96" spans="1:25" x14ac:dyDescent="0.25">
      <c r="A96" s="20" t="s">
        <v>3601</v>
      </c>
      <c r="B96" s="20" t="s">
        <v>3588</v>
      </c>
      <c r="C96" s="20" t="s">
        <v>2995</v>
      </c>
      <c r="D96" s="20" t="s">
        <v>216</v>
      </c>
      <c r="E96" s="13">
        <v>0</v>
      </c>
      <c r="F96" s="11">
        <v>0</v>
      </c>
      <c r="G96" s="13">
        <v>0</v>
      </c>
      <c r="H96" s="11">
        <v>0</v>
      </c>
      <c r="I96" s="13">
        <f>E96+G96</f>
        <v>0</v>
      </c>
      <c r="J96" s="11">
        <f>F96+H96</f>
        <v>0</v>
      </c>
      <c r="K96" s="13">
        <v>0</v>
      </c>
      <c r="L96" s="11">
        <v>0</v>
      </c>
      <c r="M96" s="11">
        <v>0</v>
      </c>
      <c r="N96" s="13">
        <v>0</v>
      </c>
      <c r="O96" s="11">
        <v>0</v>
      </c>
      <c r="P96" s="11">
        <v>0</v>
      </c>
      <c r="Q96" s="13">
        <f>K96+N96</f>
        <v>0</v>
      </c>
      <c r="R96" s="11">
        <f>L96+O96</f>
        <v>0</v>
      </c>
      <c r="S96" s="11">
        <f>M96+P96</f>
        <v>0</v>
      </c>
      <c r="T96" s="8">
        <f>I96-Q96</f>
        <v>0</v>
      </c>
      <c r="U96" s="18">
        <v>-0.11766060990007776</v>
      </c>
      <c r="V96" s="11">
        <v>0</v>
      </c>
      <c r="W96" s="11">
        <v>0</v>
      </c>
      <c r="X96" s="11">
        <v>0</v>
      </c>
      <c r="Y96" s="11">
        <v>0</v>
      </c>
    </row>
    <row r="97" spans="1:25" x14ac:dyDescent="0.25">
      <c r="A97" s="20" t="s">
        <v>3602</v>
      </c>
      <c r="B97" s="20" t="s">
        <v>260</v>
      </c>
      <c r="C97" s="20" t="s">
        <v>286</v>
      </c>
      <c r="D97" s="20" t="s">
        <v>216</v>
      </c>
      <c r="E97" s="13">
        <v>0</v>
      </c>
      <c r="F97" s="11">
        <v>0</v>
      </c>
      <c r="G97" s="13">
        <v>0</v>
      </c>
      <c r="H97" s="11">
        <v>0</v>
      </c>
      <c r="I97" s="13">
        <f>E97+G97</f>
        <v>0</v>
      </c>
      <c r="J97" s="11">
        <f>F97+H97</f>
        <v>0</v>
      </c>
      <c r="K97" s="13">
        <v>0</v>
      </c>
      <c r="L97" s="11">
        <v>0</v>
      </c>
      <c r="M97" s="11">
        <v>0</v>
      </c>
      <c r="N97" s="13">
        <v>0</v>
      </c>
      <c r="O97" s="11">
        <v>0</v>
      </c>
      <c r="P97" s="11">
        <v>0</v>
      </c>
      <c r="Q97" s="13">
        <f>K97+N97</f>
        <v>0</v>
      </c>
      <c r="R97" s="11">
        <f>L97+O97</f>
        <v>0</v>
      </c>
      <c r="S97" s="11">
        <f>M97+P97</f>
        <v>0</v>
      </c>
      <c r="T97" s="8">
        <f>I97-Q97</f>
        <v>0</v>
      </c>
      <c r="U97" s="18" t="s">
        <v>1803</v>
      </c>
      <c r="V97" s="11">
        <v>0</v>
      </c>
      <c r="W97" s="11">
        <v>0</v>
      </c>
      <c r="X97" s="11">
        <v>0</v>
      </c>
      <c r="Y97" s="11">
        <v>0</v>
      </c>
    </row>
    <row r="98" spans="1:25" x14ac:dyDescent="0.25">
      <c r="A98" s="20" t="s">
        <v>3603</v>
      </c>
      <c r="B98" s="20" t="s">
        <v>60</v>
      </c>
      <c r="C98" s="20" t="s">
        <v>3604</v>
      </c>
      <c r="D98" s="20" t="s">
        <v>216</v>
      </c>
      <c r="E98" s="13">
        <v>0</v>
      </c>
      <c r="F98" s="11">
        <v>0</v>
      </c>
      <c r="G98" s="13">
        <v>0</v>
      </c>
      <c r="H98" s="11">
        <v>0</v>
      </c>
      <c r="I98" s="13">
        <f>E98+G98</f>
        <v>0</v>
      </c>
      <c r="J98" s="11">
        <f>F98+H98</f>
        <v>0</v>
      </c>
      <c r="K98" s="13">
        <v>0</v>
      </c>
      <c r="L98" s="11">
        <v>0</v>
      </c>
      <c r="M98" s="11">
        <v>0</v>
      </c>
      <c r="N98" s="13">
        <v>0</v>
      </c>
      <c r="O98" s="11">
        <v>0</v>
      </c>
      <c r="P98" s="11">
        <v>0</v>
      </c>
      <c r="Q98" s="13">
        <f>K98+N98</f>
        <v>0</v>
      </c>
      <c r="R98" s="11">
        <f>L98+O98</f>
        <v>0</v>
      </c>
      <c r="S98" s="11">
        <f>M98+P98</f>
        <v>0</v>
      </c>
      <c r="T98" s="8">
        <f>I98-Q98</f>
        <v>0</v>
      </c>
      <c r="U98" s="18" t="s">
        <v>1803</v>
      </c>
      <c r="V98" s="11">
        <v>0</v>
      </c>
      <c r="W98" s="11">
        <v>0</v>
      </c>
      <c r="X98" s="11">
        <v>0</v>
      </c>
      <c r="Y98" s="11">
        <v>0</v>
      </c>
    </row>
    <row r="99" spans="1:25" x14ac:dyDescent="0.25">
      <c r="A99" s="20" t="s">
        <v>3615</v>
      </c>
      <c r="B99" s="20" t="s">
        <v>91</v>
      </c>
      <c r="C99" s="20" t="s">
        <v>3616</v>
      </c>
      <c r="D99" s="20" t="s">
        <v>216</v>
      </c>
      <c r="E99" s="13">
        <v>0</v>
      </c>
      <c r="F99" s="11">
        <v>0</v>
      </c>
      <c r="G99" s="13">
        <v>0</v>
      </c>
      <c r="H99" s="11">
        <v>0</v>
      </c>
      <c r="I99" s="13">
        <f>E99+G99</f>
        <v>0</v>
      </c>
      <c r="J99" s="11">
        <f>F99+H99</f>
        <v>0</v>
      </c>
      <c r="K99" s="13">
        <v>0</v>
      </c>
      <c r="L99" s="11">
        <v>0</v>
      </c>
      <c r="M99" s="11">
        <v>0</v>
      </c>
      <c r="N99" s="13">
        <v>0</v>
      </c>
      <c r="O99" s="11">
        <v>0</v>
      </c>
      <c r="P99" s="11">
        <v>0</v>
      </c>
      <c r="Q99" s="13">
        <f>K99+N99</f>
        <v>0</v>
      </c>
      <c r="R99" s="11">
        <f>L99+O99</f>
        <v>0</v>
      </c>
      <c r="S99" s="11">
        <f>M99+P99</f>
        <v>0</v>
      </c>
      <c r="T99" s="8">
        <f>I99-Q99</f>
        <v>0</v>
      </c>
      <c r="U99" s="18" t="s">
        <v>1803</v>
      </c>
      <c r="V99" s="11">
        <v>0</v>
      </c>
      <c r="W99" s="11">
        <v>0</v>
      </c>
      <c r="X99" s="11">
        <v>0</v>
      </c>
      <c r="Y99" s="11">
        <v>0</v>
      </c>
    </row>
    <row r="100" spans="1:25" x14ac:dyDescent="0.25">
      <c r="A100" s="20" t="s">
        <v>3639</v>
      </c>
      <c r="B100" s="20" t="s">
        <v>3639</v>
      </c>
      <c r="C100" s="20" t="s">
        <v>226</v>
      </c>
      <c r="D100" s="20" t="s">
        <v>216</v>
      </c>
      <c r="E100" s="13">
        <v>0</v>
      </c>
      <c r="F100" s="11">
        <v>0</v>
      </c>
      <c r="G100" s="13">
        <v>0</v>
      </c>
      <c r="H100" s="11">
        <v>0</v>
      </c>
      <c r="I100" s="13">
        <f>E100+G100</f>
        <v>0</v>
      </c>
      <c r="J100" s="11">
        <f>F100+H100</f>
        <v>0</v>
      </c>
      <c r="K100" s="13">
        <v>0</v>
      </c>
      <c r="L100" s="11">
        <v>0</v>
      </c>
      <c r="M100" s="11">
        <v>0</v>
      </c>
      <c r="N100" s="13">
        <v>0</v>
      </c>
      <c r="O100" s="11">
        <v>0</v>
      </c>
      <c r="P100" s="11">
        <v>0</v>
      </c>
      <c r="Q100" s="13">
        <f>K100+N100</f>
        <v>0</v>
      </c>
      <c r="R100" s="11">
        <f>L100+O100</f>
        <v>0</v>
      </c>
      <c r="S100" s="11">
        <f>M100+P100</f>
        <v>0</v>
      </c>
      <c r="T100" s="8">
        <f>I100-Q100</f>
        <v>0</v>
      </c>
      <c r="U100" s="18">
        <v>9.5135934464273833E-2</v>
      </c>
      <c r="V100" s="11">
        <v>0</v>
      </c>
      <c r="W100" s="11">
        <v>0</v>
      </c>
      <c r="X100" s="11">
        <v>0</v>
      </c>
      <c r="Y100" s="11">
        <v>0</v>
      </c>
    </row>
    <row r="101" spans="1:25" x14ac:dyDescent="0.25">
      <c r="A101" s="20" t="s">
        <v>3663</v>
      </c>
      <c r="B101" s="20" t="s">
        <v>77</v>
      </c>
      <c r="C101" s="20" t="s">
        <v>362</v>
      </c>
      <c r="D101" s="20" t="s">
        <v>216</v>
      </c>
      <c r="E101" s="13">
        <v>0</v>
      </c>
      <c r="F101" s="11">
        <v>0</v>
      </c>
      <c r="G101" s="13">
        <v>0</v>
      </c>
      <c r="H101" s="11">
        <v>0</v>
      </c>
      <c r="I101" s="13">
        <f>E101+G101</f>
        <v>0</v>
      </c>
      <c r="J101" s="11">
        <f>F101+H101</f>
        <v>0</v>
      </c>
      <c r="K101" s="13">
        <v>0</v>
      </c>
      <c r="L101" s="11">
        <v>0</v>
      </c>
      <c r="M101" s="11">
        <v>0</v>
      </c>
      <c r="N101" s="13">
        <v>0</v>
      </c>
      <c r="O101" s="11">
        <v>0</v>
      </c>
      <c r="P101" s="11">
        <v>0</v>
      </c>
      <c r="Q101" s="13">
        <f>K101+N101</f>
        <v>0</v>
      </c>
      <c r="R101" s="11">
        <f>L101+O101</f>
        <v>0</v>
      </c>
      <c r="S101" s="11">
        <f>M101+P101</f>
        <v>0</v>
      </c>
      <c r="T101" s="8">
        <f>I101-Q101</f>
        <v>0</v>
      </c>
      <c r="U101" s="18" t="s">
        <v>1803</v>
      </c>
      <c r="V101" s="11">
        <v>0</v>
      </c>
      <c r="W101" s="11">
        <v>0</v>
      </c>
      <c r="X101" s="11">
        <v>0</v>
      </c>
      <c r="Y101" s="11">
        <v>0</v>
      </c>
    </row>
    <row r="102" spans="1:25" x14ac:dyDescent="0.25">
      <c r="A102" s="20" t="s">
        <v>1805</v>
      </c>
      <c r="B102" s="20"/>
      <c r="C102" s="20"/>
      <c r="D102" s="20"/>
      <c r="E102" s="13">
        <f>SUBTOTAL(109,TableFNO[YTD WP])</f>
        <v>691917.85999999987</v>
      </c>
      <c r="F102" s="11">
        <f>SUBTOTAL(109,TableFNO[YTD NB '#])</f>
        <v>15</v>
      </c>
      <c r="G102" s="13">
        <f>SUBTOTAL(109,TableFNO[[YTD WP ]])</f>
        <v>888935.96000000008</v>
      </c>
      <c r="H102" s="11">
        <f>SUBTOTAL(109,TableFNO[YTD NB '# ])</f>
        <v>12</v>
      </c>
      <c r="I102" s="13">
        <f>SUBTOTAL(109,TableFNO[[YTD WP  ]])</f>
        <v>1580853.82</v>
      </c>
      <c r="J102" s="11">
        <f>SUBTOTAL(109,TableFNO[YTD NB '#  ])</f>
        <v>27</v>
      </c>
      <c r="K102" s="13">
        <f>SUBTOTAL(109,TableFNO[PYTD WP])</f>
        <v>695811.07</v>
      </c>
      <c r="L102" s="11">
        <f>SUBTOTAL(109,TableFNO[PYTD NB '#])</f>
        <v>7</v>
      </c>
      <c r="M102" s="11">
        <f>SUBTOTAL(109,TableFNO[PY Total NB '#])</f>
        <v>70</v>
      </c>
      <c r="N102" s="13">
        <f>SUBTOTAL(109,TableFNO[[PYTD WP ]])</f>
        <v>911377.98</v>
      </c>
      <c r="O102" s="11">
        <f>SUBTOTAL(109,TableFNO[PYTD NB '# ])</f>
        <v>32</v>
      </c>
      <c r="P102" s="11">
        <f>SUBTOTAL(109,TableFNO[PY Total NB '# ])</f>
        <v>171</v>
      </c>
      <c r="Q102" s="13">
        <f>SUBTOTAL(109,TableFNO[[PYTD WP  ]])</f>
        <v>1607189.0500000003</v>
      </c>
      <c r="R102" s="11">
        <f>SUBTOTAL(109,TableFNO[PYTD NB '#  ])</f>
        <v>39</v>
      </c>
      <c r="S102" s="11">
        <f>SUBTOTAL(109,TableFNO[PY Total NB '#  ])</f>
        <v>241</v>
      </c>
      <c r="T102" s="8">
        <f>SUBTOTAL(109,TableFNO[Premium Change])</f>
        <v>-26335.229999999967</v>
      </c>
      <c r="V102" s="11">
        <f>ROUND(SUM(TableFNO[12 Mo Bound])/SUM(TableFNO[12 Mo Quoted])+ SUM(TableFNO[12 Mo Bound]), 2)</f>
        <v>236.39</v>
      </c>
      <c r="W102" s="11">
        <f>SUBTOTAL(109,TableFNO[12 Mo Bound])</f>
        <v>236</v>
      </c>
      <c r="X102" s="11">
        <f>SUBTOTAL(109,TableFNO[12 Mo Quoted])</f>
        <v>605</v>
      </c>
      <c r="Y102" s="11">
        <f>SUBTOTAL(109,TableFNO[12 Mo Declined])</f>
        <v>114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13F0E-FA9D-4BC4-A4C6-1AABAC2DDAA9}">
  <sheetPr>
    <pageSetUpPr fitToPage="1"/>
  </sheetPr>
  <dimension ref="A1:Z91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855468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8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393</v>
      </c>
      <c r="B7" s="20" t="s">
        <v>393</v>
      </c>
      <c r="C7" s="20" t="s">
        <v>394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488.74</v>
      </c>
      <c r="L7" s="11">
        <v>0</v>
      </c>
      <c r="M7" s="11">
        <v>1</v>
      </c>
      <c r="N7" s="13">
        <v>0</v>
      </c>
      <c r="O7" s="11">
        <v>0</v>
      </c>
      <c r="P7" s="11">
        <v>2</v>
      </c>
      <c r="Q7" s="13">
        <f>K7+N7</f>
        <v>488.74</v>
      </c>
      <c r="R7" s="11">
        <f>L7+O7</f>
        <v>0</v>
      </c>
      <c r="S7" s="11">
        <f>M7+P7</f>
        <v>3</v>
      </c>
      <c r="T7" s="8">
        <f>I7-Q7</f>
        <v>-488.74</v>
      </c>
      <c r="U7" s="18">
        <v>5.0439496433130462E-2</v>
      </c>
      <c r="V7" s="11">
        <v>0.43</v>
      </c>
      <c r="W7" s="11">
        <v>3</v>
      </c>
      <c r="X7" s="11">
        <v>4</v>
      </c>
      <c r="Y7" s="11">
        <v>1</v>
      </c>
    </row>
    <row r="8" spans="1:26" x14ac:dyDescent="0.25">
      <c r="A8" s="20" t="s">
        <v>395</v>
      </c>
      <c r="B8" s="20" t="s">
        <v>321</v>
      </c>
      <c r="C8" s="20" t="s">
        <v>396</v>
      </c>
      <c r="D8" s="20" t="s">
        <v>216</v>
      </c>
      <c r="E8" s="13">
        <v>5762</v>
      </c>
      <c r="F8" s="11">
        <v>0</v>
      </c>
      <c r="G8" s="13">
        <v>0</v>
      </c>
      <c r="H8" s="11">
        <v>0</v>
      </c>
      <c r="I8" s="13">
        <f>E8+G8</f>
        <v>5762</v>
      </c>
      <c r="J8" s="11">
        <f>F8+H8</f>
        <v>0</v>
      </c>
      <c r="K8" s="13">
        <v>5208.6899999999996</v>
      </c>
      <c r="L8" s="11">
        <v>0</v>
      </c>
      <c r="M8" s="11">
        <v>0</v>
      </c>
      <c r="N8" s="13">
        <v>0</v>
      </c>
      <c r="O8" s="11">
        <v>0</v>
      </c>
      <c r="P8" s="11">
        <v>0</v>
      </c>
      <c r="Q8" s="13">
        <f>K8+N8</f>
        <v>5208.6899999999996</v>
      </c>
      <c r="R8" s="11">
        <f>L8+O8</f>
        <v>0</v>
      </c>
      <c r="S8" s="11">
        <f>M8+P8</f>
        <v>0</v>
      </c>
      <c r="T8" s="8">
        <f>I8-Q8</f>
        <v>553.3100000000004</v>
      </c>
      <c r="U8" s="18">
        <v>5.7795823868878576E-2</v>
      </c>
      <c r="V8" s="11">
        <v>0</v>
      </c>
      <c r="W8" s="11">
        <v>0</v>
      </c>
      <c r="X8" s="11">
        <v>0</v>
      </c>
      <c r="Y8" s="11">
        <v>0</v>
      </c>
    </row>
    <row r="9" spans="1:26" x14ac:dyDescent="0.25">
      <c r="A9" s="20" t="s">
        <v>401</v>
      </c>
      <c r="B9" s="20" t="s">
        <v>60</v>
      </c>
      <c r="C9" s="20" t="s">
        <v>402</v>
      </c>
      <c r="D9" s="20" t="s">
        <v>216</v>
      </c>
      <c r="E9" s="13">
        <v>652</v>
      </c>
      <c r="F9" s="11">
        <v>0</v>
      </c>
      <c r="G9" s="13">
        <v>0</v>
      </c>
      <c r="H9" s="11">
        <v>0</v>
      </c>
      <c r="I9" s="13">
        <f>E9+G9</f>
        <v>652</v>
      </c>
      <c r="J9" s="11">
        <f>F9+H9</f>
        <v>0</v>
      </c>
      <c r="K9" s="13">
        <v>605</v>
      </c>
      <c r="L9" s="11">
        <v>0</v>
      </c>
      <c r="M9" s="11">
        <v>0</v>
      </c>
      <c r="N9" s="13">
        <v>0</v>
      </c>
      <c r="O9" s="11">
        <v>0</v>
      </c>
      <c r="P9" s="11">
        <v>0</v>
      </c>
      <c r="Q9" s="13">
        <f>K9+N9</f>
        <v>605</v>
      </c>
      <c r="R9" s="11">
        <f>L9+O9</f>
        <v>0</v>
      </c>
      <c r="S9" s="11">
        <f>M9+P9</f>
        <v>0</v>
      </c>
      <c r="T9" s="8">
        <f>I9-Q9</f>
        <v>47</v>
      </c>
      <c r="U9" s="18">
        <v>-1.6355504968346622E-2</v>
      </c>
      <c r="V9" s="11">
        <v>0</v>
      </c>
      <c r="W9" s="11">
        <v>0</v>
      </c>
      <c r="X9" s="11">
        <v>0</v>
      </c>
      <c r="Y9" s="11">
        <v>0</v>
      </c>
    </row>
    <row r="10" spans="1:26" x14ac:dyDescent="0.25">
      <c r="A10" s="20" t="s">
        <v>403</v>
      </c>
      <c r="B10" s="20" t="s">
        <v>91</v>
      </c>
      <c r="C10" s="20" t="s">
        <v>404</v>
      </c>
      <c r="D10" s="20" t="s">
        <v>216</v>
      </c>
      <c r="E10" s="13">
        <v>8661</v>
      </c>
      <c r="F10" s="11">
        <v>1</v>
      </c>
      <c r="G10" s="13">
        <v>13161</v>
      </c>
      <c r="H10" s="11">
        <v>2</v>
      </c>
      <c r="I10" s="13">
        <f>E10+G10</f>
        <v>21822</v>
      </c>
      <c r="J10" s="11">
        <f>F10+H10</f>
        <v>3</v>
      </c>
      <c r="K10" s="13">
        <v>4959.6899999999996</v>
      </c>
      <c r="L10" s="11">
        <v>1</v>
      </c>
      <c r="M10" s="11">
        <v>1</v>
      </c>
      <c r="N10" s="13">
        <v>4850.66</v>
      </c>
      <c r="O10" s="11">
        <v>1</v>
      </c>
      <c r="P10" s="11">
        <v>2</v>
      </c>
      <c r="Q10" s="13">
        <f>K10+N10</f>
        <v>9810.3499999999985</v>
      </c>
      <c r="R10" s="11">
        <f>L10+O10</f>
        <v>2</v>
      </c>
      <c r="S10" s="11">
        <f>M10+P10</f>
        <v>3</v>
      </c>
      <c r="T10" s="8">
        <f>I10-Q10</f>
        <v>12011.650000000001</v>
      </c>
      <c r="U10" s="18">
        <v>6.6895335999630837E-2</v>
      </c>
      <c r="V10" s="11">
        <v>0.36</v>
      </c>
      <c r="W10" s="11">
        <v>4</v>
      </c>
      <c r="X10" s="11">
        <v>7</v>
      </c>
      <c r="Y10" s="11">
        <v>0</v>
      </c>
    </row>
    <row r="11" spans="1:26" x14ac:dyDescent="0.25">
      <c r="A11" s="20" t="s">
        <v>410</v>
      </c>
      <c r="B11" s="20" t="s">
        <v>91</v>
      </c>
      <c r="C11" s="20" t="s">
        <v>411</v>
      </c>
      <c r="D11" s="20" t="s">
        <v>216</v>
      </c>
      <c r="E11" s="13">
        <v>9179</v>
      </c>
      <c r="F11" s="11">
        <v>1</v>
      </c>
      <c r="G11" s="13">
        <v>756</v>
      </c>
      <c r="H11" s="11">
        <v>1</v>
      </c>
      <c r="I11" s="13">
        <f>E11+G11</f>
        <v>9935</v>
      </c>
      <c r="J11" s="11">
        <f>F11+H11</f>
        <v>2</v>
      </c>
      <c r="K11" s="13">
        <v>8126</v>
      </c>
      <c r="L11" s="11">
        <v>0</v>
      </c>
      <c r="M11" s="11">
        <v>0</v>
      </c>
      <c r="N11" s="13">
        <v>1352.2</v>
      </c>
      <c r="O11" s="11">
        <v>0</v>
      </c>
      <c r="P11" s="11">
        <v>0</v>
      </c>
      <c r="Q11" s="13">
        <f>K11+N11</f>
        <v>9478.2000000000007</v>
      </c>
      <c r="R11" s="11">
        <f>L11+O11</f>
        <v>0</v>
      </c>
      <c r="S11" s="11">
        <f>M11+P11</f>
        <v>0</v>
      </c>
      <c r="T11" s="8">
        <f>I11-Q11</f>
        <v>456.79999999999927</v>
      </c>
      <c r="U11" s="18">
        <v>6.5965330696294566E-2</v>
      </c>
      <c r="V11" s="11">
        <v>0.4</v>
      </c>
      <c r="W11" s="11">
        <v>2</v>
      </c>
      <c r="X11" s="11">
        <v>3</v>
      </c>
      <c r="Y11" s="11">
        <v>0</v>
      </c>
    </row>
    <row r="12" spans="1:26" x14ac:dyDescent="0.25">
      <c r="A12" s="20" t="s">
        <v>412</v>
      </c>
      <c r="B12" s="20" t="s">
        <v>60</v>
      </c>
      <c r="C12" s="20" t="s">
        <v>413</v>
      </c>
      <c r="D12" s="20" t="s">
        <v>216</v>
      </c>
      <c r="E12" s="13">
        <v>3130.57</v>
      </c>
      <c r="F12" s="11">
        <v>0</v>
      </c>
      <c r="G12" s="13">
        <v>39311</v>
      </c>
      <c r="H12" s="11">
        <v>0</v>
      </c>
      <c r="I12" s="13">
        <f>E12+G12</f>
        <v>42441.57</v>
      </c>
      <c r="J12" s="11">
        <f>F12+H12</f>
        <v>0</v>
      </c>
      <c r="K12" s="13">
        <v>2499</v>
      </c>
      <c r="L12" s="11">
        <v>0</v>
      </c>
      <c r="M12" s="11">
        <v>1</v>
      </c>
      <c r="N12" s="13">
        <v>50474</v>
      </c>
      <c r="O12" s="11">
        <v>1</v>
      </c>
      <c r="P12" s="11">
        <v>4</v>
      </c>
      <c r="Q12" s="13">
        <f>K12+N12</f>
        <v>52973</v>
      </c>
      <c r="R12" s="11">
        <f>L12+O12</f>
        <v>1</v>
      </c>
      <c r="S12" s="11">
        <f>M12+P12</f>
        <v>5</v>
      </c>
      <c r="T12" s="8">
        <f>I12-Q12</f>
        <v>-10531.43</v>
      </c>
      <c r="U12" s="18">
        <v>0.48521795678318319</v>
      </c>
      <c r="V12" s="11">
        <v>0.4</v>
      </c>
      <c r="W12" s="11">
        <v>4</v>
      </c>
      <c r="X12" s="11">
        <v>6</v>
      </c>
      <c r="Y12" s="11">
        <v>0</v>
      </c>
    </row>
    <row r="13" spans="1:26" x14ac:dyDescent="0.25">
      <c r="A13" s="20" t="s">
        <v>414</v>
      </c>
      <c r="B13" s="20" t="s">
        <v>60</v>
      </c>
      <c r="C13" s="20" t="s">
        <v>415</v>
      </c>
      <c r="D13" s="20" t="s">
        <v>216</v>
      </c>
      <c r="E13" s="13">
        <v>1140</v>
      </c>
      <c r="F13" s="11">
        <v>0</v>
      </c>
      <c r="G13" s="13">
        <v>0</v>
      </c>
      <c r="H13" s="11">
        <v>0</v>
      </c>
      <c r="I13" s="13">
        <f>E13+G13</f>
        <v>1140</v>
      </c>
      <c r="J13" s="11">
        <f>F13+H13</f>
        <v>0</v>
      </c>
      <c r="K13" s="13">
        <v>1126</v>
      </c>
      <c r="L13" s="11">
        <v>0</v>
      </c>
      <c r="M13" s="11">
        <v>0</v>
      </c>
      <c r="N13" s="13">
        <v>1126</v>
      </c>
      <c r="O13" s="11">
        <v>0</v>
      </c>
      <c r="P13" s="11">
        <v>1</v>
      </c>
      <c r="Q13" s="13">
        <f>K13+N13</f>
        <v>2252</v>
      </c>
      <c r="R13" s="11">
        <f>L13+O13</f>
        <v>0</v>
      </c>
      <c r="S13" s="11">
        <f>M13+P13</f>
        <v>1</v>
      </c>
      <c r="T13" s="8">
        <f>I13-Q13</f>
        <v>-1112</v>
      </c>
      <c r="U13" s="18">
        <v>-3.8578104223642429E-4</v>
      </c>
      <c r="V13" s="11">
        <v>0.33</v>
      </c>
      <c r="W13" s="11">
        <v>1</v>
      </c>
      <c r="X13" s="11">
        <v>2</v>
      </c>
      <c r="Y13" s="11">
        <v>1</v>
      </c>
    </row>
    <row r="14" spans="1:26" x14ac:dyDescent="0.25">
      <c r="A14" s="20" t="s">
        <v>416</v>
      </c>
      <c r="B14" s="20" t="s">
        <v>60</v>
      </c>
      <c r="C14" s="20" t="s">
        <v>417</v>
      </c>
      <c r="D14" s="20" t="s">
        <v>216</v>
      </c>
      <c r="E14" s="13">
        <v>5028.9799999999996</v>
      </c>
      <c r="F14" s="11">
        <v>0</v>
      </c>
      <c r="G14" s="13">
        <v>2092</v>
      </c>
      <c r="H14" s="11">
        <v>0</v>
      </c>
      <c r="I14" s="13">
        <f>E14+G14</f>
        <v>7120.98</v>
      </c>
      <c r="J14" s="11">
        <f>F14+H14</f>
        <v>0</v>
      </c>
      <c r="K14" s="13">
        <v>9704</v>
      </c>
      <c r="L14" s="11">
        <v>0</v>
      </c>
      <c r="M14" s="11">
        <v>4</v>
      </c>
      <c r="N14" s="13">
        <v>8218</v>
      </c>
      <c r="O14" s="11">
        <v>1</v>
      </c>
      <c r="P14" s="11">
        <v>3</v>
      </c>
      <c r="Q14" s="13">
        <f>K14+N14</f>
        <v>17922</v>
      </c>
      <c r="R14" s="11">
        <f>L14+O14</f>
        <v>1</v>
      </c>
      <c r="S14" s="11">
        <f>M14+P14</f>
        <v>7</v>
      </c>
      <c r="T14" s="8">
        <f>I14-Q14</f>
        <v>-10801.02</v>
      </c>
      <c r="U14" s="18">
        <v>7.5400075667483538E-2</v>
      </c>
      <c r="V14" s="11">
        <v>0.43</v>
      </c>
      <c r="W14" s="11">
        <v>6</v>
      </c>
      <c r="X14" s="11">
        <v>8</v>
      </c>
      <c r="Y14" s="11">
        <v>2</v>
      </c>
    </row>
    <row r="15" spans="1:26" x14ac:dyDescent="0.25">
      <c r="A15" s="20" t="s">
        <v>420</v>
      </c>
      <c r="B15" s="20" t="s">
        <v>60</v>
      </c>
      <c r="C15" s="20" t="s">
        <v>421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>
        <v>0.62674093533783659</v>
      </c>
      <c r="V15" s="11">
        <v>0</v>
      </c>
      <c r="W15" s="11">
        <v>0</v>
      </c>
      <c r="X15" s="11">
        <v>1</v>
      </c>
      <c r="Y15" s="11">
        <v>0</v>
      </c>
    </row>
    <row r="16" spans="1:26" x14ac:dyDescent="0.25">
      <c r="A16" s="20" t="s">
        <v>422</v>
      </c>
      <c r="B16" s="20" t="s">
        <v>241</v>
      </c>
      <c r="C16" s="20" t="s">
        <v>423</v>
      </c>
      <c r="D16" s="20" t="s">
        <v>216</v>
      </c>
      <c r="E16" s="13">
        <v>7659</v>
      </c>
      <c r="F16" s="11">
        <v>0</v>
      </c>
      <c r="G16" s="13">
        <v>18519.939999999999</v>
      </c>
      <c r="H16" s="11">
        <v>2</v>
      </c>
      <c r="I16" s="13">
        <f>E16+G16</f>
        <v>26178.94</v>
      </c>
      <c r="J16" s="11">
        <f>F16+H16</f>
        <v>2</v>
      </c>
      <c r="K16" s="13">
        <v>7168</v>
      </c>
      <c r="L16" s="11">
        <v>0</v>
      </c>
      <c r="M16" s="11">
        <v>0</v>
      </c>
      <c r="N16" s="13">
        <v>14966</v>
      </c>
      <c r="O16" s="11">
        <v>2</v>
      </c>
      <c r="P16" s="11">
        <v>4</v>
      </c>
      <c r="Q16" s="13">
        <f>K16+N16</f>
        <v>22134</v>
      </c>
      <c r="R16" s="11">
        <f>L16+O16</f>
        <v>2</v>
      </c>
      <c r="S16" s="11">
        <f>M16+P16</f>
        <v>4</v>
      </c>
      <c r="T16" s="8">
        <f>I16-Q16</f>
        <v>4044.9399999999987</v>
      </c>
      <c r="U16" s="18">
        <v>-2.6564494410516459E-2</v>
      </c>
      <c r="V16" s="11">
        <v>0.36</v>
      </c>
      <c r="W16" s="11">
        <v>4</v>
      </c>
      <c r="X16" s="11">
        <v>7</v>
      </c>
      <c r="Y16" s="11">
        <v>1</v>
      </c>
    </row>
    <row r="17" spans="1:25" x14ac:dyDescent="0.25">
      <c r="A17" s="20" t="s">
        <v>424</v>
      </c>
      <c r="B17" s="20" t="s">
        <v>425</v>
      </c>
      <c r="C17" s="20" t="s">
        <v>426</v>
      </c>
      <c r="D17" s="20" t="s">
        <v>216</v>
      </c>
      <c r="E17" s="13">
        <v>21430</v>
      </c>
      <c r="F17" s="11">
        <v>2</v>
      </c>
      <c r="G17" s="13">
        <v>13754</v>
      </c>
      <c r="H17" s="11">
        <v>1</v>
      </c>
      <c r="I17" s="13">
        <f>E17+G17</f>
        <v>35184</v>
      </c>
      <c r="J17" s="11">
        <f>F17+H17</f>
        <v>3</v>
      </c>
      <c r="K17" s="13">
        <v>14146</v>
      </c>
      <c r="L17" s="11">
        <v>0</v>
      </c>
      <c r="M17" s="11">
        <v>0</v>
      </c>
      <c r="N17" s="13">
        <v>0</v>
      </c>
      <c r="O17" s="11">
        <v>0</v>
      </c>
      <c r="P17" s="11">
        <v>0</v>
      </c>
      <c r="Q17" s="13">
        <f>K17+N17</f>
        <v>14146</v>
      </c>
      <c r="R17" s="11">
        <f>L17+O17</f>
        <v>0</v>
      </c>
      <c r="S17" s="11">
        <f>M17+P17</f>
        <v>0</v>
      </c>
      <c r="T17" s="8">
        <f>I17-Q17</f>
        <v>21038</v>
      </c>
      <c r="U17" s="18">
        <v>0.46975105055711824</v>
      </c>
      <c r="V17" s="11">
        <v>0.38</v>
      </c>
      <c r="W17" s="11">
        <v>3</v>
      </c>
      <c r="X17" s="11">
        <v>5</v>
      </c>
      <c r="Y17" s="11">
        <v>1</v>
      </c>
    </row>
    <row r="18" spans="1:25" x14ac:dyDescent="0.25">
      <c r="A18" s="20" t="s">
        <v>435</v>
      </c>
      <c r="B18" s="20" t="s">
        <v>91</v>
      </c>
      <c r="C18" s="20" t="s">
        <v>436</v>
      </c>
      <c r="D18" s="20" t="s">
        <v>216</v>
      </c>
      <c r="E18" s="13">
        <v>33469.25</v>
      </c>
      <c r="F18" s="11">
        <v>1</v>
      </c>
      <c r="G18" s="13">
        <v>25853.02</v>
      </c>
      <c r="H18" s="11">
        <v>0</v>
      </c>
      <c r="I18" s="13">
        <f>E18+G18</f>
        <v>59322.270000000004</v>
      </c>
      <c r="J18" s="11">
        <f>F18+H18</f>
        <v>1</v>
      </c>
      <c r="K18" s="13">
        <v>39055.25</v>
      </c>
      <c r="L18" s="11">
        <v>0</v>
      </c>
      <c r="M18" s="11">
        <v>0</v>
      </c>
      <c r="N18" s="13">
        <v>18812.650000000001</v>
      </c>
      <c r="O18" s="11">
        <v>2</v>
      </c>
      <c r="P18" s="11">
        <v>4</v>
      </c>
      <c r="Q18" s="13">
        <f>K18+N18</f>
        <v>57867.9</v>
      </c>
      <c r="R18" s="11">
        <f>L18+O18</f>
        <v>2</v>
      </c>
      <c r="S18" s="11">
        <f>M18+P18</f>
        <v>4</v>
      </c>
      <c r="T18" s="8">
        <f>I18-Q18</f>
        <v>1454.3700000000026</v>
      </c>
      <c r="U18" s="18">
        <v>7.6156199407198477E-2</v>
      </c>
      <c r="V18" s="11">
        <v>0.25</v>
      </c>
      <c r="W18" s="11">
        <v>3</v>
      </c>
      <c r="X18" s="11">
        <v>9</v>
      </c>
      <c r="Y18" s="11">
        <v>5</v>
      </c>
    </row>
    <row r="19" spans="1:25" x14ac:dyDescent="0.25">
      <c r="A19" s="20" t="s">
        <v>437</v>
      </c>
      <c r="B19" s="20" t="s">
        <v>519</v>
      </c>
      <c r="C19" s="20" t="s">
        <v>3410</v>
      </c>
      <c r="D19" s="20" t="s">
        <v>215</v>
      </c>
      <c r="E19" s="13">
        <v>0</v>
      </c>
      <c r="F19" s="11">
        <v>0</v>
      </c>
      <c r="G19" s="13">
        <v>0</v>
      </c>
      <c r="H19" s="11">
        <v>0</v>
      </c>
      <c r="I19" s="13">
        <f>E19+G19</f>
        <v>0</v>
      </c>
      <c r="J19" s="11">
        <f>F19+H19</f>
        <v>0</v>
      </c>
      <c r="K19" s="13">
        <v>2916.5</v>
      </c>
      <c r="L19" s="11">
        <v>0</v>
      </c>
      <c r="M19" s="11">
        <v>0</v>
      </c>
      <c r="N19" s="13">
        <v>0</v>
      </c>
      <c r="O19" s="11">
        <v>0</v>
      </c>
      <c r="P19" s="11">
        <v>0</v>
      </c>
      <c r="Q19" s="13">
        <f>K19+N19</f>
        <v>2916.5</v>
      </c>
      <c r="R19" s="11">
        <f>L19+O19</f>
        <v>0</v>
      </c>
      <c r="S19" s="11">
        <f>M19+P19</f>
        <v>0</v>
      </c>
      <c r="T19" s="8">
        <f>I19-Q19</f>
        <v>-2916.5</v>
      </c>
      <c r="U19" s="18" t="s">
        <v>1803</v>
      </c>
      <c r="V19" s="11">
        <v>0</v>
      </c>
      <c r="W19" s="11">
        <v>0</v>
      </c>
      <c r="X19" s="11">
        <v>0</v>
      </c>
      <c r="Y19" s="11">
        <v>0</v>
      </c>
    </row>
    <row r="20" spans="1:25" x14ac:dyDescent="0.25">
      <c r="A20" s="20" t="s">
        <v>439</v>
      </c>
      <c r="B20" s="20" t="s">
        <v>91</v>
      </c>
      <c r="C20" s="20" t="s">
        <v>440</v>
      </c>
      <c r="D20" s="20" t="s">
        <v>216</v>
      </c>
      <c r="E20" s="13">
        <v>18307</v>
      </c>
      <c r="F20" s="11">
        <v>1</v>
      </c>
      <c r="G20" s="13">
        <v>0</v>
      </c>
      <c r="H20" s="11">
        <v>0</v>
      </c>
      <c r="I20" s="13">
        <f>E20+G20</f>
        <v>18307</v>
      </c>
      <c r="J20" s="11">
        <f>F20+H20</f>
        <v>1</v>
      </c>
      <c r="K20" s="13">
        <v>12396</v>
      </c>
      <c r="L20" s="11">
        <v>0</v>
      </c>
      <c r="M20" s="11">
        <v>1</v>
      </c>
      <c r="N20" s="13">
        <v>0</v>
      </c>
      <c r="O20" s="11">
        <v>0</v>
      </c>
      <c r="P20" s="11">
        <v>0</v>
      </c>
      <c r="Q20" s="13">
        <f>K20+N20</f>
        <v>12396</v>
      </c>
      <c r="R20" s="11">
        <f>L20+O20</f>
        <v>0</v>
      </c>
      <c r="S20" s="11">
        <f>M20+P20</f>
        <v>1</v>
      </c>
      <c r="T20" s="8">
        <f>I20-Q20</f>
        <v>5911</v>
      </c>
      <c r="U20" s="18">
        <v>-7.0207661869393923E-3</v>
      </c>
      <c r="V20" s="11">
        <v>0.38</v>
      </c>
      <c r="W20" s="11">
        <v>3</v>
      </c>
      <c r="X20" s="11">
        <v>5</v>
      </c>
      <c r="Y20" s="11">
        <v>0</v>
      </c>
    </row>
    <row r="21" spans="1:25" x14ac:dyDescent="0.25">
      <c r="A21" s="20" t="s">
        <v>443</v>
      </c>
      <c r="B21" s="20" t="s">
        <v>124</v>
      </c>
      <c r="C21" s="20" t="s">
        <v>444</v>
      </c>
      <c r="D21" s="20" t="s">
        <v>216</v>
      </c>
      <c r="E21" s="13">
        <v>22740.45</v>
      </c>
      <c r="F21" s="11">
        <v>0</v>
      </c>
      <c r="G21" s="13">
        <v>26584.75</v>
      </c>
      <c r="H21" s="11">
        <v>0</v>
      </c>
      <c r="I21" s="13">
        <f>E21+G21</f>
        <v>49325.2</v>
      </c>
      <c r="J21" s="11">
        <f>F21+H21</f>
        <v>0</v>
      </c>
      <c r="K21" s="13">
        <v>22557</v>
      </c>
      <c r="L21" s="11">
        <v>0</v>
      </c>
      <c r="M21" s="11">
        <v>2</v>
      </c>
      <c r="N21" s="13">
        <v>11847.05</v>
      </c>
      <c r="O21" s="11">
        <v>0</v>
      </c>
      <c r="P21" s="11">
        <v>0</v>
      </c>
      <c r="Q21" s="13">
        <f>K21+N21</f>
        <v>34404.050000000003</v>
      </c>
      <c r="R21" s="11">
        <f>L21+O21</f>
        <v>0</v>
      </c>
      <c r="S21" s="11">
        <f>M21+P21</f>
        <v>2</v>
      </c>
      <c r="T21" s="8">
        <f>I21-Q21</f>
        <v>14921.149999999994</v>
      </c>
      <c r="U21" s="18">
        <v>0.22511370653270535</v>
      </c>
      <c r="V21" s="11">
        <v>0.4</v>
      </c>
      <c r="W21" s="11">
        <v>2</v>
      </c>
      <c r="X21" s="11">
        <v>3</v>
      </c>
      <c r="Y21" s="11">
        <v>0</v>
      </c>
    </row>
    <row r="22" spans="1:25" x14ac:dyDescent="0.25">
      <c r="A22" s="20" t="s">
        <v>445</v>
      </c>
      <c r="B22" s="20" t="s">
        <v>91</v>
      </c>
      <c r="C22" s="20" t="s">
        <v>389</v>
      </c>
      <c r="D22" s="20" t="s">
        <v>216</v>
      </c>
      <c r="E22" s="13">
        <v>54065.65</v>
      </c>
      <c r="F22" s="11">
        <v>4</v>
      </c>
      <c r="G22" s="13">
        <v>48028</v>
      </c>
      <c r="H22" s="11">
        <v>1</v>
      </c>
      <c r="I22" s="13">
        <f>E22+G22</f>
        <v>102093.65</v>
      </c>
      <c r="J22" s="11">
        <f>F22+H22</f>
        <v>5</v>
      </c>
      <c r="K22" s="13">
        <v>104579.25</v>
      </c>
      <c r="L22" s="11">
        <v>1</v>
      </c>
      <c r="M22" s="11">
        <v>6</v>
      </c>
      <c r="N22" s="13">
        <v>57407.75</v>
      </c>
      <c r="O22" s="11">
        <v>0</v>
      </c>
      <c r="P22" s="11">
        <v>0</v>
      </c>
      <c r="Q22" s="13">
        <f>K22+N22</f>
        <v>161987</v>
      </c>
      <c r="R22" s="11">
        <f>L22+O22</f>
        <v>1</v>
      </c>
      <c r="S22" s="11">
        <f>M22+P22</f>
        <v>6</v>
      </c>
      <c r="T22" s="8">
        <f>I22-Q22</f>
        <v>-59893.350000000006</v>
      </c>
      <c r="U22" s="18">
        <v>0.30376199055808267</v>
      </c>
      <c r="V22" s="11">
        <v>0.36</v>
      </c>
      <c r="W22" s="11">
        <v>10</v>
      </c>
      <c r="X22" s="11">
        <v>18</v>
      </c>
      <c r="Y22" s="11">
        <v>1</v>
      </c>
    </row>
    <row r="23" spans="1:25" x14ac:dyDescent="0.25">
      <c r="A23" s="20" t="s">
        <v>449</v>
      </c>
      <c r="B23" s="20" t="s">
        <v>241</v>
      </c>
      <c r="C23" s="20" t="s">
        <v>1196</v>
      </c>
      <c r="D23" s="20" t="s">
        <v>215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5883</v>
      </c>
      <c r="L23" s="11">
        <v>0</v>
      </c>
      <c r="M23" s="11">
        <v>0</v>
      </c>
      <c r="N23" s="13">
        <v>1319.95</v>
      </c>
      <c r="O23" s="11">
        <v>0</v>
      </c>
      <c r="P23" s="11">
        <v>0</v>
      </c>
      <c r="Q23" s="13">
        <f>K23+N23</f>
        <v>7202.95</v>
      </c>
      <c r="R23" s="11">
        <f>L23+O23</f>
        <v>0</v>
      </c>
      <c r="S23" s="11">
        <f>M23+P23</f>
        <v>0</v>
      </c>
      <c r="T23" s="8">
        <f>I23-Q23</f>
        <v>-7202.95</v>
      </c>
      <c r="U23" s="18" t="s">
        <v>1803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450</v>
      </c>
      <c r="B24" s="20" t="s">
        <v>83</v>
      </c>
      <c r="C24" s="20" t="s">
        <v>451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>
        <v>0.3864759096528535</v>
      </c>
      <c r="V24" s="11">
        <v>0</v>
      </c>
      <c r="W24" s="11">
        <v>0</v>
      </c>
      <c r="X24" s="11">
        <v>3</v>
      </c>
      <c r="Y24" s="11">
        <v>0</v>
      </c>
    </row>
    <row r="25" spans="1:25" x14ac:dyDescent="0.25">
      <c r="A25" s="20" t="s">
        <v>455</v>
      </c>
      <c r="B25" s="20" t="s">
        <v>455</v>
      </c>
      <c r="C25" s="20" t="s">
        <v>456</v>
      </c>
      <c r="D25" s="20" t="s">
        <v>216</v>
      </c>
      <c r="E25" s="13">
        <v>5779</v>
      </c>
      <c r="F25" s="11">
        <v>0</v>
      </c>
      <c r="G25" s="13">
        <v>0</v>
      </c>
      <c r="H25" s="11">
        <v>0</v>
      </c>
      <c r="I25" s="13">
        <f>E25+G25</f>
        <v>5779</v>
      </c>
      <c r="J25" s="11">
        <f>F25+H25</f>
        <v>0</v>
      </c>
      <c r="K25" s="13">
        <v>5093</v>
      </c>
      <c r="L25" s="11">
        <v>0</v>
      </c>
      <c r="M25" s="11">
        <v>0</v>
      </c>
      <c r="N25" s="13">
        <v>0</v>
      </c>
      <c r="O25" s="11">
        <v>0</v>
      </c>
      <c r="P25" s="11">
        <v>0</v>
      </c>
      <c r="Q25" s="13">
        <f>K25+N25</f>
        <v>5093</v>
      </c>
      <c r="R25" s="11">
        <f>L25+O25</f>
        <v>0</v>
      </c>
      <c r="S25" s="11">
        <f>M25+P25</f>
        <v>0</v>
      </c>
      <c r="T25" s="8">
        <f>I25-Q25</f>
        <v>686</v>
      </c>
      <c r="U25" s="18">
        <v>-7.1222199978810061E-3</v>
      </c>
      <c r="V25" s="11">
        <v>0</v>
      </c>
      <c r="W25" s="11">
        <v>0</v>
      </c>
      <c r="X25" s="11">
        <v>1</v>
      </c>
      <c r="Y25" s="11">
        <v>0</v>
      </c>
    </row>
    <row r="26" spans="1:25" x14ac:dyDescent="0.25">
      <c r="A26" s="20" t="s">
        <v>457</v>
      </c>
      <c r="B26" s="20" t="s">
        <v>60</v>
      </c>
      <c r="C26" s="20" t="s">
        <v>458</v>
      </c>
      <c r="D26" s="20" t="s">
        <v>216</v>
      </c>
      <c r="E26" s="13">
        <v>706</v>
      </c>
      <c r="F26" s="11">
        <v>0</v>
      </c>
      <c r="G26" s="13">
        <v>35858.5</v>
      </c>
      <c r="H26" s="11">
        <v>0</v>
      </c>
      <c r="I26" s="13">
        <f>E26+G26</f>
        <v>36564.5</v>
      </c>
      <c r="J26" s="11">
        <f>F26+H26</f>
        <v>0</v>
      </c>
      <c r="K26" s="13">
        <v>19681</v>
      </c>
      <c r="L26" s="11">
        <v>0</v>
      </c>
      <c r="M26" s="11">
        <v>0</v>
      </c>
      <c r="N26" s="13">
        <v>39925</v>
      </c>
      <c r="O26" s="11">
        <v>0</v>
      </c>
      <c r="P26" s="11">
        <v>1</v>
      </c>
      <c r="Q26" s="13">
        <f>K26+N26</f>
        <v>59606</v>
      </c>
      <c r="R26" s="11">
        <f>L26+O26</f>
        <v>0</v>
      </c>
      <c r="S26" s="11">
        <f>M26+P26</f>
        <v>1</v>
      </c>
      <c r="T26" s="8">
        <f>I26-Q26</f>
        <v>-23041.5</v>
      </c>
      <c r="U26" s="18">
        <v>0.25636629404640421</v>
      </c>
      <c r="V26" s="11">
        <v>0.25</v>
      </c>
      <c r="W26" s="11">
        <v>1</v>
      </c>
      <c r="X26" s="11">
        <v>3</v>
      </c>
      <c r="Y26" s="11">
        <v>0</v>
      </c>
    </row>
    <row r="27" spans="1:25" x14ac:dyDescent="0.25">
      <c r="A27" s="20" t="s">
        <v>58</v>
      </c>
      <c r="B27" s="20" t="s">
        <v>58</v>
      </c>
      <c r="C27" s="20" t="s">
        <v>461</v>
      </c>
      <c r="D27" s="20" t="s">
        <v>216</v>
      </c>
      <c r="E27" s="13">
        <v>1187</v>
      </c>
      <c r="F27" s="11">
        <v>0</v>
      </c>
      <c r="G27" s="13">
        <v>3024</v>
      </c>
      <c r="H27" s="11">
        <v>0</v>
      </c>
      <c r="I27" s="13">
        <f>E27+G27</f>
        <v>4211</v>
      </c>
      <c r="J27" s="11">
        <f>F27+H27</f>
        <v>0</v>
      </c>
      <c r="K27" s="13">
        <v>3598.9</v>
      </c>
      <c r="L27" s="11">
        <v>0</v>
      </c>
      <c r="M27" s="11">
        <v>1</v>
      </c>
      <c r="N27" s="13">
        <v>2746</v>
      </c>
      <c r="O27" s="11">
        <v>0</v>
      </c>
      <c r="P27" s="11">
        <v>0</v>
      </c>
      <c r="Q27" s="13">
        <f>K27+N27</f>
        <v>6344.9</v>
      </c>
      <c r="R27" s="11">
        <f>L27+O27</f>
        <v>0</v>
      </c>
      <c r="S27" s="11">
        <f>M27+P27</f>
        <v>1</v>
      </c>
      <c r="T27" s="8">
        <f>I27-Q27</f>
        <v>-2133.8999999999996</v>
      </c>
      <c r="U27" s="18">
        <v>1.2333193718380491E-2</v>
      </c>
      <c r="V27" s="11">
        <v>0.14000000000000001</v>
      </c>
      <c r="W27" s="11">
        <v>1</v>
      </c>
      <c r="X27" s="11">
        <v>6</v>
      </c>
      <c r="Y27" s="11">
        <v>6</v>
      </c>
    </row>
    <row r="28" spans="1:25" x14ac:dyDescent="0.25">
      <c r="A28" s="20" t="s">
        <v>463</v>
      </c>
      <c r="B28" s="20" t="s">
        <v>124</v>
      </c>
      <c r="C28" s="20" t="s">
        <v>464</v>
      </c>
      <c r="D28" s="20" t="s">
        <v>216</v>
      </c>
      <c r="E28" s="13">
        <v>24974</v>
      </c>
      <c r="F28" s="11">
        <v>0</v>
      </c>
      <c r="G28" s="13">
        <v>0</v>
      </c>
      <c r="H28" s="11">
        <v>0</v>
      </c>
      <c r="I28" s="13">
        <f>E28+G28</f>
        <v>24974</v>
      </c>
      <c r="J28" s="11">
        <f>F28+H28</f>
        <v>0</v>
      </c>
      <c r="K28" s="13">
        <v>21890</v>
      </c>
      <c r="L28" s="11">
        <v>0</v>
      </c>
      <c r="M28" s="11">
        <v>1</v>
      </c>
      <c r="N28" s="13">
        <v>0</v>
      </c>
      <c r="O28" s="11">
        <v>0</v>
      </c>
      <c r="P28" s="11">
        <v>7</v>
      </c>
      <c r="Q28" s="13">
        <f>K28+N28</f>
        <v>21890</v>
      </c>
      <c r="R28" s="11">
        <f>L28+O28</f>
        <v>0</v>
      </c>
      <c r="S28" s="11">
        <f>M28+P28</f>
        <v>8</v>
      </c>
      <c r="T28" s="8">
        <f>I28-Q28</f>
        <v>3084</v>
      </c>
      <c r="U28" s="18">
        <v>1.2087105377884222</v>
      </c>
      <c r="V28" s="11">
        <v>0.32</v>
      </c>
      <c r="W28" s="11">
        <v>8</v>
      </c>
      <c r="X28" s="11">
        <v>17</v>
      </c>
      <c r="Y28" s="11">
        <v>0</v>
      </c>
    </row>
    <row r="29" spans="1:25" x14ac:dyDescent="0.25">
      <c r="A29" s="20" t="s">
        <v>465</v>
      </c>
      <c r="B29" s="20" t="s">
        <v>83</v>
      </c>
      <c r="C29" s="20" t="s">
        <v>466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1</v>
      </c>
      <c r="Q29" s="13">
        <f>K29+N29</f>
        <v>0</v>
      </c>
      <c r="R29" s="11">
        <f>L29+O29</f>
        <v>0</v>
      </c>
      <c r="S29" s="11">
        <f>M29+P29</f>
        <v>1</v>
      </c>
      <c r="T29" s="8">
        <f>I29-Q29</f>
        <v>0</v>
      </c>
      <c r="U29" s="18">
        <v>3.6883176064977763E-2</v>
      </c>
      <c r="V29" s="11">
        <v>0.33</v>
      </c>
      <c r="W29" s="11">
        <v>1</v>
      </c>
      <c r="X29" s="11">
        <v>2</v>
      </c>
      <c r="Y29" s="11">
        <v>0</v>
      </c>
    </row>
    <row r="30" spans="1:25" x14ac:dyDescent="0.25">
      <c r="A30" s="20" t="s">
        <v>104</v>
      </c>
      <c r="B30" s="20" t="s">
        <v>104</v>
      </c>
      <c r="C30" s="20" t="s">
        <v>1260</v>
      </c>
      <c r="D30" s="20" t="s">
        <v>216</v>
      </c>
      <c r="E30" s="13">
        <v>18303</v>
      </c>
      <c r="F30" s="11">
        <v>0</v>
      </c>
      <c r="G30" s="13">
        <v>0</v>
      </c>
      <c r="H30" s="11">
        <v>0</v>
      </c>
      <c r="I30" s="13">
        <f>E30+G30</f>
        <v>18303</v>
      </c>
      <c r="J30" s="11">
        <f>F30+H30</f>
        <v>0</v>
      </c>
      <c r="K30" s="13">
        <v>58435.199999999997</v>
      </c>
      <c r="L30" s="11">
        <v>1</v>
      </c>
      <c r="M30" s="11">
        <v>5</v>
      </c>
      <c r="N30" s="13">
        <v>0</v>
      </c>
      <c r="O30" s="11">
        <v>0</v>
      </c>
      <c r="P30" s="11">
        <v>0</v>
      </c>
      <c r="Q30" s="13">
        <f>K30+N30</f>
        <v>58435.199999999997</v>
      </c>
      <c r="R30" s="11">
        <f>L30+O30</f>
        <v>1</v>
      </c>
      <c r="S30" s="11">
        <f>M30+P30</f>
        <v>5</v>
      </c>
      <c r="T30" s="8">
        <f>I30-Q30</f>
        <v>-40132.199999999997</v>
      </c>
      <c r="U30" s="18">
        <v>0.10069239411762047</v>
      </c>
      <c r="V30" s="11">
        <v>0.18</v>
      </c>
      <c r="W30" s="11">
        <v>4</v>
      </c>
      <c r="X30" s="11">
        <v>18</v>
      </c>
      <c r="Y30" s="11">
        <v>11</v>
      </c>
    </row>
    <row r="31" spans="1:25" x14ac:dyDescent="0.25">
      <c r="A31" s="20" t="s">
        <v>474</v>
      </c>
      <c r="B31" s="20" t="s">
        <v>91</v>
      </c>
      <c r="C31" s="20" t="s">
        <v>3617</v>
      </c>
      <c r="D31" s="20" t="s">
        <v>215</v>
      </c>
      <c r="E31" s="13">
        <v>3944</v>
      </c>
      <c r="F31" s="11">
        <v>0</v>
      </c>
      <c r="G31" s="13">
        <v>0</v>
      </c>
      <c r="H31" s="11">
        <v>0</v>
      </c>
      <c r="I31" s="13">
        <f>E31+G31</f>
        <v>3944</v>
      </c>
      <c r="J31" s="11">
        <f>F31+H31</f>
        <v>0</v>
      </c>
      <c r="K31" s="13">
        <v>6344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6344</v>
      </c>
      <c r="R31" s="11">
        <f>L31+O31</f>
        <v>0</v>
      </c>
      <c r="S31" s="11">
        <f>M31+P31</f>
        <v>0</v>
      </c>
      <c r="T31" s="8">
        <f>I31-Q31</f>
        <v>-2400</v>
      </c>
      <c r="U31" s="18" t="s">
        <v>1803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475</v>
      </c>
      <c r="B32" s="20" t="s">
        <v>425</v>
      </c>
      <c r="C32" s="20" t="s">
        <v>476</v>
      </c>
      <c r="D32" s="20" t="s">
        <v>216</v>
      </c>
      <c r="E32" s="13">
        <v>9023</v>
      </c>
      <c r="F32" s="11">
        <v>1</v>
      </c>
      <c r="G32" s="13">
        <v>12483</v>
      </c>
      <c r="H32" s="11">
        <v>1</v>
      </c>
      <c r="I32" s="13">
        <f>E32+G32</f>
        <v>21506</v>
      </c>
      <c r="J32" s="11">
        <f>F32+H32</f>
        <v>2</v>
      </c>
      <c r="K32" s="13">
        <v>6662</v>
      </c>
      <c r="L32" s="11">
        <v>2</v>
      </c>
      <c r="M32" s="11">
        <v>5</v>
      </c>
      <c r="N32" s="13">
        <v>31915</v>
      </c>
      <c r="O32" s="11">
        <v>2</v>
      </c>
      <c r="P32" s="11">
        <v>8</v>
      </c>
      <c r="Q32" s="13">
        <f>K32+N32</f>
        <v>38577</v>
      </c>
      <c r="R32" s="11">
        <f>L32+O32</f>
        <v>4</v>
      </c>
      <c r="S32" s="11">
        <f>M32+P32</f>
        <v>13</v>
      </c>
      <c r="T32" s="8">
        <f>I32-Q32</f>
        <v>-17071</v>
      </c>
      <c r="U32" s="18">
        <v>2.9421160585402596E-2</v>
      </c>
      <c r="V32" s="11">
        <v>0.38</v>
      </c>
      <c r="W32" s="11">
        <v>11</v>
      </c>
      <c r="X32" s="11">
        <v>18</v>
      </c>
      <c r="Y32" s="11">
        <v>1</v>
      </c>
    </row>
    <row r="33" spans="1:25" x14ac:dyDescent="0.25">
      <c r="A33" s="20" t="s">
        <v>478</v>
      </c>
      <c r="B33" s="20" t="s">
        <v>366</v>
      </c>
      <c r="C33" s="20" t="s">
        <v>367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1</v>
      </c>
      <c r="Q33" s="13">
        <f>K33+N33</f>
        <v>0</v>
      </c>
      <c r="R33" s="11">
        <f>L33+O33</f>
        <v>0</v>
      </c>
      <c r="S33" s="11">
        <f>M33+P33</f>
        <v>1</v>
      </c>
      <c r="T33" s="8">
        <f>I33-Q33</f>
        <v>0</v>
      </c>
      <c r="U33" s="18">
        <v>6.4161927230581534E-2</v>
      </c>
      <c r="V33" s="11">
        <v>0.14000000000000001</v>
      </c>
      <c r="W33" s="11">
        <v>1</v>
      </c>
      <c r="X33" s="11">
        <v>6</v>
      </c>
      <c r="Y33" s="11">
        <v>0</v>
      </c>
    </row>
    <row r="34" spans="1:25" x14ac:dyDescent="0.25">
      <c r="A34" s="20" t="s">
        <v>480</v>
      </c>
      <c r="B34" s="20" t="s">
        <v>1377</v>
      </c>
      <c r="C34" s="20" t="s">
        <v>482</v>
      </c>
      <c r="D34" s="20" t="s">
        <v>216</v>
      </c>
      <c r="E34" s="13">
        <v>1231</v>
      </c>
      <c r="F34" s="11">
        <v>1</v>
      </c>
      <c r="G34" s="13">
        <v>4242</v>
      </c>
      <c r="H34" s="11">
        <v>0</v>
      </c>
      <c r="I34" s="13">
        <f>E34+G34</f>
        <v>5473</v>
      </c>
      <c r="J34" s="11">
        <f>F34+H34</f>
        <v>1</v>
      </c>
      <c r="K34" s="13">
        <v>0</v>
      </c>
      <c r="L34" s="11">
        <v>0</v>
      </c>
      <c r="M34" s="11">
        <v>1</v>
      </c>
      <c r="N34" s="13">
        <v>11393.23</v>
      </c>
      <c r="O34" s="11">
        <v>0</v>
      </c>
      <c r="P34" s="11">
        <v>1</v>
      </c>
      <c r="Q34" s="13">
        <f>K34+N34</f>
        <v>11393.23</v>
      </c>
      <c r="R34" s="11">
        <f>L34+O34</f>
        <v>0</v>
      </c>
      <c r="S34" s="11">
        <f>M34+P34</f>
        <v>2</v>
      </c>
      <c r="T34" s="8">
        <f>I34-Q34</f>
        <v>-5920.23</v>
      </c>
      <c r="U34" s="18">
        <v>0.5985489235919973</v>
      </c>
      <c r="V34" s="11">
        <v>0.27</v>
      </c>
      <c r="W34" s="11">
        <v>3</v>
      </c>
      <c r="X34" s="11">
        <v>8</v>
      </c>
      <c r="Y34" s="11">
        <v>3</v>
      </c>
    </row>
    <row r="35" spans="1:25" x14ac:dyDescent="0.25">
      <c r="A35" s="20" t="s">
        <v>483</v>
      </c>
      <c r="B35" s="20" t="s">
        <v>3096</v>
      </c>
      <c r="C35" s="20" t="s">
        <v>484</v>
      </c>
      <c r="D35" s="20" t="s">
        <v>216</v>
      </c>
      <c r="E35" s="13">
        <v>3742</v>
      </c>
      <c r="F35" s="11">
        <v>0</v>
      </c>
      <c r="G35" s="13">
        <v>4370</v>
      </c>
      <c r="H35" s="11">
        <v>0</v>
      </c>
      <c r="I35" s="13">
        <f>E35+G35</f>
        <v>8112</v>
      </c>
      <c r="J35" s="11">
        <f>F35+H35</f>
        <v>0</v>
      </c>
      <c r="K35" s="13">
        <v>3403</v>
      </c>
      <c r="L35" s="11">
        <v>0</v>
      </c>
      <c r="M35" s="11">
        <v>0</v>
      </c>
      <c r="N35" s="13">
        <v>3420</v>
      </c>
      <c r="O35" s="11">
        <v>0</v>
      </c>
      <c r="P35" s="11">
        <v>0</v>
      </c>
      <c r="Q35" s="13">
        <f>K35+N35</f>
        <v>6823</v>
      </c>
      <c r="R35" s="11">
        <f>L35+O35</f>
        <v>0</v>
      </c>
      <c r="S35" s="11">
        <f>M35+P35</f>
        <v>0</v>
      </c>
      <c r="T35" s="8">
        <f>I35-Q35</f>
        <v>1289</v>
      </c>
      <c r="U35" s="18">
        <v>2.2088801192615228E-2</v>
      </c>
      <c r="V35" s="11">
        <v>0</v>
      </c>
      <c r="W35" s="11">
        <v>0</v>
      </c>
      <c r="X35" s="11">
        <v>3</v>
      </c>
      <c r="Y35" s="11">
        <v>0</v>
      </c>
    </row>
    <row r="36" spans="1:25" x14ac:dyDescent="0.25">
      <c r="A36" s="20" t="s">
        <v>487</v>
      </c>
      <c r="B36" s="20" t="s">
        <v>91</v>
      </c>
      <c r="C36" s="20" t="s">
        <v>488</v>
      </c>
      <c r="D36" s="20" t="s">
        <v>216</v>
      </c>
      <c r="E36" s="13">
        <v>756</v>
      </c>
      <c r="F36" s="11">
        <v>0</v>
      </c>
      <c r="G36" s="13">
        <v>13001</v>
      </c>
      <c r="H36" s="11">
        <v>0</v>
      </c>
      <c r="I36" s="13">
        <f>E36+G36</f>
        <v>13757</v>
      </c>
      <c r="J36" s="11">
        <f>F36+H36</f>
        <v>0</v>
      </c>
      <c r="K36" s="13">
        <v>-3946.09</v>
      </c>
      <c r="L36" s="11">
        <v>0</v>
      </c>
      <c r="M36" s="11">
        <v>1</v>
      </c>
      <c r="N36" s="13">
        <v>13001</v>
      </c>
      <c r="O36" s="11">
        <v>0</v>
      </c>
      <c r="P36" s="11">
        <v>0</v>
      </c>
      <c r="Q36" s="13">
        <f>K36+N36</f>
        <v>9054.91</v>
      </c>
      <c r="R36" s="11">
        <f>L36+O36</f>
        <v>0</v>
      </c>
      <c r="S36" s="11">
        <f>M36+P36</f>
        <v>1</v>
      </c>
      <c r="T36" s="8">
        <f>I36-Q36</f>
        <v>4702.09</v>
      </c>
      <c r="U36" s="18">
        <v>0.45197498951981274</v>
      </c>
      <c r="V36" s="11">
        <v>0.5</v>
      </c>
      <c r="W36" s="11">
        <v>1</v>
      </c>
      <c r="X36" s="11">
        <v>1</v>
      </c>
      <c r="Y36" s="11">
        <v>0</v>
      </c>
    </row>
    <row r="37" spans="1:25" x14ac:dyDescent="0.25">
      <c r="A37" s="20" t="s">
        <v>490</v>
      </c>
      <c r="B37" s="20" t="s">
        <v>81</v>
      </c>
      <c r="C37" s="20" t="s">
        <v>491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0</v>
      </c>
      <c r="R37" s="11">
        <f>L37+O37</f>
        <v>0</v>
      </c>
      <c r="S37" s="11">
        <f>M37+P37</f>
        <v>0</v>
      </c>
      <c r="T37" s="8">
        <f>I37-Q37</f>
        <v>0</v>
      </c>
      <c r="U37" s="18" t="s">
        <v>1803</v>
      </c>
      <c r="V37" s="11">
        <v>0</v>
      </c>
      <c r="W37" s="11">
        <v>0</v>
      </c>
      <c r="X37" s="11">
        <v>0</v>
      </c>
      <c r="Y37" s="11">
        <v>0</v>
      </c>
    </row>
    <row r="38" spans="1:25" x14ac:dyDescent="0.25">
      <c r="A38" s="20" t="s">
        <v>492</v>
      </c>
      <c r="B38" s="20" t="s">
        <v>124</v>
      </c>
      <c r="C38" s="20" t="s">
        <v>438</v>
      </c>
      <c r="D38" s="20" t="s">
        <v>216</v>
      </c>
      <c r="E38" s="13">
        <v>0</v>
      </c>
      <c r="F38" s="11">
        <v>0</v>
      </c>
      <c r="G38" s="13">
        <v>17913</v>
      </c>
      <c r="H38" s="11">
        <v>0</v>
      </c>
      <c r="I38" s="13">
        <f>E38+G38</f>
        <v>17913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16235</v>
      </c>
      <c r="O38" s="11">
        <v>0</v>
      </c>
      <c r="P38" s="11">
        <v>0</v>
      </c>
      <c r="Q38" s="13">
        <f>K38+N38</f>
        <v>16235</v>
      </c>
      <c r="R38" s="11">
        <f>L38+O38</f>
        <v>0</v>
      </c>
      <c r="S38" s="11">
        <f>M38+P38</f>
        <v>0</v>
      </c>
      <c r="T38" s="8">
        <f>I38-Q38</f>
        <v>1678</v>
      </c>
      <c r="U38" s="18">
        <v>7.330505959494682E-2</v>
      </c>
      <c r="V38" s="11">
        <v>0</v>
      </c>
      <c r="W38" s="11">
        <v>0</v>
      </c>
      <c r="X38" s="11">
        <v>3</v>
      </c>
      <c r="Y38" s="11">
        <v>0</v>
      </c>
    </row>
    <row r="39" spans="1:25" x14ac:dyDescent="0.25">
      <c r="A39" s="20" t="s">
        <v>495</v>
      </c>
      <c r="B39" s="20" t="s">
        <v>58</v>
      </c>
      <c r="C39" s="20" t="s">
        <v>496</v>
      </c>
      <c r="D39" s="20" t="s">
        <v>216</v>
      </c>
      <c r="E39" s="13">
        <v>7168</v>
      </c>
      <c r="F39" s="11">
        <v>0</v>
      </c>
      <c r="G39" s="13">
        <v>1491</v>
      </c>
      <c r="H39" s="11">
        <v>0</v>
      </c>
      <c r="I39" s="13">
        <f>E39+G39</f>
        <v>8659</v>
      </c>
      <c r="J39" s="11">
        <f>F39+H39</f>
        <v>0</v>
      </c>
      <c r="K39" s="13">
        <v>0</v>
      </c>
      <c r="L39" s="11">
        <v>0</v>
      </c>
      <c r="M39" s="11">
        <v>1</v>
      </c>
      <c r="N39" s="13">
        <v>-683.84</v>
      </c>
      <c r="O39" s="11">
        <v>0</v>
      </c>
      <c r="P39" s="11">
        <v>0</v>
      </c>
      <c r="Q39" s="13">
        <f>K39+N39</f>
        <v>-683.84</v>
      </c>
      <c r="R39" s="11">
        <f>L39+O39</f>
        <v>0</v>
      </c>
      <c r="S39" s="11">
        <f>M39+P39</f>
        <v>1</v>
      </c>
      <c r="T39" s="8">
        <f>I39-Q39</f>
        <v>9342.84</v>
      </c>
      <c r="U39" s="18">
        <v>-2.1131133907239044E-2</v>
      </c>
      <c r="V39" s="11">
        <v>0.33</v>
      </c>
      <c r="W39" s="11">
        <v>1</v>
      </c>
      <c r="X39" s="11">
        <v>2</v>
      </c>
      <c r="Y39" s="11">
        <v>0</v>
      </c>
    </row>
    <row r="40" spans="1:25" x14ac:dyDescent="0.25">
      <c r="A40" s="20" t="s">
        <v>503</v>
      </c>
      <c r="B40" s="20" t="s">
        <v>60</v>
      </c>
      <c r="C40" s="20" t="s">
        <v>504</v>
      </c>
      <c r="D40" s="20" t="s">
        <v>216</v>
      </c>
      <c r="E40" s="13">
        <v>0</v>
      </c>
      <c r="F40" s="11">
        <v>0</v>
      </c>
      <c r="G40" s="13">
        <v>53719.23</v>
      </c>
      <c r="H40" s="11">
        <v>2</v>
      </c>
      <c r="I40" s="13">
        <f>E40+G40</f>
        <v>53719.23</v>
      </c>
      <c r="J40" s="11">
        <f>F40+H40</f>
        <v>2</v>
      </c>
      <c r="K40" s="13">
        <v>18644</v>
      </c>
      <c r="L40" s="11">
        <v>0</v>
      </c>
      <c r="M40" s="11">
        <v>0</v>
      </c>
      <c r="N40" s="13">
        <v>48046.49</v>
      </c>
      <c r="O40" s="11">
        <v>5</v>
      </c>
      <c r="P40" s="11">
        <v>20</v>
      </c>
      <c r="Q40" s="13">
        <f>K40+N40</f>
        <v>66690.489999999991</v>
      </c>
      <c r="R40" s="11">
        <f>L40+O40</f>
        <v>5</v>
      </c>
      <c r="S40" s="11">
        <f>M40+P40</f>
        <v>20</v>
      </c>
      <c r="T40" s="8">
        <f>I40-Q40</f>
        <v>-12971.259999999987</v>
      </c>
      <c r="U40" s="18">
        <v>2.7836550073775456E-2</v>
      </c>
      <c r="V40" s="11">
        <v>0.21</v>
      </c>
      <c r="W40" s="11">
        <v>17</v>
      </c>
      <c r="X40" s="11">
        <v>63</v>
      </c>
      <c r="Y40" s="11">
        <v>1</v>
      </c>
    </row>
    <row r="41" spans="1:25" x14ac:dyDescent="0.25">
      <c r="A41" s="20" t="s">
        <v>508</v>
      </c>
      <c r="B41" s="20" t="s">
        <v>58</v>
      </c>
      <c r="C41" s="20" t="s">
        <v>509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 t="s">
        <v>1803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295</v>
      </c>
      <c r="B42" s="20" t="s">
        <v>295</v>
      </c>
      <c r="C42" s="20" t="s">
        <v>3351</v>
      </c>
      <c r="D42" s="20" t="s">
        <v>216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0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0</v>
      </c>
      <c r="R42" s="11">
        <f>L42+O42</f>
        <v>0</v>
      </c>
      <c r="S42" s="11">
        <f>M42+P42</f>
        <v>0</v>
      </c>
      <c r="T42" s="8">
        <f>I42-Q42</f>
        <v>0</v>
      </c>
      <c r="U42" s="18">
        <v>0.18260891633015336</v>
      </c>
      <c r="V42" s="11">
        <v>0</v>
      </c>
      <c r="W42" s="11">
        <v>0</v>
      </c>
      <c r="X42" s="11">
        <v>0</v>
      </c>
      <c r="Y42" s="11">
        <v>1</v>
      </c>
    </row>
    <row r="43" spans="1:25" x14ac:dyDescent="0.25">
      <c r="A43" s="20" t="s">
        <v>520</v>
      </c>
      <c r="B43" s="20" t="s">
        <v>459</v>
      </c>
      <c r="C43" s="20" t="s">
        <v>460</v>
      </c>
      <c r="D43" s="20" t="s">
        <v>216</v>
      </c>
      <c r="E43" s="13">
        <v>0</v>
      </c>
      <c r="F43" s="11">
        <v>0</v>
      </c>
      <c r="G43" s="13">
        <v>2328.08</v>
      </c>
      <c r="H43" s="11">
        <v>0</v>
      </c>
      <c r="I43" s="13">
        <f>E43+G43</f>
        <v>2328.08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21577</v>
      </c>
      <c r="O43" s="11">
        <v>1</v>
      </c>
      <c r="P43" s="11">
        <v>1</v>
      </c>
      <c r="Q43" s="13">
        <f>K43+N43</f>
        <v>21577</v>
      </c>
      <c r="R43" s="11">
        <f>L43+O43</f>
        <v>1</v>
      </c>
      <c r="S43" s="11">
        <f>M43+P43</f>
        <v>1</v>
      </c>
      <c r="T43" s="8">
        <f>I43-Q43</f>
        <v>-19248.919999999998</v>
      </c>
      <c r="U43" s="18">
        <v>5.6987820305619294</v>
      </c>
      <c r="V43" s="11">
        <v>0</v>
      </c>
      <c r="W43" s="11">
        <v>0</v>
      </c>
      <c r="X43" s="11">
        <v>1</v>
      </c>
      <c r="Y43" s="11">
        <v>0</v>
      </c>
    </row>
    <row r="44" spans="1:25" x14ac:dyDescent="0.25">
      <c r="A44" s="20" t="s">
        <v>522</v>
      </c>
      <c r="B44" s="20" t="s">
        <v>60</v>
      </c>
      <c r="C44" s="20" t="s">
        <v>523</v>
      </c>
      <c r="D44" s="20" t="s">
        <v>216</v>
      </c>
      <c r="E44" s="13">
        <v>0</v>
      </c>
      <c r="F44" s="11">
        <v>0</v>
      </c>
      <c r="G44" s="13">
        <v>6642</v>
      </c>
      <c r="H44" s="11">
        <v>1</v>
      </c>
      <c r="I44" s="13">
        <f>E44+G44</f>
        <v>6642</v>
      </c>
      <c r="J44" s="11">
        <f>F44+H44</f>
        <v>1</v>
      </c>
      <c r="K44" s="13">
        <v>0</v>
      </c>
      <c r="L44" s="11">
        <v>0</v>
      </c>
      <c r="M44" s="11">
        <v>0</v>
      </c>
      <c r="N44" s="13">
        <v>849.25</v>
      </c>
      <c r="O44" s="11">
        <v>0</v>
      </c>
      <c r="P44" s="11">
        <v>2</v>
      </c>
      <c r="Q44" s="13">
        <f>K44+N44</f>
        <v>849.25</v>
      </c>
      <c r="R44" s="11">
        <f>L44+O44</f>
        <v>0</v>
      </c>
      <c r="S44" s="11">
        <f>M44+P44</f>
        <v>2</v>
      </c>
      <c r="T44" s="8">
        <f>I44-Q44</f>
        <v>5792.75</v>
      </c>
      <c r="U44" s="18">
        <v>2.0195641907467591E-2</v>
      </c>
      <c r="V44" s="11">
        <v>0.6</v>
      </c>
      <c r="W44" s="11">
        <v>3</v>
      </c>
      <c r="X44" s="11">
        <v>2</v>
      </c>
      <c r="Y44" s="11">
        <v>0</v>
      </c>
    </row>
    <row r="45" spans="1:25" x14ac:dyDescent="0.25">
      <c r="A45" s="20" t="s">
        <v>527</v>
      </c>
      <c r="B45" s="20" t="s">
        <v>60</v>
      </c>
      <c r="C45" s="20" t="s">
        <v>528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0</v>
      </c>
      <c r="L45" s="11">
        <v>0</v>
      </c>
      <c r="M45" s="11">
        <v>0</v>
      </c>
      <c r="N45" s="13">
        <v>0</v>
      </c>
      <c r="O45" s="11">
        <v>0</v>
      </c>
      <c r="P45" s="11">
        <v>0</v>
      </c>
      <c r="Q45" s="13">
        <f>K45+N45</f>
        <v>0</v>
      </c>
      <c r="R45" s="11">
        <f>L45+O45</f>
        <v>0</v>
      </c>
      <c r="S45" s="11">
        <f>M45+P45</f>
        <v>0</v>
      </c>
      <c r="T45" s="8">
        <f>I45-Q45</f>
        <v>0</v>
      </c>
      <c r="U45" s="18" t="s">
        <v>1803</v>
      </c>
      <c r="V45" s="11">
        <v>0</v>
      </c>
      <c r="W45" s="11">
        <v>0</v>
      </c>
      <c r="X45" s="11">
        <v>0</v>
      </c>
      <c r="Y45" s="11">
        <v>0</v>
      </c>
    </row>
    <row r="46" spans="1:25" x14ac:dyDescent="0.25">
      <c r="A46" s="20" t="s">
        <v>529</v>
      </c>
      <c r="B46" s="20" t="s">
        <v>91</v>
      </c>
      <c r="C46" s="20" t="s">
        <v>530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 t="s">
        <v>1803</v>
      </c>
      <c r="V46" s="11">
        <v>0</v>
      </c>
      <c r="W46" s="11">
        <v>0</v>
      </c>
      <c r="X46" s="11">
        <v>0</v>
      </c>
      <c r="Y46" s="11">
        <v>0</v>
      </c>
    </row>
    <row r="47" spans="1:25" x14ac:dyDescent="0.25">
      <c r="A47" s="20" t="s">
        <v>407</v>
      </c>
      <c r="B47" s="20" t="s">
        <v>407</v>
      </c>
      <c r="C47" s="20" t="s">
        <v>531</v>
      </c>
      <c r="D47" s="20" t="s">
        <v>216</v>
      </c>
      <c r="E47" s="13">
        <v>13390.27</v>
      </c>
      <c r="F47" s="11">
        <v>0</v>
      </c>
      <c r="G47" s="13">
        <v>11174.27</v>
      </c>
      <c r="H47" s="11">
        <v>0</v>
      </c>
      <c r="I47" s="13">
        <f>E47+G47</f>
        <v>24564.54</v>
      </c>
      <c r="J47" s="11">
        <f>F47+H47</f>
        <v>0</v>
      </c>
      <c r="K47" s="13">
        <v>15800.25</v>
      </c>
      <c r="L47" s="11">
        <v>0</v>
      </c>
      <c r="M47" s="11">
        <v>2</v>
      </c>
      <c r="N47" s="13">
        <v>13220</v>
      </c>
      <c r="O47" s="11">
        <v>0</v>
      </c>
      <c r="P47" s="11">
        <v>0</v>
      </c>
      <c r="Q47" s="13">
        <f>K47+N47</f>
        <v>29020.25</v>
      </c>
      <c r="R47" s="11">
        <f>L47+O47</f>
        <v>0</v>
      </c>
      <c r="S47" s="11">
        <f>M47+P47</f>
        <v>2</v>
      </c>
      <c r="T47" s="8">
        <f>I47-Q47</f>
        <v>-4455.7099999999991</v>
      </c>
      <c r="U47" s="18">
        <v>0.12285999889164811</v>
      </c>
      <c r="V47" s="11">
        <v>0.67</v>
      </c>
      <c r="W47" s="11">
        <v>2</v>
      </c>
      <c r="X47" s="11">
        <v>1</v>
      </c>
      <c r="Y47" s="11">
        <v>0</v>
      </c>
    </row>
    <row r="48" spans="1:25" x14ac:dyDescent="0.25">
      <c r="A48" s="20" t="s">
        <v>532</v>
      </c>
      <c r="B48" s="20" t="s">
        <v>295</v>
      </c>
      <c r="C48" s="20" t="s">
        <v>964</v>
      </c>
      <c r="D48" s="20" t="s">
        <v>216</v>
      </c>
      <c r="E48" s="13">
        <v>3661</v>
      </c>
      <c r="F48" s="11">
        <v>0</v>
      </c>
      <c r="G48" s="13">
        <v>0</v>
      </c>
      <c r="H48" s="11">
        <v>0</v>
      </c>
      <c r="I48" s="13">
        <f>E48+G48</f>
        <v>3661</v>
      </c>
      <c r="J48" s="11">
        <f>F48+H48</f>
        <v>0</v>
      </c>
      <c r="K48" s="13">
        <v>4581</v>
      </c>
      <c r="L48" s="11">
        <v>0</v>
      </c>
      <c r="M48" s="11">
        <v>0</v>
      </c>
      <c r="N48" s="13">
        <v>0</v>
      </c>
      <c r="O48" s="11">
        <v>0</v>
      </c>
      <c r="P48" s="11">
        <v>1</v>
      </c>
      <c r="Q48" s="13">
        <f>K48+N48</f>
        <v>4581</v>
      </c>
      <c r="R48" s="11">
        <f>L48+O48</f>
        <v>0</v>
      </c>
      <c r="S48" s="11">
        <f>M48+P48</f>
        <v>1</v>
      </c>
      <c r="T48" s="8">
        <f>I48-Q48</f>
        <v>-920</v>
      </c>
      <c r="U48" s="18">
        <v>0.18467145184479181</v>
      </c>
      <c r="V48" s="11">
        <v>0.17</v>
      </c>
      <c r="W48" s="11">
        <v>1</v>
      </c>
      <c r="X48" s="11">
        <v>5</v>
      </c>
      <c r="Y48" s="11">
        <v>0</v>
      </c>
    </row>
    <row r="49" spans="1:25" x14ac:dyDescent="0.25">
      <c r="A49" s="20" t="s">
        <v>537</v>
      </c>
      <c r="B49" s="20" t="s">
        <v>77</v>
      </c>
      <c r="C49" s="20" t="s">
        <v>486</v>
      </c>
      <c r="D49" s="20" t="s">
        <v>216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0</v>
      </c>
      <c r="O49" s="11">
        <v>0</v>
      </c>
      <c r="P49" s="11">
        <v>0</v>
      </c>
      <c r="Q49" s="13">
        <f>K49+N49</f>
        <v>0</v>
      </c>
      <c r="R49" s="11">
        <f>L49+O49</f>
        <v>0</v>
      </c>
      <c r="S49" s="11">
        <f>M49+P49</f>
        <v>0</v>
      </c>
      <c r="T49" s="8">
        <f>I49-Q49</f>
        <v>0</v>
      </c>
      <c r="U49" s="18">
        <v>8.1936825036575511E-2</v>
      </c>
      <c r="V49" s="11">
        <v>0</v>
      </c>
      <c r="W49" s="11">
        <v>0</v>
      </c>
      <c r="X49" s="11">
        <v>1</v>
      </c>
      <c r="Y49" s="11">
        <v>0</v>
      </c>
    </row>
    <row r="50" spans="1:25" x14ac:dyDescent="0.25">
      <c r="A50" s="20" t="s">
        <v>538</v>
      </c>
      <c r="B50" s="20" t="s">
        <v>91</v>
      </c>
      <c r="C50" s="20" t="s">
        <v>539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 t="s">
        <v>1803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540</v>
      </c>
      <c r="B51" s="20" t="s">
        <v>91</v>
      </c>
      <c r="C51" s="20" t="s">
        <v>541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0</v>
      </c>
      <c r="T51" s="8">
        <f>I51-Q51</f>
        <v>0</v>
      </c>
      <c r="U51" s="18">
        <v>-0.2144789498783605</v>
      </c>
      <c r="V51" s="11">
        <v>0</v>
      </c>
      <c r="W51" s="11">
        <v>0</v>
      </c>
      <c r="X51" s="11">
        <v>0</v>
      </c>
      <c r="Y51" s="11">
        <v>0</v>
      </c>
    </row>
    <row r="52" spans="1:25" x14ac:dyDescent="0.25">
      <c r="A52" s="20" t="s">
        <v>542</v>
      </c>
      <c r="B52" s="20" t="s">
        <v>77</v>
      </c>
      <c r="C52" s="20" t="s">
        <v>473</v>
      </c>
      <c r="D52" s="20" t="s">
        <v>216</v>
      </c>
      <c r="E52" s="13">
        <v>3823.02</v>
      </c>
      <c r="F52" s="11">
        <v>0</v>
      </c>
      <c r="G52" s="13">
        <v>-1794.37</v>
      </c>
      <c r="H52" s="11">
        <v>0</v>
      </c>
      <c r="I52" s="13">
        <f>E52+G52</f>
        <v>2028.65</v>
      </c>
      <c r="J52" s="11">
        <f>F52+H52</f>
        <v>0</v>
      </c>
      <c r="K52" s="13">
        <v>9625.01</v>
      </c>
      <c r="L52" s="11">
        <v>0</v>
      </c>
      <c r="M52" s="11">
        <v>0</v>
      </c>
      <c r="N52" s="13">
        <v>0</v>
      </c>
      <c r="O52" s="11">
        <v>0</v>
      </c>
      <c r="P52" s="11">
        <v>2</v>
      </c>
      <c r="Q52" s="13">
        <f>K52+N52</f>
        <v>9625.01</v>
      </c>
      <c r="R52" s="11">
        <f>L52+O52</f>
        <v>0</v>
      </c>
      <c r="S52" s="11">
        <f>M52+P52</f>
        <v>2</v>
      </c>
      <c r="T52" s="8">
        <f>I52-Q52</f>
        <v>-7596.3600000000006</v>
      </c>
      <c r="U52" s="18">
        <v>0.14334532322392268</v>
      </c>
      <c r="V52" s="11">
        <v>0.4</v>
      </c>
      <c r="W52" s="11">
        <v>2</v>
      </c>
      <c r="X52" s="11">
        <v>3</v>
      </c>
      <c r="Y52" s="11">
        <v>0</v>
      </c>
    </row>
    <row r="53" spans="1:25" x14ac:dyDescent="0.25">
      <c r="A53" s="20" t="s">
        <v>761</v>
      </c>
      <c r="B53" s="20" t="s">
        <v>77</v>
      </c>
      <c r="C53" s="20" t="s">
        <v>432</v>
      </c>
      <c r="D53" s="20" t="s">
        <v>216</v>
      </c>
      <c r="E53" s="13">
        <v>0</v>
      </c>
      <c r="F53" s="11">
        <v>0</v>
      </c>
      <c r="G53" s="13">
        <v>16124</v>
      </c>
      <c r="H53" s="11">
        <v>0</v>
      </c>
      <c r="I53" s="13">
        <f>E53+G53</f>
        <v>16124</v>
      </c>
      <c r="J53" s="11">
        <f>F53+H53</f>
        <v>0</v>
      </c>
      <c r="K53" s="13">
        <v>666.89</v>
      </c>
      <c r="L53" s="11">
        <v>0</v>
      </c>
      <c r="M53" s="11">
        <v>0</v>
      </c>
      <c r="N53" s="13">
        <v>37595</v>
      </c>
      <c r="O53" s="11">
        <v>0</v>
      </c>
      <c r="P53" s="11">
        <v>0</v>
      </c>
      <c r="Q53" s="13">
        <f>K53+N53</f>
        <v>38261.89</v>
      </c>
      <c r="R53" s="11">
        <f>L53+O53</f>
        <v>0</v>
      </c>
      <c r="S53" s="11">
        <f>M53+P53</f>
        <v>0</v>
      </c>
      <c r="T53" s="8">
        <f>I53-Q53</f>
        <v>-22137.89</v>
      </c>
      <c r="U53" s="18">
        <v>4.5775139994522123</v>
      </c>
      <c r="V53" s="11">
        <v>0</v>
      </c>
      <c r="W53" s="11">
        <v>0</v>
      </c>
      <c r="X53" s="11">
        <v>0</v>
      </c>
      <c r="Y53" s="11">
        <v>2</v>
      </c>
    </row>
    <row r="54" spans="1:25" x14ac:dyDescent="0.25">
      <c r="A54" s="20" t="s">
        <v>408</v>
      </c>
      <c r="B54" s="20" t="s">
        <v>408</v>
      </c>
      <c r="C54" s="20" t="s">
        <v>409</v>
      </c>
      <c r="D54" s="20" t="s">
        <v>216</v>
      </c>
      <c r="E54" s="13">
        <v>5761.32</v>
      </c>
      <c r="F54" s="11">
        <v>3</v>
      </c>
      <c r="G54" s="13">
        <v>2920</v>
      </c>
      <c r="H54" s="11">
        <v>0</v>
      </c>
      <c r="I54" s="13">
        <f>E54+G54</f>
        <v>8681.32</v>
      </c>
      <c r="J54" s="11">
        <f>F54+H54</f>
        <v>3</v>
      </c>
      <c r="K54" s="13">
        <v>720</v>
      </c>
      <c r="L54" s="11">
        <v>0</v>
      </c>
      <c r="M54" s="11">
        <v>2</v>
      </c>
      <c r="N54" s="13">
        <v>15447</v>
      </c>
      <c r="O54" s="11">
        <v>1</v>
      </c>
      <c r="P54" s="11">
        <v>3</v>
      </c>
      <c r="Q54" s="13">
        <f>K54+N54</f>
        <v>16167</v>
      </c>
      <c r="R54" s="11">
        <f>L54+O54</f>
        <v>1</v>
      </c>
      <c r="S54" s="11">
        <f>M54+P54</f>
        <v>5</v>
      </c>
      <c r="T54" s="8">
        <f>I54-Q54</f>
        <v>-7485.68</v>
      </c>
      <c r="U54" s="18">
        <v>-0.24310942311209366</v>
      </c>
      <c r="V54" s="11">
        <v>0.4</v>
      </c>
      <c r="W54" s="11">
        <v>8</v>
      </c>
      <c r="X54" s="11">
        <v>12</v>
      </c>
      <c r="Y54" s="11">
        <v>0</v>
      </c>
    </row>
    <row r="55" spans="1:25" x14ac:dyDescent="0.25">
      <c r="A55" s="20" t="s">
        <v>548</v>
      </c>
      <c r="B55" s="20" t="s">
        <v>60</v>
      </c>
      <c r="C55" s="20" t="s">
        <v>549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>
        <v>1.9217375173150771E-4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498</v>
      </c>
      <c r="B56" s="20" t="s">
        <v>498</v>
      </c>
      <c r="C56" s="20" t="s">
        <v>550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-830.61</v>
      </c>
      <c r="L56" s="11">
        <v>0</v>
      </c>
      <c r="M56" s="11">
        <v>1</v>
      </c>
      <c r="N56" s="13">
        <v>0</v>
      </c>
      <c r="O56" s="11">
        <v>0</v>
      </c>
      <c r="P56" s="11">
        <v>0</v>
      </c>
      <c r="Q56" s="13">
        <f>K56+N56</f>
        <v>-830.61</v>
      </c>
      <c r="R56" s="11">
        <f>L56+O56</f>
        <v>0</v>
      </c>
      <c r="S56" s="11">
        <f>M56+P56</f>
        <v>1</v>
      </c>
      <c r="T56" s="8">
        <f>I56-Q56</f>
        <v>830.61</v>
      </c>
      <c r="U56" s="18">
        <v>-1.4126314447159253E-2</v>
      </c>
      <c r="V56" s="11">
        <v>0.5</v>
      </c>
      <c r="W56" s="11">
        <v>1</v>
      </c>
      <c r="X56" s="11">
        <v>1</v>
      </c>
      <c r="Y56" s="11">
        <v>0</v>
      </c>
    </row>
    <row r="57" spans="1:25" x14ac:dyDescent="0.25">
      <c r="A57" s="20" t="s">
        <v>551</v>
      </c>
      <c r="B57" s="20" t="s">
        <v>60</v>
      </c>
      <c r="C57" s="20" t="s">
        <v>552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0</v>
      </c>
      <c r="N57" s="13">
        <v>0</v>
      </c>
      <c r="O57" s="11">
        <v>0</v>
      </c>
      <c r="P57" s="11">
        <v>0</v>
      </c>
      <c r="Q57" s="13">
        <f>K57+N57</f>
        <v>0</v>
      </c>
      <c r="R57" s="11">
        <f>L57+O57</f>
        <v>0</v>
      </c>
      <c r="S57" s="11">
        <f>M57+P57</f>
        <v>0</v>
      </c>
      <c r="T57" s="8">
        <f>I57-Q57</f>
        <v>0</v>
      </c>
      <c r="U57" s="18" t="s">
        <v>1803</v>
      </c>
      <c r="V57" s="11">
        <v>0</v>
      </c>
      <c r="W57" s="11">
        <v>0</v>
      </c>
      <c r="X57" s="11">
        <v>0</v>
      </c>
      <c r="Y57" s="11">
        <v>0</v>
      </c>
    </row>
    <row r="58" spans="1:25" x14ac:dyDescent="0.25">
      <c r="A58" s="20" t="s">
        <v>559</v>
      </c>
      <c r="B58" s="20" t="s">
        <v>77</v>
      </c>
      <c r="C58" s="20" t="s">
        <v>514</v>
      </c>
      <c r="D58" s="20" t="s">
        <v>216</v>
      </c>
      <c r="E58" s="13">
        <v>0</v>
      </c>
      <c r="F58" s="11">
        <v>0</v>
      </c>
      <c r="G58" s="13">
        <v>0</v>
      </c>
      <c r="H58" s="11">
        <v>0</v>
      </c>
      <c r="I58" s="13">
        <f>E58+G58</f>
        <v>0</v>
      </c>
      <c r="J58" s="11">
        <f>F58+H58</f>
        <v>0</v>
      </c>
      <c r="K58" s="13">
        <v>0</v>
      </c>
      <c r="L58" s="11">
        <v>0</v>
      </c>
      <c r="M58" s="11">
        <v>0</v>
      </c>
      <c r="N58" s="13">
        <v>0</v>
      </c>
      <c r="O58" s="11">
        <v>0</v>
      </c>
      <c r="P58" s="11">
        <v>0</v>
      </c>
      <c r="Q58" s="13">
        <f>K58+N58</f>
        <v>0</v>
      </c>
      <c r="R58" s="11">
        <f>L58+O58</f>
        <v>0</v>
      </c>
      <c r="S58" s="11">
        <f>M58+P58</f>
        <v>0</v>
      </c>
      <c r="T58" s="8">
        <f>I58-Q58</f>
        <v>0</v>
      </c>
      <c r="U58" s="18">
        <v>-5.2736320617078771</v>
      </c>
      <c r="V58" s="11">
        <v>0</v>
      </c>
      <c r="W58" s="11">
        <v>0</v>
      </c>
      <c r="X58" s="11">
        <v>0</v>
      </c>
      <c r="Y58" s="11">
        <v>0</v>
      </c>
    </row>
    <row r="59" spans="1:25" x14ac:dyDescent="0.25">
      <c r="A59" s="20" t="s">
        <v>560</v>
      </c>
      <c r="B59" s="20" t="s">
        <v>459</v>
      </c>
      <c r="C59" s="20" t="s">
        <v>3608</v>
      </c>
      <c r="D59" s="20" t="s">
        <v>215</v>
      </c>
      <c r="E59" s="13">
        <v>24708.639999999999</v>
      </c>
      <c r="F59" s="11">
        <v>0</v>
      </c>
      <c r="G59" s="13">
        <v>1480.66</v>
      </c>
      <c r="H59" s="11">
        <v>0</v>
      </c>
      <c r="I59" s="13">
        <f>E59+G59</f>
        <v>26189.3</v>
      </c>
      <c r="J59" s="11">
        <f>F59+H59</f>
        <v>0</v>
      </c>
      <c r="K59" s="13">
        <v>23440.639999999999</v>
      </c>
      <c r="L59" s="11">
        <v>0</v>
      </c>
      <c r="M59" s="11">
        <v>1</v>
      </c>
      <c r="N59" s="13">
        <v>0</v>
      </c>
      <c r="O59" s="11">
        <v>0</v>
      </c>
      <c r="P59" s="11">
        <v>1</v>
      </c>
      <c r="Q59" s="13">
        <f>K59+N59</f>
        <v>23440.639999999999</v>
      </c>
      <c r="R59" s="11">
        <f>L59+O59</f>
        <v>0</v>
      </c>
      <c r="S59" s="11">
        <f>M59+P59</f>
        <v>2</v>
      </c>
      <c r="T59" s="8">
        <f>I59-Q59</f>
        <v>2748.66</v>
      </c>
      <c r="U59" s="18" t="s">
        <v>1803</v>
      </c>
      <c r="V59" s="11">
        <v>0.4</v>
      </c>
      <c r="W59" s="11">
        <v>2</v>
      </c>
      <c r="X59" s="11">
        <v>3</v>
      </c>
      <c r="Y59" s="11">
        <v>0</v>
      </c>
    </row>
    <row r="60" spans="1:25" x14ac:dyDescent="0.25">
      <c r="A60" s="20" t="s">
        <v>561</v>
      </c>
      <c r="B60" s="20" t="s">
        <v>295</v>
      </c>
      <c r="C60" s="20" t="s">
        <v>964</v>
      </c>
      <c r="D60" s="20" t="s">
        <v>216</v>
      </c>
      <c r="E60" s="13">
        <v>0</v>
      </c>
      <c r="F60" s="11">
        <v>0</v>
      </c>
      <c r="G60" s="13">
        <v>0</v>
      </c>
      <c r="H60" s="11">
        <v>0</v>
      </c>
      <c r="I60" s="13">
        <f>E60+G60</f>
        <v>0</v>
      </c>
      <c r="J60" s="11">
        <f>F60+H60</f>
        <v>0</v>
      </c>
      <c r="K60" s="13">
        <v>0</v>
      </c>
      <c r="L60" s="11">
        <v>0</v>
      </c>
      <c r="M60" s="11">
        <v>0</v>
      </c>
      <c r="N60" s="13">
        <v>6404.33</v>
      </c>
      <c r="O60" s="11">
        <v>0</v>
      </c>
      <c r="P60" s="11">
        <v>0</v>
      </c>
      <c r="Q60" s="13">
        <f>K60+N60</f>
        <v>6404.33</v>
      </c>
      <c r="R60" s="11">
        <f>L60+O60</f>
        <v>0</v>
      </c>
      <c r="S60" s="11">
        <f>M60+P60</f>
        <v>0</v>
      </c>
      <c r="T60" s="8">
        <f>I60-Q60</f>
        <v>-6404.33</v>
      </c>
      <c r="U60" s="18">
        <v>-5.0855348840367853E-2</v>
      </c>
      <c r="V60" s="11">
        <v>0</v>
      </c>
      <c r="W60" s="11">
        <v>0</v>
      </c>
      <c r="X60" s="11">
        <v>0</v>
      </c>
      <c r="Y60" s="11">
        <v>0</v>
      </c>
    </row>
    <row r="61" spans="1:25" x14ac:dyDescent="0.25">
      <c r="A61" s="20" t="s">
        <v>562</v>
      </c>
      <c r="B61" s="20" t="s">
        <v>257</v>
      </c>
      <c r="C61" s="20" t="s">
        <v>453</v>
      </c>
      <c r="D61" s="20" t="s">
        <v>216</v>
      </c>
      <c r="E61" s="13">
        <v>0</v>
      </c>
      <c r="F61" s="11">
        <v>0</v>
      </c>
      <c r="G61" s="13">
        <v>18871</v>
      </c>
      <c r="H61" s="11">
        <v>0</v>
      </c>
      <c r="I61" s="13">
        <f>E61+G61</f>
        <v>18871</v>
      </c>
      <c r="J61" s="11">
        <f>F61+H61</f>
        <v>0</v>
      </c>
      <c r="K61" s="13">
        <v>0</v>
      </c>
      <c r="L61" s="11">
        <v>0</v>
      </c>
      <c r="M61" s="11">
        <v>1</v>
      </c>
      <c r="N61" s="13">
        <v>21495.91</v>
      </c>
      <c r="O61" s="11">
        <v>1</v>
      </c>
      <c r="P61" s="11">
        <v>3</v>
      </c>
      <c r="Q61" s="13">
        <f>K61+N61</f>
        <v>21495.91</v>
      </c>
      <c r="R61" s="11">
        <f>L61+O61</f>
        <v>1</v>
      </c>
      <c r="S61" s="11">
        <f>M61+P61</f>
        <v>4</v>
      </c>
      <c r="T61" s="8">
        <f>I61-Q61</f>
        <v>-2624.91</v>
      </c>
      <c r="U61" s="18">
        <v>0.44084780837152948</v>
      </c>
      <c r="V61" s="11">
        <v>0.18</v>
      </c>
      <c r="W61" s="11">
        <v>3</v>
      </c>
      <c r="X61" s="11">
        <v>14</v>
      </c>
      <c r="Y61" s="11">
        <v>0</v>
      </c>
    </row>
    <row r="62" spans="1:25" x14ac:dyDescent="0.25">
      <c r="A62" s="20" t="s">
        <v>563</v>
      </c>
      <c r="B62" s="20" t="s">
        <v>257</v>
      </c>
      <c r="C62" s="20" t="s">
        <v>564</v>
      </c>
      <c r="D62" s="20" t="s">
        <v>216</v>
      </c>
      <c r="E62" s="13">
        <v>0</v>
      </c>
      <c r="F62" s="11">
        <v>0</v>
      </c>
      <c r="G62" s="13">
        <v>0</v>
      </c>
      <c r="H62" s="11">
        <v>0</v>
      </c>
      <c r="I62" s="13">
        <f>E62+G62</f>
        <v>0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0</v>
      </c>
      <c r="O62" s="11">
        <v>0</v>
      </c>
      <c r="P62" s="11">
        <v>0</v>
      </c>
      <c r="Q62" s="13">
        <f>K62+N62</f>
        <v>0</v>
      </c>
      <c r="R62" s="11">
        <f>L62+O62</f>
        <v>0</v>
      </c>
      <c r="S62" s="11">
        <f>M62+P62</f>
        <v>0</v>
      </c>
      <c r="T62" s="8">
        <f>I62-Q62</f>
        <v>0</v>
      </c>
      <c r="U62" s="18">
        <v>-0.21030221943268385</v>
      </c>
      <c r="V62" s="11">
        <v>0</v>
      </c>
      <c r="W62" s="11">
        <v>0</v>
      </c>
      <c r="X62" s="11">
        <v>0</v>
      </c>
      <c r="Y62" s="11">
        <v>0</v>
      </c>
    </row>
    <row r="63" spans="1:25" x14ac:dyDescent="0.25">
      <c r="A63" s="20" t="s">
        <v>97</v>
      </c>
      <c r="B63" s="20" t="s">
        <v>97</v>
      </c>
      <c r="C63" s="20" t="s">
        <v>428</v>
      </c>
      <c r="D63" s="20" t="s">
        <v>216</v>
      </c>
      <c r="E63" s="13">
        <v>10295</v>
      </c>
      <c r="F63" s="11">
        <v>0</v>
      </c>
      <c r="G63" s="13">
        <v>0</v>
      </c>
      <c r="H63" s="11">
        <v>0</v>
      </c>
      <c r="I63" s="13">
        <f>E63+G63</f>
        <v>10295</v>
      </c>
      <c r="J63" s="11">
        <f>F63+H63</f>
        <v>0</v>
      </c>
      <c r="K63" s="13">
        <v>9840</v>
      </c>
      <c r="L63" s="11">
        <v>0</v>
      </c>
      <c r="M63" s="11">
        <v>1</v>
      </c>
      <c r="N63" s="13">
        <v>0</v>
      </c>
      <c r="O63" s="11">
        <v>0</v>
      </c>
      <c r="P63" s="11">
        <v>1</v>
      </c>
      <c r="Q63" s="13">
        <f>K63+N63</f>
        <v>9840</v>
      </c>
      <c r="R63" s="11">
        <f>L63+O63</f>
        <v>0</v>
      </c>
      <c r="S63" s="11">
        <f>M63+P63</f>
        <v>2</v>
      </c>
      <c r="T63" s="8">
        <f>I63-Q63</f>
        <v>455</v>
      </c>
      <c r="U63" s="18">
        <v>2.8048804928812416E-2</v>
      </c>
      <c r="V63" s="11">
        <v>0.33</v>
      </c>
      <c r="W63" s="11">
        <v>2</v>
      </c>
      <c r="X63" s="11">
        <v>4</v>
      </c>
      <c r="Y63" s="11">
        <v>0</v>
      </c>
    </row>
    <row r="64" spans="1:25" x14ac:dyDescent="0.25">
      <c r="A64" s="20" t="s">
        <v>571</v>
      </c>
      <c r="B64" s="20" t="s">
        <v>77</v>
      </c>
      <c r="C64" s="20" t="s">
        <v>572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>
        <v>-2.2822126225643678E-4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500</v>
      </c>
      <c r="B65" s="20" t="s">
        <v>500</v>
      </c>
      <c r="C65" s="20" t="s">
        <v>501</v>
      </c>
      <c r="D65" s="20" t="s">
        <v>216</v>
      </c>
      <c r="E65" s="13">
        <v>14334</v>
      </c>
      <c r="F65" s="11">
        <v>0</v>
      </c>
      <c r="G65" s="13">
        <v>5514.27</v>
      </c>
      <c r="H65" s="11">
        <v>1</v>
      </c>
      <c r="I65" s="13">
        <f>E65+G65</f>
        <v>19848.27</v>
      </c>
      <c r="J65" s="11">
        <f>F65+H65</f>
        <v>1</v>
      </c>
      <c r="K65" s="13">
        <v>13707.91</v>
      </c>
      <c r="L65" s="11">
        <v>0</v>
      </c>
      <c r="M65" s="11">
        <v>0</v>
      </c>
      <c r="N65" s="13">
        <v>6398.5</v>
      </c>
      <c r="O65" s="11">
        <v>0</v>
      </c>
      <c r="P65" s="11">
        <v>1</v>
      </c>
      <c r="Q65" s="13">
        <f>K65+N65</f>
        <v>20106.41</v>
      </c>
      <c r="R65" s="11">
        <f>L65+O65</f>
        <v>0</v>
      </c>
      <c r="S65" s="11">
        <f>M65+P65</f>
        <v>1</v>
      </c>
      <c r="T65" s="8">
        <f>I65-Q65</f>
        <v>-258.13999999999942</v>
      </c>
      <c r="U65" s="18">
        <v>0.12759861682510254</v>
      </c>
      <c r="V65" s="11">
        <v>0.4</v>
      </c>
      <c r="W65" s="11">
        <v>2</v>
      </c>
      <c r="X65" s="11">
        <v>3</v>
      </c>
      <c r="Y65" s="11">
        <v>1</v>
      </c>
    </row>
    <row r="66" spans="1:25" x14ac:dyDescent="0.25">
      <c r="A66" s="20" t="s">
        <v>442</v>
      </c>
      <c r="B66" s="20" t="s">
        <v>442</v>
      </c>
      <c r="C66" s="20" t="s">
        <v>221</v>
      </c>
      <c r="D66" s="20" t="s">
        <v>216</v>
      </c>
      <c r="E66" s="13">
        <v>16492</v>
      </c>
      <c r="F66" s="11">
        <v>0</v>
      </c>
      <c r="G66" s="13">
        <v>0</v>
      </c>
      <c r="H66" s="11">
        <v>0</v>
      </c>
      <c r="I66" s="13">
        <f>E66+G66</f>
        <v>16492</v>
      </c>
      <c r="J66" s="11">
        <f>F66+H66</f>
        <v>0</v>
      </c>
      <c r="K66" s="13">
        <v>20729.29</v>
      </c>
      <c r="L66" s="11">
        <v>1</v>
      </c>
      <c r="M66" s="11">
        <v>3</v>
      </c>
      <c r="N66" s="13">
        <v>0</v>
      </c>
      <c r="O66" s="11">
        <v>0</v>
      </c>
      <c r="P66" s="11">
        <v>0</v>
      </c>
      <c r="Q66" s="13">
        <f>K66+N66</f>
        <v>20729.29</v>
      </c>
      <c r="R66" s="11">
        <f>L66+O66</f>
        <v>1</v>
      </c>
      <c r="S66" s="11">
        <f>M66+P66</f>
        <v>3</v>
      </c>
      <c r="T66" s="8">
        <f>I66-Q66</f>
        <v>-4237.2900000000009</v>
      </c>
      <c r="U66" s="18">
        <v>0.42816413919312513</v>
      </c>
      <c r="V66" s="11">
        <v>0.17</v>
      </c>
      <c r="W66" s="11">
        <v>2</v>
      </c>
      <c r="X66" s="11">
        <v>10</v>
      </c>
      <c r="Y66" s="11">
        <v>0</v>
      </c>
    </row>
    <row r="67" spans="1:25" x14ac:dyDescent="0.25">
      <c r="A67" s="20" t="s">
        <v>575</v>
      </c>
      <c r="B67" s="20" t="s">
        <v>60</v>
      </c>
      <c r="C67" s="20" t="s">
        <v>576</v>
      </c>
      <c r="D67" s="20" t="s">
        <v>216</v>
      </c>
      <c r="E67" s="13">
        <v>0</v>
      </c>
      <c r="F67" s="11">
        <v>0</v>
      </c>
      <c r="G67" s="13">
        <v>0</v>
      </c>
      <c r="H67" s="11">
        <v>0</v>
      </c>
      <c r="I67" s="13">
        <f>E67+G67</f>
        <v>0</v>
      </c>
      <c r="J67" s="11">
        <f>F67+H67</f>
        <v>0</v>
      </c>
      <c r="K67" s="13">
        <v>0</v>
      </c>
      <c r="L67" s="11">
        <v>0</v>
      </c>
      <c r="M67" s="11">
        <v>0</v>
      </c>
      <c r="N67" s="13">
        <v>0</v>
      </c>
      <c r="O67" s="11">
        <v>0</v>
      </c>
      <c r="P67" s="11">
        <v>0</v>
      </c>
      <c r="Q67" s="13">
        <f>K67+N67</f>
        <v>0</v>
      </c>
      <c r="R67" s="11">
        <f>L67+O67</f>
        <v>0</v>
      </c>
      <c r="S67" s="11">
        <f>M67+P67</f>
        <v>0</v>
      </c>
      <c r="T67" s="8">
        <f>I67-Q67</f>
        <v>0</v>
      </c>
      <c r="U67" s="18">
        <v>-0.14958000730422077</v>
      </c>
      <c r="V67" s="11">
        <v>0</v>
      </c>
      <c r="W67" s="11">
        <v>0</v>
      </c>
      <c r="X67" s="11">
        <v>0</v>
      </c>
      <c r="Y67" s="11">
        <v>0</v>
      </c>
    </row>
    <row r="68" spans="1:25" x14ac:dyDescent="0.25">
      <c r="A68" s="20" t="s">
        <v>577</v>
      </c>
      <c r="B68" s="20" t="s">
        <v>257</v>
      </c>
      <c r="C68" s="20" t="s">
        <v>511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>
        <v>5.9433339083794676</v>
      </c>
      <c r="V68" s="11">
        <v>0</v>
      </c>
      <c r="W68" s="11">
        <v>0</v>
      </c>
      <c r="X68" s="11">
        <v>0</v>
      </c>
      <c r="Y68" s="11">
        <v>0</v>
      </c>
    </row>
    <row r="69" spans="1:25" x14ac:dyDescent="0.25">
      <c r="A69" s="20" t="s">
        <v>578</v>
      </c>
      <c r="B69" s="20" t="s">
        <v>60</v>
      </c>
      <c r="C69" s="20" t="s">
        <v>579</v>
      </c>
      <c r="D69" s="20" t="s">
        <v>216</v>
      </c>
      <c r="E69" s="13">
        <v>0</v>
      </c>
      <c r="F69" s="11">
        <v>0</v>
      </c>
      <c r="G69" s="13">
        <v>0</v>
      </c>
      <c r="H69" s="11">
        <v>0</v>
      </c>
      <c r="I69" s="13">
        <f>E69+G69</f>
        <v>0</v>
      </c>
      <c r="J69" s="11">
        <f>F69+H69</f>
        <v>0</v>
      </c>
      <c r="K69" s="13">
        <v>0</v>
      </c>
      <c r="L69" s="11">
        <v>0</v>
      </c>
      <c r="M69" s="11">
        <v>0</v>
      </c>
      <c r="N69" s="13">
        <v>-1247.8399999999999</v>
      </c>
      <c r="O69" s="11">
        <v>0</v>
      </c>
      <c r="P69" s="11">
        <v>1</v>
      </c>
      <c r="Q69" s="13">
        <f>K69+N69</f>
        <v>-1247.8399999999999</v>
      </c>
      <c r="R69" s="11">
        <f>L69+O69</f>
        <v>0</v>
      </c>
      <c r="S69" s="11">
        <f>M69+P69</f>
        <v>1</v>
      </c>
      <c r="T69" s="8">
        <f>I69-Q69</f>
        <v>1247.8399999999999</v>
      </c>
      <c r="U69" s="18">
        <v>6.3222504032005383E-2</v>
      </c>
      <c r="V69" s="11">
        <v>0.2</v>
      </c>
      <c r="W69" s="11">
        <v>1</v>
      </c>
      <c r="X69" s="11">
        <v>4</v>
      </c>
      <c r="Y69" s="11">
        <v>0</v>
      </c>
    </row>
    <row r="70" spans="1:25" x14ac:dyDescent="0.25">
      <c r="A70" s="20" t="s">
        <v>580</v>
      </c>
      <c r="B70" s="20" t="s">
        <v>3096</v>
      </c>
      <c r="C70" s="20" t="s">
        <v>581</v>
      </c>
      <c r="D70" s="20" t="s">
        <v>216</v>
      </c>
      <c r="E70" s="13">
        <v>0</v>
      </c>
      <c r="F70" s="11">
        <v>0</v>
      </c>
      <c r="G70" s="13">
        <v>0</v>
      </c>
      <c r="H70" s="11">
        <v>0</v>
      </c>
      <c r="I70" s="13">
        <f>E70+G70</f>
        <v>0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0</v>
      </c>
      <c r="O70" s="11">
        <v>0</v>
      </c>
      <c r="P70" s="11">
        <v>0</v>
      </c>
      <c r="Q70" s="13">
        <f>K70+N70</f>
        <v>0</v>
      </c>
      <c r="R70" s="11">
        <f>L70+O70</f>
        <v>0</v>
      </c>
      <c r="S70" s="11">
        <f>M70+P70</f>
        <v>0</v>
      </c>
      <c r="T70" s="8">
        <f>I70-Q70</f>
        <v>0</v>
      </c>
      <c r="U70" s="18" t="s">
        <v>1803</v>
      </c>
      <c r="V70" s="11">
        <v>0</v>
      </c>
      <c r="W70" s="11">
        <v>0</v>
      </c>
      <c r="X70" s="11">
        <v>0</v>
      </c>
      <c r="Y70" s="11">
        <v>0</v>
      </c>
    </row>
    <row r="71" spans="1:25" x14ac:dyDescent="0.25">
      <c r="A71" s="20" t="s">
        <v>3000</v>
      </c>
      <c r="B71" s="20" t="s">
        <v>202</v>
      </c>
      <c r="C71" s="20" t="s">
        <v>203</v>
      </c>
      <c r="D71" s="20" t="s">
        <v>216</v>
      </c>
      <c r="E71" s="13">
        <v>0</v>
      </c>
      <c r="F71" s="11">
        <v>0</v>
      </c>
      <c r="G71" s="13">
        <v>0</v>
      </c>
      <c r="H71" s="11">
        <v>0</v>
      </c>
      <c r="I71" s="13">
        <f>E71+G71</f>
        <v>0</v>
      </c>
      <c r="J71" s="11">
        <f>F71+H71</f>
        <v>0</v>
      </c>
      <c r="K71" s="13">
        <v>0</v>
      </c>
      <c r="L71" s="11">
        <v>0</v>
      </c>
      <c r="M71" s="11">
        <v>1</v>
      </c>
      <c r="N71" s="13">
        <v>0</v>
      </c>
      <c r="O71" s="11">
        <v>0</v>
      </c>
      <c r="P71" s="11">
        <v>0</v>
      </c>
      <c r="Q71" s="13">
        <f>K71+N71</f>
        <v>0</v>
      </c>
      <c r="R71" s="11">
        <f>L71+O71</f>
        <v>0</v>
      </c>
      <c r="S71" s="11">
        <f>M71+P71</f>
        <v>1</v>
      </c>
      <c r="T71" s="8">
        <f>I71-Q71</f>
        <v>0</v>
      </c>
      <c r="U71" s="18">
        <v>-0.11101909920127971</v>
      </c>
      <c r="V71" s="11">
        <v>0.5</v>
      </c>
      <c r="W71" s="11">
        <v>1</v>
      </c>
      <c r="X71" s="11">
        <v>1</v>
      </c>
      <c r="Y71" s="11">
        <v>0</v>
      </c>
    </row>
    <row r="72" spans="1:25" x14ac:dyDescent="0.25">
      <c r="A72" s="20" t="s">
        <v>3017</v>
      </c>
      <c r="B72" s="20" t="s">
        <v>723</v>
      </c>
      <c r="C72" s="20" t="s">
        <v>709</v>
      </c>
      <c r="D72" s="20" t="s">
        <v>216</v>
      </c>
      <c r="E72" s="13">
        <v>17093</v>
      </c>
      <c r="F72" s="11">
        <v>0</v>
      </c>
      <c r="G72" s="13">
        <v>4830</v>
      </c>
      <c r="H72" s="11">
        <v>0</v>
      </c>
      <c r="I72" s="13">
        <f>E72+G72</f>
        <v>21923</v>
      </c>
      <c r="J72" s="11">
        <f>F72+H72</f>
        <v>0</v>
      </c>
      <c r="K72" s="13">
        <v>15699</v>
      </c>
      <c r="L72" s="11">
        <v>0</v>
      </c>
      <c r="M72" s="11">
        <v>1</v>
      </c>
      <c r="N72" s="13">
        <v>0</v>
      </c>
      <c r="O72" s="11">
        <v>0</v>
      </c>
      <c r="P72" s="11">
        <v>0</v>
      </c>
      <c r="Q72" s="13">
        <f>K72+N72</f>
        <v>15699</v>
      </c>
      <c r="R72" s="11">
        <f>L72+O72</f>
        <v>0</v>
      </c>
      <c r="S72" s="11">
        <f>M72+P72</f>
        <v>1</v>
      </c>
      <c r="T72" s="8">
        <f>I72-Q72</f>
        <v>6224</v>
      </c>
      <c r="U72" s="18">
        <v>4.7218077606823644E-2</v>
      </c>
      <c r="V72" s="11">
        <v>0.25</v>
      </c>
      <c r="W72" s="11">
        <v>1</v>
      </c>
      <c r="X72" s="11">
        <v>3</v>
      </c>
      <c r="Y72" s="11">
        <v>1</v>
      </c>
    </row>
    <row r="73" spans="1:25" x14ac:dyDescent="0.25">
      <c r="A73" s="20" t="s">
        <v>3052</v>
      </c>
      <c r="B73" s="20" t="s">
        <v>58</v>
      </c>
      <c r="C73" s="20" t="s">
        <v>1054</v>
      </c>
      <c r="D73" s="20" t="s">
        <v>216</v>
      </c>
      <c r="E73" s="13">
        <v>0</v>
      </c>
      <c r="F73" s="11">
        <v>0</v>
      </c>
      <c r="G73" s="13">
        <v>0</v>
      </c>
      <c r="H73" s="11">
        <v>0</v>
      </c>
      <c r="I73" s="13">
        <f>E73+G73</f>
        <v>0</v>
      </c>
      <c r="J73" s="11">
        <f>F73+H73</f>
        <v>0</v>
      </c>
      <c r="K73" s="13">
        <v>0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0</v>
      </c>
      <c r="R73" s="11">
        <f>L73+O73</f>
        <v>0</v>
      </c>
      <c r="S73" s="11">
        <f>M73+P73</f>
        <v>0</v>
      </c>
      <c r="T73" s="8">
        <f>I73-Q73</f>
        <v>0</v>
      </c>
      <c r="U73" s="18">
        <v>-0.10089164305213881</v>
      </c>
      <c r="V73" s="11">
        <v>0</v>
      </c>
      <c r="W73" s="11">
        <v>0</v>
      </c>
      <c r="X73" s="11">
        <v>0</v>
      </c>
      <c r="Y73" s="11">
        <v>0</v>
      </c>
    </row>
    <row r="74" spans="1:25" x14ac:dyDescent="0.25">
      <c r="A74" s="20" t="s">
        <v>3079</v>
      </c>
      <c r="B74" s="20" t="s">
        <v>260</v>
      </c>
      <c r="C74" s="20" t="s">
        <v>286</v>
      </c>
      <c r="D74" s="20" t="s">
        <v>216</v>
      </c>
      <c r="E74" s="13">
        <v>0</v>
      </c>
      <c r="F74" s="11">
        <v>0</v>
      </c>
      <c r="G74" s="13">
        <v>0</v>
      </c>
      <c r="H74" s="11">
        <v>0</v>
      </c>
      <c r="I74" s="13">
        <f>E74+G74</f>
        <v>0</v>
      </c>
      <c r="J74" s="11">
        <f>F74+H74</f>
        <v>0</v>
      </c>
      <c r="K74" s="13">
        <v>0</v>
      </c>
      <c r="L74" s="11">
        <v>0</v>
      </c>
      <c r="M74" s="11">
        <v>0</v>
      </c>
      <c r="N74" s="13">
        <v>0</v>
      </c>
      <c r="O74" s="11">
        <v>0</v>
      </c>
      <c r="P74" s="11">
        <v>0</v>
      </c>
      <c r="Q74" s="13">
        <f>K74+N74</f>
        <v>0</v>
      </c>
      <c r="R74" s="11">
        <f>L74+O74</f>
        <v>0</v>
      </c>
      <c r="S74" s="11">
        <f>M74+P74</f>
        <v>0</v>
      </c>
      <c r="T74" s="8">
        <f>I74-Q74</f>
        <v>0</v>
      </c>
      <c r="U74" s="18">
        <v>-4.7235129282136102E-3</v>
      </c>
      <c r="V74" s="11">
        <v>0</v>
      </c>
      <c r="W74" s="11">
        <v>0</v>
      </c>
      <c r="X74" s="11">
        <v>3</v>
      </c>
      <c r="Y74" s="11">
        <v>0</v>
      </c>
    </row>
    <row r="75" spans="1:25" x14ac:dyDescent="0.25">
      <c r="A75" s="20" t="s">
        <v>3114</v>
      </c>
      <c r="B75" s="20" t="s">
        <v>295</v>
      </c>
      <c r="C75" s="20" t="s">
        <v>964</v>
      </c>
      <c r="D75" s="20" t="s">
        <v>216</v>
      </c>
      <c r="E75" s="13">
        <v>0</v>
      </c>
      <c r="F75" s="11">
        <v>0</v>
      </c>
      <c r="G75" s="13">
        <v>0</v>
      </c>
      <c r="H75" s="11">
        <v>0</v>
      </c>
      <c r="I75" s="13">
        <f>E75+G75</f>
        <v>0</v>
      </c>
      <c r="J75" s="11">
        <f>F75+H75</f>
        <v>0</v>
      </c>
      <c r="K75" s="13">
        <v>0</v>
      </c>
      <c r="L75" s="11">
        <v>0</v>
      </c>
      <c r="M75" s="11">
        <v>1</v>
      </c>
      <c r="N75" s="13">
        <v>0</v>
      </c>
      <c r="O75" s="11">
        <v>0</v>
      </c>
      <c r="P75" s="11">
        <v>0</v>
      </c>
      <c r="Q75" s="13">
        <f>K75+N75</f>
        <v>0</v>
      </c>
      <c r="R75" s="11">
        <f>L75+O75</f>
        <v>0</v>
      </c>
      <c r="S75" s="11">
        <f>M75+P75</f>
        <v>1</v>
      </c>
      <c r="T75" s="8">
        <f>I75-Q75</f>
        <v>0</v>
      </c>
      <c r="U75" s="18">
        <v>2.837200593938324</v>
      </c>
      <c r="V75" s="11">
        <v>0.14000000000000001</v>
      </c>
      <c r="W75" s="11">
        <v>1</v>
      </c>
      <c r="X75" s="11">
        <v>6</v>
      </c>
      <c r="Y75" s="11">
        <v>0</v>
      </c>
    </row>
    <row r="76" spans="1:25" x14ac:dyDescent="0.25">
      <c r="A76" s="20" t="s">
        <v>3113</v>
      </c>
      <c r="B76" s="20" t="s">
        <v>3113</v>
      </c>
      <c r="C76" s="20" t="s">
        <v>1054</v>
      </c>
      <c r="D76" s="20" t="s">
        <v>216</v>
      </c>
      <c r="E76" s="13">
        <v>6768</v>
      </c>
      <c r="F76" s="11">
        <v>0</v>
      </c>
      <c r="G76" s="13">
        <v>0</v>
      </c>
      <c r="H76" s="11">
        <v>0</v>
      </c>
      <c r="I76" s="13">
        <f>E76+G76</f>
        <v>6768</v>
      </c>
      <c r="J76" s="11">
        <f>F76+H76</f>
        <v>0</v>
      </c>
      <c r="K76" s="13">
        <v>6859</v>
      </c>
      <c r="L76" s="11">
        <v>0</v>
      </c>
      <c r="M76" s="11">
        <v>0</v>
      </c>
      <c r="N76" s="13">
        <v>0</v>
      </c>
      <c r="O76" s="11">
        <v>0</v>
      </c>
      <c r="P76" s="11">
        <v>0</v>
      </c>
      <c r="Q76" s="13">
        <f>K76+N76</f>
        <v>6859</v>
      </c>
      <c r="R76" s="11">
        <f>L76+O76</f>
        <v>0</v>
      </c>
      <c r="S76" s="11">
        <f>M76+P76</f>
        <v>0</v>
      </c>
      <c r="T76" s="8">
        <f>I76-Q76</f>
        <v>-91</v>
      </c>
      <c r="U76" s="18">
        <v>1.6323841696640453</v>
      </c>
      <c r="V76" s="11">
        <v>0</v>
      </c>
      <c r="W76" s="11">
        <v>0</v>
      </c>
      <c r="X76" s="11">
        <v>2</v>
      </c>
      <c r="Y76" s="11">
        <v>0</v>
      </c>
    </row>
    <row r="77" spans="1:25" x14ac:dyDescent="0.25">
      <c r="A77" s="20" t="s">
        <v>3228</v>
      </c>
      <c r="B77" s="20" t="s">
        <v>60</v>
      </c>
      <c r="C77" s="20" t="s">
        <v>3229</v>
      </c>
      <c r="D77" s="20" t="s">
        <v>216</v>
      </c>
      <c r="E77" s="13">
        <v>0</v>
      </c>
      <c r="F77" s="11">
        <v>0</v>
      </c>
      <c r="G77" s="13">
        <v>0</v>
      </c>
      <c r="H77" s="11">
        <v>0</v>
      </c>
      <c r="I77" s="13">
        <f>E77+G77</f>
        <v>0</v>
      </c>
      <c r="J77" s="11">
        <f>F77+H77</f>
        <v>0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0</v>
      </c>
      <c r="U77" s="18">
        <v>2.8137804784976638E-2</v>
      </c>
      <c r="V77" s="11">
        <v>0</v>
      </c>
      <c r="W77" s="11">
        <v>0</v>
      </c>
      <c r="X77" s="11">
        <v>0</v>
      </c>
      <c r="Y77" s="11">
        <v>0</v>
      </c>
    </row>
    <row r="78" spans="1:25" x14ac:dyDescent="0.25">
      <c r="A78" s="20" t="s">
        <v>3280</v>
      </c>
      <c r="B78" s="20" t="s">
        <v>3280</v>
      </c>
      <c r="C78" s="20" t="s">
        <v>406</v>
      </c>
      <c r="D78" s="20" t="s">
        <v>216</v>
      </c>
      <c r="E78" s="13">
        <v>3010.13</v>
      </c>
      <c r="F78" s="11">
        <v>0</v>
      </c>
      <c r="G78" s="13">
        <v>0</v>
      </c>
      <c r="H78" s="11">
        <v>0</v>
      </c>
      <c r="I78" s="13">
        <f>E78+G78</f>
        <v>3010.13</v>
      </c>
      <c r="J78" s="11">
        <f>F78+H78</f>
        <v>0</v>
      </c>
      <c r="K78" s="13">
        <v>6231</v>
      </c>
      <c r="L78" s="11">
        <v>0</v>
      </c>
      <c r="M78" s="11">
        <v>0</v>
      </c>
      <c r="N78" s="13">
        <v>7564</v>
      </c>
      <c r="O78" s="11">
        <v>0</v>
      </c>
      <c r="P78" s="11">
        <v>1</v>
      </c>
      <c r="Q78" s="13">
        <f>K78+N78</f>
        <v>13795</v>
      </c>
      <c r="R78" s="11">
        <f>L78+O78</f>
        <v>0</v>
      </c>
      <c r="S78" s="11">
        <f>M78+P78</f>
        <v>1</v>
      </c>
      <c r="T78" s="8">
        <f>I78-Q78</f>
        <v>-10784.869999999999</v>
      </c>
      <c r="U78" s="18">
        <v>0.13806534047901578</v>
      </c>
      <c r="V78" s="11">
        <v>0.33</v>
      </c>
      <c r="W78" s="11">
        <v>1</v>
      </c>
      <c r="X78" s="11">
        <v>2</v>
      </c>
      <c r="Y78" s="11">
        <v>1</v>
      </c>
    </row>
    <row r="79" spans="1:25" x14ac:dyDescent="0.25">
      <c r="A79" s="20" t="s">
        <v>3291</v>
      </c>
      <c r="B79" s="20" t="s">
        <v>3203</v>
      </c>
      <c r="C79" s="20" t="s">
        <v>3290</v>
      </c>
      <c r="D79" s="20" t="s">
        <v>216</v>
      </c>
      <c r="E79" s="13">
        <v>0</v>
      </c>
      <c r="F79" s="11">
        <v>0</v>
      </c>
      <c r="G79" s="13">
        <v>0</v>
      </c>
      <c r="H79" s="11">
        <v>0</v>
      </c>
      <c r="I79" s="13">
        <f>E79+G79</f>
        <v>0</v>
      </c>
      <c r="J79" s="11">
        <f>F79+H79</f>
        <v>0</v>
      </c>
      <c r="K79" s="13">
        <v>0</v>
      </c>
      <c r="L79" s="11">
        <v>0</v>
      </c>
      <c r="M79" s="11">
        <v>0</v>
      </c>
      <c r="N79" s="13">
        <v>0</v>
      </c>
      <c r="O79" s="11">
        <v>0</v>
      </c>
      <c r="P79" s="11">
        <v>0</v>
      </c>
      <c r="Q79" s="13">
        <f>K79+N79</f>
        <v>0</v>
      </c>
      <c r="R79" s="11">
        <f>L79+O79</f>
        <v>0</v>
      </c>
      <c r="S79" s="11">
        <f>M79+P79</f>
        <v>0</v>
      </c>
      <c r="T79" s="8">
        <f>I79-Q79</f>
        <v>0</v>
      </c>
      <c r="U79" s="18" t="s">
        <v>1803</v>
      </c>
      <c r="V79" s="11">
        <v>0</v>
      </c>
      <c r="W79" s="11">
        <v>0</v>
      </c>
      <c r="X79" s="11">
        <v>0</v>
      </c>
      <c r="Y79" s="11">
        <v>0</v>
      </c>
    </row>
    <row r="80" spans="1:25" x14ac:dyDescent="0.25">
      <c r="A80" s="20" t="s">
        <v>3292</v>
      </c>
      <c r="B80" s="20" t="s">
        <v>3203</v>
      </c>
      <c r="C80" s="20" t="s">
        <v>3011</v>
      </c>
      <c r="D80" s="20" t="s">
        <v>216</v>
      </c>
      <c r="E80" s="13">
        <v>13596</v>
      </c>
      <c r="F80" s="11">
        <v>0</v>
      </c>
      <c r="G80" s="13">
        <v>43988</v>
      </c>
      <c r="H80" s="11">
        <v>0</v>
      </c>
      <c r="I80" s="13">
        <f>E80+G80</f>
        <v>57584</v>
      </c>
      <c r="J80" s="11">
        <f>F80+H80</f>
        <v>0</v>
      </c>
      <c r="K80" s="13">
        <v>20091</v>
      </c>
      <c r="L80" s="11">
        <v>0</v>
      </c>
      <c r="M80" s="11">
        <v>0</v>
      </c>
      <c r="N80" s="13">
        <v>42153</v>
      </c>
      <c r="O80" s="11">
        <v>0</v>
      </c>
      <c r="P80" s="11">
        <v>3</v>
      </c>
      <c r="Q80" s="13">
        <f>K80+N80</f>
        <v>62244</v>
      </c>
      <c r="R80" s="11">
        <f>L80+O80</f>
        <v>0</v>
      </c>
      <c r="S80" s="11">
        <f>M80+P80</f>
        <v>3</v>
      </c>
      <c r="T80" s="8">
        <f>I80-Q80</f>
        <v>-4660</v>
      </c>
      <c r="U80" s="18">
        <v>0.52633787341106886</v>
      </c>
      <c r="V80" s="11">
        <v>0.38</v>
      </c>
      <c r="W80" s="11">
        <v>3</v>
      </c>
      <c r="X80" s="11">
        <v>5</v>
      </c>
      <c r="Y80" s="11">
        <v>0</v>
      </c>
    </row>
    <row r="81" spans="1:25" x14ac:dyDescent="0.25">
      <c r="A81" s="20" t="s">
        <v>3293</v>
      </c>
      <c r="B81" s="20" t="s">
        <v>3203</v>
      </c>
      <c r="C81" s="20" t="s">
        <v>3011</v>
      </c>
      <c r="D81" s="20" t="s">
        <v>216</v>
      </c>
      <c r="E81" s="13">
        <v>0</v>
      </c>
      <c r="F81" s="11">
        <v>0</v>
      </c>
      <c r="G81" s="13">
        <v>0</v>
      </c>
      <c r="H81" s="11">
        <v>0</v>
      </c>
      <c r="I81" s="13">
        <f>E81+G81</f>
        <v>0</v>
      </c>
      <c r="J81" s="11">
        <f>F81+H81</f>
        <v>0</v>
      </c>
      <c r="K81" s="13">
        <v>0</v>
      </c>
      <c r="L81" s="11">
        <v>0</v>
      </c>
      <c r="M81" s="11">
        <v>0</v>
      </c>
      <c r="N81" s="13">
        <v>0</v>
      </c>
      <c r="O81" s="11">
        <v>0</v>
      </c>
      <c r="P81" s="11">
        <v>0</v>
      </c>
      <c r="Q81" s="13">
        <f>K81+N81</f>
        <v>0</v>
      </c>
      <c r="R81" s="11">
        <f>L81+O81</f>
        <v>0</v>
      </c>
      <c r="S81" s="11">
        <f>M81+P81</f>
        <v>0</v>
      </c>
      <c r="T81" s="8">
        <f>I81-Q81</f>
        <v>0</v>
      </c>
      <c r="U81" s="18" t="s">
        <v>1803</v>
      </c>
      <c r="V81" s="11">
        <v>0</v>
      </c>
      <c r="W81" s="11">
        <v>0</v>
      </c>
      <c r="X81" s="11">
        <v>0</v>
      </c>
      <c r="Y81" s="11">
        <v>0</v>
      </c>
    </row>
    <row r="82" spans="1:25" x14ac:dyDescent="0.25">
      <c r="A82" s="20" t="s">
        <v>3294</v>
      </c>
      <c r="B82" s="20" t="s">
        <v>3203</v>
      </c>
      <c r="C82" s="20" t="s">
        <v>3011</v>
      </c>
      <c r="D82" s="20" t="s">
        <v>216</v>
      </c>
      <c r="E82" s="13">
        <v>0</v>
      </c>
      <c r="F82" s="11">
        <v>0</v>
      </c>
      <c r="G82" s="13">
        <v>0</v>
      </c>
      <c r="H82" s="11">
        <v>0</v>
      </c>
      <c r="I82" s="13">
        <f>E82+G82</f>
        <v>0</v>
      </c>
      <c r="J82" s="11">
        <f>F82+H82</f>
        <v>0</v>
      </c>
      <c r="K82" s="13">
        <v>0</v>
      </c>
      <c r="L82" s="11">
        <v>0</v>
      </c>
      <c r="M82" s="11">
        <v>0</v>
      </c>
      <c r="N82" s="13">
        <v>0</v>
      </c>
      <c r="O82" s="11">
        <v>0</v>
      </c>
      <c r="P82" s="11">
        <v>0</v>
      </c>
      <c r="Q82" s="13">
        <f>K82+N82</f>
        <v>0</v>
      </c>
      <c r="R82" s="11">
        <f>L82+O82</f>
        <v>0</v>
      </c>
      <c r="S82" s="11">
        <f>M82+P82</f>
        <v>0</v>
      </c>
      <c r="T82" s="8">
        <f>I82-Q82</f>
        <v>0</v>
      </c>
      <c r="U82" s="18">
        <v>-6.4606671645506597E-2</v>
      </c>
      <c r="V82" s="11">
        <v>0</v>
      </c>
      <c r="W82" s="11">
        <v>0</v>
      </c>
      <c r="X82" s="11">
        <v>0</v>
      </c>
      <c r="Y82" s="11">
        <v>1</v>
      </c>
    </row>
    <row r="83" spans="1:25" x14ac:dyDescent="0.25">
      <c r="A83" s="20" t="s">
        <v>3388</v>
      </c>
      <c r="B83" s="20" t="s">
        <v>949</v>
      </c>
      <c r="C83" s="20" t="s">
        <v>3389</v>
      </c>
      <c r="D83" s="20" t="s">
        <v>216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0</v>
      </c>
      <c r="L83" s="11">
        <v>0</v>
      </c>
      <c r="M83" s="11">
        <v>0</v>
      </c>
      <c r="N83" s="13">
        <v>0</v>
      </c>
      <c r="O83" s="11">
        <v>0</v>
      </c>
      <c r="P83" s="11">
        <v>6</v>
      </c>
      <c r="Q83" s="13">
        <f>K83+N83</f>
        <v>0</v>
      </c>
      <c r="R83" s="11">
        <f>L83+O83</f>
        <v>0</v>
      </c>
      <c r="S83" s="11">
        <f>M83+P83</f>
        <v>6</v>
      </c>
      <c r="T83" s="8">
        <f>I83-Q83</f>
        <v>0</v>
      </c>
      <c r="U83" s="18">
        <v>0.1383414142686229</v>
      </c>
      <c r="V83" s="11">
        <v>0.38</v>
      </c>
      <c r="W83" s="11">
        <v>6</v>
      </c>
      <c r="X83" s="11">
        <v>10</v>
      </c>
      <c r="Y83" s="11">
        <v>0</v>
      </c>
    </row>
    <row r="84" spans="1:25" x14ac:dyDescent="0.25">
      <c r="A84" s="20" t="s">
        <v>3390</v>
      </c>
      <c r="B84" s="20" t="s">
        <v>241</v>
      </c>
      <c r="C84" s="20" t="s">
        <v>1247</v>
      </c>
      <c r="D84" s="20" t="s">
        <v>216</v>
      </c>
      <c r="E84" s="13">
        <v>21844</v>
      </c>
      <c r="F84" s="11">
        <v>0</v>
      </c>
      <c r="G84" s="13">
        <v>14178.42</v>
      </c>
      <c r="H84" s="11">
        <v>2</v>
      </c>
      <c r="I84" s="13">
        <f>E84+G84</f>
        <v>36022.42</v>
      </c>
      <c r="J84" s="11">
        <f>F84+H84</f>
        <v>2</v>
      </c>
      <c r="K84" s="13">
        <v>13454.73</v>
      </c>
      <c r="L84" s="11">
        <v>0</v>
      </c>
      <c r="M84" s="11">
        <v>0</v>
      </c>
      <c r="N84" s="13">
        <v>13752.74</v>
      </c>
      <c r="O84" s="11">
        <v>1</v>
      </c>
      <c r="P84" s="11">
        <v>2</v>
      </c>
      <c r="Q84" s="13">
        <f>K84+N84</f>
        <v>27207.47</v>
      </c>
      <c r="R84" s="11">
        <f>L84+O84</f>
        <v>1</v>
      </c>
      <c r="S84" s="11">
        <f>M84+P84</f>
        <v>2</v>
      </c>
      <c r="T84" s="8">
        <f>I84-Q84</f>
        <v>8814.9499999999971</v>
      </c>
      <c r="U84" s="18">
        <v>0.35588706991804675</v>
      </c>
      <c r="V84" s="11">
        <v>0.27</v>
      </c>
      <c r="W84" s="11">
        <v>3</v>
      </c>
      <c r="X84" s="11">
        <v>8</v>
      </c>
      <c r="Y84" s="11">
        <v>0</v>
      </c>
    </row>
    <row r="85" spans="1:25" x14ac:dyDescent="0.25">
      <c r="A85" s="20" t="s">
        <v>3398</v>
      </c>
      <c r="B85" s="20" t="s">
        <v>3096</v>
      </c>
      <c r="C85" s="20" t="s">
        <v>283</v>
      </c>
      <c r="D85" s="20" t="s">
        <v>216</v>
      </c>
      <c r="E85" s="13">
        <v>7892</v>
      </c>
      <c r="F85" s="11">
        <v>0</v>
      </c>
      <c r="G85" s="13">
        <v>0</v>
      </c>
      <c r="H85" s="11">
        <v>0</v>
      </c>
      <c r="I85" s="13">
        <f>E85+G85</f>
        <v>7892</v>
      </c>
      <c r="J85" s="11">
        <f>F85+H85</f>
        <v>0</v>
      </c>
      <c r="K85" s="13">
        <v>7587</v>
      </c>
      <c r="L85" s="11">
        <v>1</v>
      </c>
      <c r="M85" s="11">
        <v>1</v>
      </c>
      <c r="N85" s="13">
        <v>0</v>
      </c>
      <c r="O85" s="11">
        <v>0</v>
      </c>
      <c r="P85" s="11">
        <v>0</v>
      </c>
      <c r="Q85" s="13">
        <f>K85+N85</f>
        <v>7587</v>
      </c>
      <c r="R85" s="11">
        <f>L85+O85</f>
        <v>1</v>
      </c>
      <c r="S85" s="11">
        <f>M85+P85</f>
        <v>1</v>
      </c>
      <c r="T85" s="8">
        <f>I85-Q85</f>
        <v>305</v>
      </c>
      <c r="U85" s="18">
        <v>0.16514223426057167</v>
      </c>
      <c r="V85" s="11">
        <v>0</v>
      </c>
      <c r="W85" s="11">
        <v>0</v>
      </c>
      <c r="X85" s="11">
        <v>0</v>
      </c>
      <c r="Y85" s="11">
        <v>0</v>
      </c>
    </row>
    <row r="86" spans="1:25" x14ac:dyDescent="0.25">
      <c r="A86" s="20" t="s">
        <v>3411</v>
      </c>
      <c r="B86" s="20" t="s">
        <v>58</v>
      </c>
      <c r="C86" s="20" t="s">
        <v>946</v>
      </c>
      <c r="D86" s="20" t="s">
        <v>216</v>
      </c>
      <c r="E86" s="13">
        <v>0</v>
      </c>
      <c r="F86" s="11">
        <v>0</v>
      </c>
      <c r="G86" s="13">
        <v>0</v>
      </c>
      <c r="H86" s="11">
        <v>0</v>
      </c>
      <c r="I86" s="13">
        <f>E86+G86</f>
        <v>0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0</v>
      </c>
      <c r="U86" s="18">
        <v>0.17971414791817522</v>
      </c>
      <c r="V86" s="11">
        <v>0</v>
      </c>
      <c r="W86" s="11">
        <v>0</v>
      </c>
      <c r="X86" s="11">
        <v>0</v>
      </c>
      <c r="Y86" s="11">
        <v>0</v>
      </c>
    </row>
    <row r="87" spans="1:25" x14ac:dyDescent="0.25">
      <c r="A87" s="20" t="s">
        <v>3412</v>
      </c>
      <c r="B87" s="20" t="s">
        <v>519</v>
      </c>
      <c r="C87" s="20" t="s">
        <v>3410</v>
      </c>
      <c r="D87" s="20" t="s">
        <v>216</v>
      </c>
      <c r="E87" s="13">
        <v>7664</v>
      </c>
      <c r="F87" s="11">
        <v>0</v>
      </c>
      <c r="G87" s="13">
        <v>0</v>
      </c>
      <c r="H87" s="11">
        <v>0</v>
      </c>
      <c r="I87" s="13">
        <f>E87+G87</f>
        <v>7664</v>
      </c>
      <c r="J87" s="11">
        <f>F87+H87</f>
        <v>0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7664</v>
      </c>
      <c r="U87" s="18">
        <v>4.0677579441846211E-2</v>
      </c>
      <c r="V87" s="11">
        <v>0</v>
      </c>
      <c r="W87" s="11">
        <v>0</v>
      </c>
      <c r="X87" s="11">
        <v>1</v>
      </c>
      <c r="Y87" s="11">
        <v>0</v>
      </c>
    </row>
    <row r="88" spans="1:25" x14ac:dyDescent="0.25">
      <c r="A88" s="20" t="s">
        <v>3418</v>
      </c>
      <c r="B88" s="20" t="s">
        <v>60</v>
      </c>
      <c r="C88" s="20" t="s">
        <v>3419</v>
      </c>
      <c r="D88" s="20" t="s">
        <v>216</v>
      </c>
      <c r="E88" s="13">
        <v>3516</v>
      </c>
      <c r="F88" s="11">
        <v>0</v>
      </c>
      <c r="G88" s="13">
        <v>0</v>
      </c>
      <c r="H88" s="11">
        <v>0</v>
      </c>
      <c r="I88" s="13">
        <f>E88+G88</f>
        <v>3516</v>
      </c>
      <c r="J88" s="11">
        <f>F88+H88</f>
        <v>0</v>
      </c>
      <c r="K88" s="13">
        <v>3158</v>
      </c>
      <c r="L88" s="11">
        <v>1</v>
      </c>
      <c r="M88" s="11">
        <v>1</v>
      </c>
      <c r="N88" s="13">
        <v>0</v>
      </c>
      <c r="O88" s="11">
        <v>0</v>
      </c>
      <c r="P88" s="11">
        <v>0</v>
      </c>
      <c r="Q88" s="13">
        <f>K88+N88</f>
        <v>3158</v>
      </c>
      <c r="R88" s="11">
        <f>L88+O88</f>
        <v>1</v>
      </c>
      <c r="S88" s="11">
        <f>M88+P88</f>
        <v>1</v>
      </c>
      <c r="T88" s="8">
        <f>I88-Q88</f>
        <v>358</v>
      </c>
      <c r="U88" s="18">
        <v>0.12636554753294207</v>
      </c>
      <c r="V88" s="11">
        <v>0.5</v>
      </c>
      <c r="W88" s="11">
        <v>1</v>
      </c>
      <c r="X88" s="11">
        <v>1</v>
      </c>
      <c r="Y88" s="11">
        <v>0</v>
      </c>
    </row>
    <row r="89" spans="1:25" x14ac:dyDescent="0.25">
      <c r="A89" s="20" t="s">
        <v>3630</v>
      </c>
      <c r="B89" s="20" t="s">
        <v>459</v>
      </c>
      <c r="C89" s="20" t="s">
        <v>3608</v>
      </c>
      <c r="D89" s="20" t="s">
        <v>216</v>
      </c>
      <c r="E89" s="13">
        <v>0</v>
      </c>
      <c r="F89" s="11">
        <v>0</v>
      </c>
      <c r="G89" s="13">
        <v>0</v>
      </c>
      <c r="H89" s="11">
        <v>0</v>
      </c>
      <c r="I89" s="13">
        <f>E89+G89</f>
        <v>0</v>
      </c>
      <c r="J89" s="11">
        <f>F89+H89</f>
        <v>0</v>
      </c>
      <c r="K89" s="13">
        <v>0</v>
      </c>
      <c r="L89" s="11">
        <v>0</v>
      </c>
      <c r="M89" s="11">
        <v>0</v>
      </c>
      <c r="N89" s="13">
        <v>0</v>
      </c>
      <c r="O89" s="11">
        <v>0</v>
      </c>
      <c r="P89" s="11">
        <v>0</v>
      </c>
      <c r="Q89" s="13">
        <f>K89+N89</f>
        <v>0</v>
      </c>
      <c r="R89" s="11">
        <f>L89+O89</f>
        <v>0</v>
      </c>
      <c r="S89" s="11">
        <f>M89+P89</f>
        <v>0</v>
      </c>
      <c r="T89" s="8">
        <f>I89-Q89</f>
        <v>0</v>
      </c>
      <c r="U89" s="18">
        <v>9.2184219144168522E-3</v>
      </c>
      <c r="V89" s="11">
        <v>0</v>
      </c>
      <c r="W89" s="11">
        <v>0</v>
      </c>
      <c r="X89" s="11">
        <v>0</v>
      </c>
      <c r="Y89" s="11">
        <v>0</v>
      </c>
    </row>
    <row r="90" spans="1:25" x14ac:dyDescent="0.25">
      <c r="A90" s="20" t="s">
        <v>586</v>
      </c>
      <c r="B90" s="20" t="s">
        <v>124</v>
      </c>
      <c r="C90" s="20" t="s">
        <v>587</v>
      </c>
      <c r="D90" s="20" t="s">
        <v>216</v>
      </c>
      <c r="E90" s="13">
        <v>0</v>
      </c>
      <c r="F90" s="11">
        <v>0</v>
      </c>
      <c r="G90" s="13">
        <v>0</v>
      </c>
      <c r="H90" s="11">
        <v>0</v>
      </c>
      <c r="I90" s="13">
        <f>E90+G90</f>
        <v>0</v>
      </c>
      <c r="J90" s="11">
        <f>F90+H90</f>
        <v>0</v>
      </c>
      <c r="K90" s="13">
        <v>0</v>
      </c>
      <c r="L90" s="11">
        <v>0</v>
      </c>
      <c r="M90" s="11">
        <v>0</v>
      </c>
      <c r="N90" s="13">
        <v>0</v>
      </c>
      <c r="O90" s="11">
        <v>0</v>
      </c>
      <c r="P90" s="11">
        <v>0</v>
      </c>
      <c r="Q90" s="13">
        <f>K90+N90</f>
        <v>0</v>
      </c>
      <c r="R90" s="11">
        <f>L90+O90</f>
        <v>0</v>
      </c>
      <c r="S90" s="11">
        <f>M90+P90</f>
        <v>0</v>
      </c>
      <c r="T90" s="8">
        <f>I90-Q90</f>
        <v>0</v>
      </c>
      <c r="U90" s="18">
        <v>5.2728792343332206E-2</v>
      </c>
      <c r="V90" s="11">
        <v>0</v>
      </c>
      <c r="W90" s="11">
        <v>0</v>
      </c>
      <c r="X90" s="11">
        <v>4</v>
      </c>
      <c r="Y90" s="11">
        <v>0</v>
      </c>
    </row>
    <row r="91" spans="1:25" x14ac:dyDescent="0.25">
      <c r="A91" s="20" t="s">
        <v>1805</v>
      </c>
      <c r="B91" s="20"/>
      <c r="C91" s="20"/>
      <c r="D91" s="20"/>
      <c r="E91" s="13">
        <f>SUBTOTAL(109,TableLAF[YTD WP])</f>
        <v>441886.28000000009</v>
      </c>
      <c r="F91" s="11">
        <f>SUBTOTAL(109,TableLAF[YTD NB '#])</f>
        <v>15</v>
      </c>
      <c r="G91" s="13">
        <f>SUBTOTAL(109,TableLAF[[YTD WP ]])</f>
        <v>460417.77</v>
      </c>
      <c r="H91" s="11">
        <f>SUBTOTAL(109,TableLAF[YTD NB '# ])</f>
        <v>14</v>
      </c>
      <c r="I91" s="13">
        <f>SUBTOTAL(109,TableLAF[[YTD WP  ]])</f>
        <v>902304.05</v>
      </c>
      <c r="J91" s="11">
        <f>SUBTOTAL(109,TableLAF[YTD NB '#  ])</f>
        <v>29</v>
      </c>
      <c r="K91" s="13">
        <f>SUBTOTAL(109,TableLAF[PYTD WP])</f>
        <v>552583.24</v>
      </c>
      <c r="L91" s="11">
        <f>SUBTOTAL(109,TableLAF[PYTD NB '#])</f>
        <v>8</v>
      </c>
      <c r="M91" s="11">
        <f>SUBTOTAL(109,TableLAF[PY Total NB '#])</f>
        <v>47</v>
      </c>
      <c r="N91" s="13">
        <f>SUBTOTAL(109,TableLAF[[PYTD WP ]])</f>
        <v>521581.02999999991</v>
      </c>
      <c r="O91" s="11">
        <f>SUBTOTAL(109,TableLAF[PYTD NB '# ])</f>
        <v>18</v>
      </c>
      <c r="P91" s="11">
        <f>SUBTOTAL(109,TableLAF[PY Total NB '# ])</f>
        <v>87</v>
      </c>
      <c r="Q91" s="13">
        <f>SUBTOTAL(109,TableLAF[[PYTD WP  ]])</f>
        <v>1074164.2700000003</v>
      </c>
      <c r="R91" s="11">
        <f>SUBTOTAL(109,TableLAF[PYTD NB '#  ])</f>
        <v>26</v>
      </c>
      <c r="S91" s="11">
        <f>SUBTOTAL(109,TableLAF[PY Total NB '#  ])</f>
        <v>134</v>
      </c>
      <c r="T91" s="8">
        <f>SUBTOTAL(109,TableLAF[Premium Change])</f>
        <v>-171860.21999999997</v>
      </c>
      <c r="V91" s="11">
        <f>ROUND(SUM(TableLAF[12 Mo Bound])/SUM(TableLAF[12 Mo Quoted])+ SUM(TableLAF[12 Mo Bound]), 2)</f>
        <v>140.41</v>
      </c>
      <c r="W91" s="11">
        <f>SUBTOTAL(109,TableLAF[12 Mo Bound])</f>
        <v>140</v>
      </c>
      <c r="X91" s="11">
        <f>SUBTOTAL(109,TableLAF[12 Mo Quoted])</f>
        <v>342</v>
      </c>
      <c r="Y91" s="11">
        <f>SUBTOTAL(109,TableLAF[12 Mo Declined])</f>
        <v>41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A80E1-3A2C-4455-9F69-8DB8842E7585}">
  <sheetPr>
    <pageSetUpPr fitToPage="1"/>
  </sheetPr>
  <dimension ref="A1:Z56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4257812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9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588</v>
      </c>
      <c r="B7" s="20" t="s">
        <v>60</v>
      </c>
      <c r="C7" s="20" t="s">
        <v>589</v>
      </c>
      <c r="D7" s="20" t="s">
        <v>216</v>
      </c>
      <c r="E7" s="13">
        <v>13318.16</v>
      </c>
      <c r="F7" s="11">
        <v>0</v>
      </c>
      <c r="G7" s="13">
        <v>408.84</v>
      </c>
      <c r="H7" s="11">
        <v>0</v>
      </c>
      <c r="I7" s="13">
        <f>E7+G7</f>
        <v>13727</v>
      </c>
      <c r="J7" s="11">
        <f>F7+H7</f>
        <v>0</v>
      </c>
      <c r="K7" s="13">
        <v>11009.71</v>
      </c>
      <c r="L7" s="11">
        <v>0</v>
      </c>
      <c r="M7" s="11">
        <v>0</v>
      </c>
      <c r="N7" s="13">
        <v>0</v>
      </c>
      <c r="O7" s="11">
        <v>0</v>
      </c>
      <c r="P7" s="11">
        <v>1</v>
      </c>
      <c r="Q7" s="13">
        <f>K7+N7</f>
        <v>11009.71</v>
      </c>
      <c r="R7" s="11">
        <f>L7+O7</f>
        <v>0</v>
      </c>
      <c r="S7" s="11">
        <f>M7+P7</f>
        <v>1</v>
      </c>
      <c r="T7" s="8">
        <f>I7-Q7</f>
        <v>2717.2900000000009</v>
      </c>
      <c r="U7" s="18">
        <v>-2.5794307104859181E-3</v>
      </c>
      <c r="V7" s="11">
        <v>0.2</v>
      </c>
      <c r="W7" s="11">
        <v>1</v>
      </c>
      <c r="X7" s="11">
        <v>4</v>
      </c>
      <c r="Y7" s="11">
        <v>1</v>
      </c>
    </row>
    <row r="8" spans="1:26" x14ac:dyDescent="0.25">
      <c r="A8" s="20" t="s">
        <v>593</v>
      </c>
      <c r="B8" s="20" t="s">
        <v>60</v>
      </c>
      <c r="C8" s="20" t="s">
        <v>594</v>
      </c>
      <c r="D8" s="20" t="s">
        <v>216</v>
      </c>
      <c r="E8" s="13">
        <v>2964</v>
      </c>
      <c r="F8" s="11">
        <v>0</v>
      </c>
      <c r="G8" s="13">
        <v>0</v>
      </c>
      <c r="H8" s="11">
        <v>0</v>
      </c>
      <c r="I8" s="13">
        <f>E8+G8</f>
        <v>2964</v>
      </c>
      <c r="J8" s="11">
        <f>F8+H8</f>
        <v>0</v>
      </c>
      <c r="K8" s="13">
        <v>2974</v>
      </c>
      <c r="L8" s="11">
        <v>0</v>
      </c>
      <c r="M8" s="11">
        <v>0</v>
      </c>
      <c r="N8" s="13">
        <v>0</v>
      </c>
      <c r="O8" s="11">
        <v>0</v>
      </c>
      <c r="P8" s="11">
        <v>1</v>
      </c>
      <c r="Q8" s="13">
        <f>K8+N8</f>
        <v>2974</v>
      </c>
      <c r="R8" s="11">
        <f>L8+O8</f>
        <v>0</v>
      </c>
      <c r="S8" s="11">
        <f>M8+P8</f>
        <v>1</v>
      </c>
      <c r="T8" s="8">
        <f>I8-Q8</f>
        <v>-10</v>
      </c>
      <c r="U8" s="18">
        <v>-0.12813237195696214</v>
      </c>
      <c r="V8" s="11">
        <v>0.5</v>
      </c>
      <c r="W8" s="11">
        <v>1</v>
      </c>
      <c r="X8" s="11">
        <v>1</v>
      </c>
      <c r="Y8" s="11">
        <v>0</v>
      </c>
    </row>
    <row r="9" spans="1:26" x14ac:dyDescent="0.25">
      <c r="A9" s="20" t="s">
        <v>596</v>
      </c>
      <c r="B9" s="20" t="s">
        <v>60</v>
      </c>
      <c r="C9" s="20" t="s">
        <v>597</v>
      </c>
      <c r="D9" s="20" t="s">
        <v>216</v>
      </c>
      <c r="E9" s="13">
        <v>0</v>
      </c>
      <c r="F9" s="11">
        <v>0</v>
      </c>
      <c r="G9" s="13">
        <v>1351</v>
      </c>
      <c r="H9" s="11">
        <v>1</v>
      </c>
      <c r="I9" s="13">
        <f>E9+G9</f>
        <v>1351</v>
      </c>
      <c r="J9" s="11">
        <f>F9+H9</f>
        <v>1</v>
      </c>
      <c r="K9" s="13">
        <v>551</v>
      </c>
      <c r="L9" s="11">
        <v>0</v>
      </c>
      <c r="M9" s="11">
        <v>0</v>
      </c>
      <c r="N9" s="13">
        <v>0</v>
      </c>
      <c r="O9" s="11">
        <v>0</v>
      </c>
      <c r="P9" s="11">
        <v>0</v>
      </c>
      <c r="Q9" s="13">
        <f>K9+N9</f>
        <v>551</v>
      </c>
      <c r="R9" s="11">
        <f>L9+O9</f>
        <v>0</v>
      </c>
      <c r="S9" s="11">
        <f>M9+P9</f>
        <v>0</v>
      </c>
      <c r="T9" s="8">
        <f>I9-Q9</f>
        <v>800</v>
      </c>
      <c r="U9" s="18">
        <v>8.8334599243457532E-2</v>
      </c>
      <c r="V9" s="11">
        <v>0.33</v>
      </c>
      <c r="W9" s="11">
        <v>1</v>
      </c>
      <c r="X9" s="11">
        <v>2</v>
      </c>
      <c r="Y9" s="11">
        <v>0</v>
      </c>
    </row>
    <row r="10" spans="1:26" x14ac:dyDescent="0.25">
      <c r="A10" s="20" t="s">
        <v>598</v>
      </c>
      <c r="B10" s="20" t="s">
        <v>598</v>
      </c>
      <c r="C10" s="20" t="s">
        <v>599</v>
      </c>
      <c r="D10" s="20" t="s">
        <v>216</v>
      </c>
      <c r="E10" s="13">
        <v>0</v>
      </c>
      <c r="F10" s="11">
        <v>0</v>
      </c>
      <c r="G10" s="13">
        <v>0</v>
      </c>
      <c r="H10" s="11">
        <v>0</v>
      </c>
      <c r="I10" s="13">
        <f>E10+G10</f>
        <v>0</v>
      </c>
      <c r="J10" s="11">
        <f>F10+H10</f>
        <v>0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0</v>
      </c>
      <c r="Q10" s="13">
        <f>K10+N10</f>
        <v>0</v>
      </c>
      <c r="R10" s="11">
        <f>L10+O10</f>
        <v>0</v>
      </c>
      <c r="S10" s="11">
        <f>M10+P10</f>
        <v>0</v>
      </c>
      <c r="T10" s="8">
        <f>I10-Q10</f>
        <v>0</v>
      </c>
      <c r="U10" s="18">
        <v>-3.0673468917705046E-2</v>
      </c>
      <c r="V10" s="11">
        <v>0</v>
      </c>
      <c r="W10" s="11">
        <v>0</v>
      </c>
      <c r="X10" s="11">
        <v>1</v>
      </c>
      <c r="Y10" s="11">
        <v>0</v>
      </c>
    </row>
    <row r="11" spans="1:26" x14ac:dyDescent="0.25">
      <c r="A11" s="20" t="s">
        <v>600</v>
      </c>
      <c r="B11" s="20" t="s">
        <v>600</v>
      </c>
      <c r="C11" s="20" t="s">
        <v>601</v>
      </c>
      <c r="D11" s="20" t="s">
        <v>216</v>
      </c>
      <c r="E11" s="13">
        <v>0</v>
      </c>
      <c r="F11" s="11">
        <v>0</v>
      </c>
      <c r="G11" s="13">
        <v>0</v>
      </c>
      <c r="H11" s="11">
        <v>0</v>
      </c>
      <c r="I11" s="13">
        <f>E11+G11</f>
        <v>0</v>
      </c>
      <c r="J11" s="11">
        <f>F11+H11</f>
        <v>0</v>
      </c>
      <c r="K11" s="13">
        <v>0</v>
      </c>
      <c r="L11" s="11">
        <v>0</v>
      </c>
      <c r="M11" s="11">
        <v>0</v>
      </c>
      <c r="N11" s="13">
        <v>0</v>
      </c>
      <c r="O11" s="11">
        <v>0</v>
      </c>
      <c r="P11" s="11">
        <v>2</v>
      </c>
      <c r="Q11" s="13">
        <f>K11+N11</f>
        <v>0</v>
      </c>
      <c r="R11" s="11">
        <f>L11+O11</f>
        <v>0</v>
      </c>
      <c r="S11" s="11">
        <f>M11+P11</f>
        <v>2</v>
      </c>
      <c r="T11" s="8">
        <f>I11-Q11</f>
        <v>0</v>
      </c>
      <c r="U11" s="18">
        <v>0.31723116243519012</v>
      </c>
      <c r="V11" s="11">
        <v>0.4</v>
      </c>
      <c r="W11" s="11">
        <v>2</v>
      </c>
      <c r="X11" s="11">
        <v>3</v>
      </c>
      <c r="Y11" s="11">
        <v>2</v>
      </c>
    </row>
    <row r="12" spans="1:26" x14ac:dyDescent="0.25">
      <c r="A12" s="20" t="s">
        <v>602</v>
      </c>
      <c r="B12" s="20" t="s">
        <v>60</v>
      </c>
      <c r="C12" s="20" t="s">
        <v>603</v>
      </c>
      <c r="D12" s="20" t="s">
        <v>216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0</v>
      </c>
      <c r="R12" s="11">
        <f>L12+O12</f>
        <v>0</v>
      </c>
      <c r="S12" s="11">
        <f>M12+P12</f>
        <v>0</v>
      </c>
      <c r="T12" s="8">
        <f>I12-Q12</f>
        <v>0</v>
      </c>
      <c r="U12" s="18">
        <v>-0.10555687357837834</v>
      </c>
      <c r="V12" s="11">
        <v>0</v>
      </c>
      <c r="W12" s="11">
        <v>0</v>
      </c>
      <c r="X12" s="11">
        <v>0</v>
      </c>
      <c r="Y12" s="11">
        <v>0</v>
      </c>
    </row>
    <row r="13" spans="1:26" x14ac:dyDescent="0.25">
      <c r="A13" s="20" t="s">
        <v>606</v>
      </c>
      <c r="B13" s="20" t="s">
        <v>58</v>
      </c>
      <c r="C13" s="20" t="s">
        <v>607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6704</v>
      </c>
      <c r="O13" s="11">
        <v>0</v>
      </c>
      <c r="P13" s="11">
        <v>0</v>
      </c>
      <c r="Q13" s="13">
        <f>K13+N13</f>
        <v>6704</v>
      </c>
      <c r="R13" s="11">
        <f>L13+O13</f>
        <v>0</v>
      </c>
      <c r="S13" s="11">
        <f>M13+P13</f>
        <v>0</v>
      </c>
      <c r="T13" s="8">
        <f>I13-Q13</f>
        <v>-6704</v>
      </c>
      <c r="U13" s="18">
        <v>-0.90229102917392201</v>
      </c>
      <c r="V13" s="11">
        <v>0</v>
      </c>
      <c r="W13" s="11">
        <v>0</v>
      </c>
      <c r="X13" s="11">
        <v>1</v>
      </c>
      <c r="Y13" s="11">
        <v>1</v>
      </c>
    </row>
    <row r="14" spans="1:26" x14ac:dyDescent="0.25">
      <c r="A14" s="20" t="s">
        <v>608</v>
      </c>
      <c r="B14" s="20" t="s">
        <v>60</v>
      </c>
      <c r="C14" s="20" t="s">
        <v>609</v>
      </c>
      <c r="D14" s="20" t="s">
        <v>216</v>
      </c>
      <c r="E14" s="13">
        <v>0</v>
      </c>
      <c r="F14" s="11">
        <v>0</v>
      </c>
      <c r="G14" s="13">
        <v>0</v>
      </c>
      <c r="H14" s="11">
        <v>0</v>
      </c>
      <c r="I14" s="13">
        <f>E14+G14</f>
        <v>0</v>
      </c>
      <c r="J14" s="11">
        <f>F14+H14</f>
        <v>0</v>
      </c>
      <c r="K14" s="13">
        <v>0</v>
      </c>
      <c r="L14" s="11">
        <v>0</v>
      </c>
      <c r="M14" s="11">
        <v>0</v>
      </c>
      <c r="N14" s="13">
        <v>2003</v>
      </c>
      <c r="O14" s="11">
        <v>0</v>
      </c>
      <c r="P14" s="11">
        <v>1</v>
      </c>
      <c r="Q14" s="13">
        <f>K14+N14</f>
        <v>2003</v>
      </c>
      <c r="R14" s="11">
        <f>L14+O14</f>
        <v>0</v>
      </c>
      <c r="S14" s="11">
        <f>M14+P14</f>
        <v>1</v>
      </c>
      <c r="T14" s="8">
        <f>I14-Q14</f>
        <v>-2003</v>
      </c>
      <c r="U14" s="18">
        <v>9.3320607517625498E-2</v>
      </c>
      <c r="V14" s="11">
        <v>0.5</v>
      </c>
      <c r="W14" s="11">
        <v>1</v>
      </c>
      <c r="X14" s="11">
        <v>1</v>
      </c>
      <c r="Y14" s="11">
        <v>0</v>
      </c>
    </row>
    <row r="15" spans="1:26" x14ac:dyDescent="0.25">
      <c r="A15" s="20" t="s">
        <v>613</v>
      </c>
      <c r="B15" s="20" t="s">
        <v>613</v>
      </c>
      <c r="C15" s="20" t="s">
        <v>614</v>
      </c>
      <c r="D15" s="20" t="s">
        <v>216</v>
      </c>
      <c r="E15" s="13">
        <v>6705</v>
      </c>
      <c r="F15" s="11">
        <v>1</v>
      </c>
      <c r="G15" s="13">
        <v>20752</v>
      </c>
      <c r="H15" s="11">
        <v>1</v>
      </c>
      <c r="I15" s="13">
        <f>E15+G15</f>
        <v>27457</v>
      </c>
      <c r="J15" s="11">
        <f>F15+H15</f>
        <v>2</v>
      </c>
      <c r="K15" s="13">
        <v>18123.060000000001</v>
      </c>
      <c r="L15" s="11">
        <v>0</v>
      </c>
      <c r="M15" s="11">
        <v>0</v>
      </c>
      <c r="N15" s="13">
        <v>0</v>
      </c>
      <c r="O15" s="11">
        <v>0</v>
      </c>
      <c r="P15" s="11">
        <v>5</v>
      </c>
      <c r="Q15" s="13">
        <f>K15+N15</f>
        <v>18123.060000000001</v>
      </c>
      <c r="R15" s="11">
        <f>L15+O15</f>
        <v>0</v>
      </c>
      <c r="S15" s="11">
        <f>M15+P15</f>
        <v>5</v>
      </c>
      <c r="T15" s="8">
        <f>I15-Q15</f>
        <v>9333.9399999999987</v>
      </c>
      <c r="U15" s="18">
        <v>0.19694651561429619</v>
      </c>
      <c r="V15" s="11">
        <v>0.21</v>
      </c>
      <c r="W15" s="11">
        <v>7</v>
      </c>
      <c r="X15" s="11">
        <v>26</v>
      </c>
      <c r="Y15" s="11">
        <v>5</v>
      </c>
    </row>
    <row r="16" spans="1:26" x14ac:dyDescent="0.25">
      <c r="A16" s="20" t="s">
        <v>617</v>
      </c>
      <c r="B16" s="20" t="s">
        <v>189</v>
      </c>
      <c r="C16" s="20" t="s">
        <v>212</v>
      </c>
      <c r="D16" s="20" t="s">
        <v>215</v>
      </c>
      <c r="E16" s="13">
        <v>0</v>
      </c>
      <c r="F16" s="11">
        <v>0</v>
      </c>
      <c r="G16" s="13">
        <v>-1257.27</v>
      </c>
      <c r="H16" s="11">
        <v>0</v>
      </c>
      <c r="I16" s="13">
        <f>E16+G16</f>
        <v>-1257.27</v>
      </c>
      <c r="J16" s="11">
        <f>F16+H16</f>
        <v>0</v>
      </c>
      <c r="K16" s="13">
        <v>0</v>
      </c>
      <c r="L16" s="11">
        <v>0</v>
      </c>
      <c r="M16" s="11">
        <v>1</v>
      </c>
      <c r="N16" s="13">
        <v>21865</v>
      </c>
      <c r="O16" s="11">
        <v>0</v>
      </c>
      <c r="P16" s="11">
        <v>0</v>
      </c>
      <c r="Q16" s="13">
        <f>K16+N16</f>
        <v>21865</v>
      </c>
      <c r="R16" s="11">
        <f>L16+O16</f>
        <v>0</v>
      </c>
      <c r="S16" s="11">
        <f>M16+P16</f>
        <v>1</v>
      </c>
      <c r="T16" s="8">
        <f>I16-Q16</f>
        <v>-23122.27</v>
      </c>
      <c r="U16" s="18" t="s">
        <v>1803</v>
      </c>
      <c r="V16" s="11">
        <v>0.5</v>
      </c>
      <c r="W16" s="11">
        <v>2</v>
      </c>
      <c r="X16" s="11">
        <v>2</v>
      </c>
      <c r="Y16" s="11">
        <v>0</v>
      </c>
    </row>
    <row r="17" spans="1:25" x14ac:dyDescent="0.25">
      <c r="A17" s="20" t="s">
        <v>619</v>
      </c>
      <c r="B17" s="20" t="s">
        <v>60</v>
      </c>
      <c r="C17" s="20" t="s">
        <v>620</v>
      </c>
      <c r="D17" s="20" t="s">
        <v>216</v>
      </c>
      <c r="E17" s="13">
        <v>5326</v>
      </c>
      <c r="F17" s="11">
        <v>0</v>
      </c>
      <c r="G17" s="13">
        <v>0</v>
      </c>
      <c r="H17" s="11">
        <v>0</v>
      </c>
      <c r="I17" s="13">
        <f>E17+G17</f>
        <v>5326</v>
      </c>
      <c r="J17" s="11">
        <f>F17+H17</f>
        <v>0</v>
      </c>
      <c r="K17" s="13">
        <v>5052</v>
      </c>
      <c r="L17" s="11">
        <v>0</v>
      </c>
      <c r="M17" s="11">
        <v>1</v>
      </c>
      <c r="N17" s="13">
        <v>0</v>
      </c>
      <c r="O17" s="11">
        <v>0</v>
      </c>
      <c r="P17" s="11">
        <v>1</v>
      </c>
      <c r="Q17" s="13">
        <f>K17+N17</f>
        <v>5052</v>
      </c>
      <c r="R17" s="11">
        <f>L17+O17</f>
        <v>0</v>
      </c>
      <c r="S17" s="11">
        <f>M17+P17</f>
        <v>2</v>
      </c>
      <c r="T17" s="8">
        <f>I17-Q17</f>
        <v>274</v>
      </c>
      <c r="U17" s="18">
        <v>3.7069109259426053E-2</v>
      </c>
      <c r="V17" s="11">
        <v>0.2</v>
      </c>
      <c r="W17" s="11">
        <v>2</v>
      </c>
      <c r="X17" s="11">
        <v>8</v>
      </c>
      <c r="Y17" s="11">
        <v>0</v>
      </c>
    </row>
    <row r="18" spans="1:25" x14ac:dyDescent="0.25">
      <c r="A18" s="20" t="s">
        <v>621</v>
      </c>
      <c r="B18" s="20" t="s">
        <v>60</v>
      </c>
      <c r="C18" s="20" t="s">
        <v>622</v>
      </c>
      <c r="D18" s="20" t="s">
        <v>216</v>
      </c>
      <c r="E18" s="13">
        <v>2728</v>
      </c>
      <c r="F18" s="11">
        <v>1</v>
      </c>
      <c r="G18" s="13">
        <v>21263.02</v>
      </c>
      <c r="H18" s="11">
        <v>1</v>
      </c>
      <c r="I18" s="13">
        <f>E18+G18</f>
        <v>23991.02</v>
      </c>
      <c r="J18" s="11">
        <f>F18+H18</f>
        <v>2</v>
      </c>
      <c r="K18" s="13">
        <v>490</v>
      </c>
      <c r="L18" s="11">
        <v>0</v>
      </c>
      <c r="M18" s="11">
        <v>0</v>
      </c>
      <c r="N18" s="13">
        <v>11681</v>
      </c>
      <c r="O18" s="11">
        <v>1</v>
      </c>
      <c r="P18" s="11">
        <v>4</v>
      </c>
      <c r="Q18" s="13">
        <f>K18+N18</f>
        <v>12171</v>
      </c>
      <c r="R18" s="11">
        <f>L18+O18</f>
        <v>1</v>
      </c>
      <c r="S18" s="11">
        <f>M18+P18</f>
        <v>4</v>
      </c>
      <c r="T18" s="8">
        <f>I18-Q18</f>
        <v>11820.02</v>
      </c>
      <c r="U18" s="18">
        <v>1.7592818503041927E-2</v>
      </c>
      <c r="V18" s="11">
        <v>0.22</v>
      </c>
      <c r="W18" s="11">
        <v>5</v>
      </c>
      <c r="X18" s="11">
        <v>18</v>
      </c>
      <c r="Y18" s="11">
        <v>9</v>
      </c>
    </row>
    <row r="19" spans="1:25" x14ac:dyDescent="0.25">
      <c r="A19" s="20" t="s">
        <v>627</v>
      </c>
      <c r="B19" s="20" t="s">
        <v>60</v>
      </c>
      <c r="C19" s="20" t="s">
        <v>628</v>
      </c>
      <c r="D19" s="20" t="s">
        <v>216</v>
      </c>
      <c r="E19" s="13">
        <v>0</v>
      </c>
      <c r="F19" s="11">
        <v>0</v>
      </c>
      <c r="G19" s="13">
        <v>0</v>
      </c>
      <c r="H19" s="11">
        <v>0</v>
      </c>
      <c r="I19" s="13">
        <f>E19+G19</f>
        <v>0</v>
      </c>
      <c r="J19" s="11">
        <f>F19+H19</f>
        <v>0</v>
      </c>
      <c r="K19" s="13">
        <v>0</v>
      </c>
      <c r="L19" s="11">
        <v>0</v>
      </c>
      <c r="M19" s="11">
        <v>0</v>
      </c>
      <c r="N19" s="13">
        <v>0</v>
      </c>
      <c r="O19" s="11">
        <v>0</v>
      </c>
      <c r="P19" s="11">
        <v>0</v>
      </c>
      <c r="Q19" s="13">
        <f>K19+N19</f>
        <v>0</v>
      </c>
      <c r="R19" s="11">
        <f>L19+O19</f>
        <v>0</v>
      </c>
      <c r="S19" s="11">
        <f>M19+P19</f>
        <v>0</v>
      </c>
      <c r="T19" s="8">
        <f>I19-Q19</f>
        <v>0</v>
      </c>
      <c r="U19" s="18">
        <v>-0.10401488395698001</v>
      </c>
      <c r="V19" s="11">
        <v>0</v>
      </c>
      <c r="W19" s="11">
        <v>0</v>
      </c>
      <c r="X19" s="11">
        <v>1</v>
      </c>
      <c r="Y19" s="11">
        <v>1</v>
      </c>
    </row>
    <row r="20" spans="1:25" x14ac:dyDescent="0.25">
      <c r="A20" s="20" t="s">
        <v>636</v>
      </c>
      <c r="B20" s="20" t="s">
        <v>189</v>
      </c>
      <c r="C20" s="20" t="s">
        <v>212</v>
      </c>
      <c r="D20" s="20" t="s">
        <v>215</v>
      </c>
      <c r="E20" s="13">
        <v>0</v>
      </c>
      <c r="F20" s="11">
        <v>0</v>
      </c>
      <c r="G20" s="13">
        <v>0</v>
      </c>
      <c r="H20" s="11">
        <v>0</v>
      </c>
      <c r="I20" s="13">
        <f>E20+G20</f>
        <v>0</v>
      </c>
      <c r="J20" s="11">
        <f>F20+H20</f>
        <v>0</v>
      </c>
      <c r="K20" s="13">
        <v>8227.43</v>
      </c>
      <c r="L20" s="11">
        <v>0</v>
      </c>
      <c r="M20" s="11">
        <v>0</v>
      </c>
      <c r="N20" s="13">
        <v>3645.58</v>
      </c>
      <c r="O20" s="11">
        <v>0</v>
      </c>
      <c r="P20" s="11">
        <v>3</v>
      </c>
      <c r="Q20" s="13">
        <f>K20+N20</f>
        <v>11873.01</v>
      </c>
      <c r="R20" s="11">
        <f>L20+O20</f>
        <v>0</v>
      </c>
      <c r="S20" s="11">
        <f>M20+P20</f>
        <v>3</v>
      </c>
      <c r="T20" s="8">
        <f>I20-Q20</f>
        <v>-11873.01</v>
      </c>
      <c r="U20" s="18" t="s">
        <v>1803</v>
      </c>
      <c r="V20" s="11">
        <v>0.38</v>
      </c>
      <c r="W20" s="11">
        <v>3</v>
      </c>
      <c r="X20" s="11">
        <v>5</v>
      </c>
      <c r="Y20" s="11">
        <v>2</v>
      </c>
    </row>
    <row r="21" spans="1:25" x14ac:dyDescent="0.25">
      <c r="A21" s="20" t="s">
        <v>3594</v>
      </c>
      <c r="B21" s="20" t="s">
        <v>3342</v>
      </c>
      <c r="C21" s="20" t="s">
        <v>3595</v>
      </c>
      <c r="D21" s="20" t="s">
        <v>216</v>
      </c>
      <c r="E21" s="13">
        <v>0</v>
      </c>
      <c r="F21" s="11">
        <v>0</v>
      </c>
      <c r="G21" s="13">
        <v>0</v>
      </c>
      <c r="H21" s="11">
        <v>0</v>
      </c>
      <c r="I21" s="13">
        <f>E21+G21</f>
        <v>0</v>
      </c>
      <c r="J21" s="11">
        <f>F21+H21</f>
        <v>0</v>
      </c>
      <c r="K21" s="13">
        <v>0</v>
      </c>
      <c r="L21" s="11">
        <v>0</v>
      </c>
      <c r="M21" s="11">
        <v>0</v>
      </c>
      <c r="N21" s="13">
        <v>0</v>
      </c>
      <c r="O21" s="11">
        <v>0</v>
      </c>
      <c r="P21" s="11">
        <v>0</v>
      </c>
      <c r="Q21" s="13">
        <f>K21+N21</f>
        <v>0</v>
      </c>
      <c r="R21" s="11">
        <f>L21+O21</f>
        <v>0</v>
      </c>
      <c r="S21" s="11">
        <f>M21+P21</f>
        <v>0</v>
      </c>
      <c r="T21" s="8">
        <f>I21-Q21</f>
        <v>0</v>
      </c>
      <c r="U21" s="18" t="s">
        <v>1803</v>
      </c>
      <c r="V21" s="11">
        <v>0</v>
      </c>
      <c r="W21" s="11">
        <v>0</v>
      </c>
      <c r="X21" s="11">
        <v>0</v>
      </c>
      <c r="Y21" s="11">
        <v>0</v>
      </c>
    </row>
    <row r="22" spans="1:25" x14ac:dyDescent="0.25">
      <c r="A22" s="20" t="s">
        <v>641</v>
      </c>
      <c r="B22" s="20" t="s">
        <v>60</v>
      </c>
      <c r="C22" s="20" t="s">
        <v>642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1</v>
      </c>
      <c r="Q22" s="13">
        <f>K22+N22</f>
        <v>0</v>
      </c>
      <c r="R22" s="11">
        <f>L22+O22</f>
        <v>0</v>
      </c>
      <c r="S22" s="11">
        <f>M22+P22</f>
        <v>1</v>
      </c>
      <c r="T22" s="8">
        <f>I22-Q22</f>
        <v>0</v>
      </c>
      <c r="U22" s="18">
        <v>6.8227430791565111E-2</v>
      </c>
      <c r="V22" s="11">
        <v>0.17</v>
      </c>
      <c r="W22" s="11">
        <v>1</v>
      </c>
      <c r="X22" s="11">
        <v>5</v>
      </c>
      <c r="Y22" s="11">
        <v>1</v>
      </c>
    </row>
    <row r="23" spans="1:25" x14ac:dyDescent="0.25">
      <c r="A23" s="20" t="s">
        <v>643</v>
      </c>
      <c r="B23" s="20" t="s">
        <v>60</v>
      </c>
      <c r="C23" s="20" t="s">
        <v>644</v>
      </c>
      <c r="D23" s="20" t="s">
        <v>216</v>
      </c>
      <c r="E23" s="13">
        <v>681</v>
      </c>
      <c r="F23" s="11">
        <v>0</v>
      </c>
      <c r="G23" s="13">
        <v>0</v>
      </c>
      <c r="H23" s="11">
        <v>0</v>
      </c>
      <c r="I23" s="13">
        <f>E23+G23</f>
        <v>681</v>
      </c>
      <c r="J23" s="11">
        <f>F23+H23</f>
        <v>0</v>
      </c>
      <c r="K23" s="13">
        <v>619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619</v>
      </c>
      <c r="R23" s="11">
        <f>L23+O23</f>
        <v>0</v>
      </c>
      <c r="S23" s="11">
        <f>M23+P23</f>
        <v>0</v>
      </c>
      <c r="T23" s="8">
        <f>I23-Q23</f>
        <v>62</v>
      </c>
      <c r="U23" s="18">
        <v>2.019676986394996E-2</v>
      </c>
      <c r="V23" s="11">
        <v>0</v>
      </c>
      <c r="W23" s="11">
        <v>0</v>
      </c>
      <c r="X23" s="11">
        <v>0</v>
      </c>
      <c r="Y23" s="11">
        <v>1</v>
      </c>
    </row>
    <row r="24" spans="1:25" x14ac:dyDescent="0.25">
      <c r="A24" s="20" t="s">
        <v>646</v>
      </c>
      <c r="B24" s="20" t="s">
        <v>646</v>
      </c>
      <c r="C24" s="20" t="s">
        <v>647</v>
      </c>
      <c r="D24" s="20" t="s">
        <v>216</v>
      </c>
      <c r="E24" s="13">
        <v>0</v>
      </c>
      <c r="F24" s="11">
        <v>0</v>
      </c>
      <c r="G24" s="13">
        <v>3453</v>
      </c>
      <c r="H24" s="11">
        <v>0</v>
      </c>
      <c r="I24" s="13">
        <f>E24+G24</f>
        <v>3453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2538</v>
      </c>
      <c r="O24" s="11">
        <v>0</v>
      </c>
      <c r="P24" s="11">
        <v>0</v>
      </c>
      <c r="Q24" s="13">
        <f>K24+N24</f>
        <v>2538</v>
      </c>
      <c r="R24" s="11">
        <f>L24+O24</f>
        <v>0</v>
      </c>
      <c r="S24" s="11">
        <f>M24+P24</f>
        <v>0</v>
      </c>
      <c r="T24" s="8">
        <f>I24-Q24</f>
        <v>915</v>
      </c>
      <c r="U24" s="18">
        <v>0.52356914389147247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633</v>
      </c>
      <c r="B25" s="20" t="s">
        <v>633</v>
      </c>
      <c r="C25" s="20" t="s">
        <v>632</v>
      </c>
      <c r="D25" s="20" t="s">
        <v>216</v>
      </c>
      <c r="E25" s="13">
        <v>2759.05</v>
      </c>
      <c r="F25" s="11">
        <v>0</v>
      </c>
      <c r="G25" s="13">
        <v>14100</v>
      </c>
      <c r="H25" s="11">
        <v>0</v>
      </c>
      <c r="I25" s="13">
        <f>E25+G25</f>
        <v>16859.05</v>
      </c>
      <c r="J25" s="11">
        <f>F25+H25</f>
        <v>0</v>
      </c>
      <c r="K25" s="13">
        <v>4604</v>
      </c>
      <c r="L25" s="11">
        <v>0</v>
      </c>
      <c r="M25" s="11">
        <v>0</v>
      </c>
      <c r="N25" s="13">
        <v>10689.34</v>
      </c>
      <c r="O25" s="11">
        <v>0</v>
      </c>
      <c r="P25" s="11">
        <v>0</v>
      </c>
      <c r="Q25" s="13">
        <f>K25+N25</f>
        <v>15293.34</v>
      </c>
      <c r="R25" s="11">
        <f>L25+O25</f>
        <v>0</v>
      </c>
      <c r="S25" s="11">
        <f>M25+P25</f>
        <v>0</v>
      </c>
      <c r="T25" s="8">
        <f>I25-Q25</f>
        <v>1565.7099999999991</v>
      </c>
      <c r="U25" s="18">
        <v>0.65482139929788197</v>
      </c>
      <c r="V25" s="11">
        <v>0</v>
      </c>
      <c r="W25" s="11">
        <v>0</v>
      </c>
      <c r="X25" s="11">
        <v>1</v>
      </c>
      <c r="Y25" s="11">
        <v>0</v>
      </c>
    </row>
    <row r="26" spans="1:25" x14ac:dyDescent="0.25">
      <c r="A26" s="20" t="s">
        <v>648</v>
      </c>
      <c r="B26" s="20" t="s">
        <v>60</v>
      </c>
      <c r="C26" s="20" t="s">
        <v>649</v>
      </c>
      <c r="D26" s="20" t="s">
        <v>216</v>
      </c>
      <c r="E26" s="13">
        <v>3737</v>
      </c>
      <c r="F26" s="11">
        <v>0</v>
      </c>
      <c r="G26" s="13">
        <v>3863.11</v>
      </c>
      <c r="H26" s="11">
        <v>0</v>
      </c>
      <c r="I26" s="13">
        <f>E26+G26</f>
        <v>7600.1100000000006</v>
      </c>
      <c r="J26" s="11">
        <f>F26+H26</f>
        <v>0</v>
      </c>
      <c r="K26" s="13">
        <v>3662</v>
      </c>
      <c r="L26" s="11">
        <v>0</v>
      </c>
      <c r="M26" s="11">
        <v>1</v>
      </c>
      <c r="N26" s="13">
        <v>0</v>
      </c>
      <c r="O26" s="11">
        <v>0</v>
      </c>
      <c r="P26" s="11">
        <v>1</v>
      </c>
      <c r="Q26" s="13">
        <f>K26+N26</f>
        <v>3662</v>
      </c>
      <c r="R26" s="11">
        <f>L26+O26</f>
        <v>0</v>
      </c>
      <c r="S26" s="11">
        <f>M26+P26</f>
        <v>2</v>
      </c>
      <c r="T26" s="8">
        <f>I26-Q26</f>
        <v>3938.1100000000006</v>
      </c>
      <c r="U26" s="18">
        <v>-1.6612089872222967E-2</v>
      </c>
      <c r="V26" s="11">
        <v>0.5</v>
      </c>
      <c r="W26" s="11">
        <v>3</v>
      </c>
      <c r="X26" s="11">
        <v>3</v>
      </c>
      <c r="Y26" s="11">
        <v>7</v>
      </c>
    </row>
    <row r="27" spans="1:25" x14ac:dyDescent="0.25">
      <c r="A27" s="20" t="s">
        <v>650</v>
      </c>
      <c r="B27" s="20" t="s">
        <v>590</v>
      </c>
      <c r="C27" s="20" t="s">
        <v>651</v>
      </c>
      <c r="D27" s="20" t="s">
        <v>216</v>
      </c>
      <c r="E27" s="13">
        <v>0</v>
      </c>
      <c r="F27" s="11">
        <v>0</v>
      </c>
      <c r="G27" s="13">
        <v>1595</v>
      </c>
      <c r="H27" s="11">
        <v>0</v>
      </c>
      <c r="I27" s="13">
        <f>E27+G27</f>
        <v>1595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18363</v>
      </c>
      <c r="O27" s="11">
        <v>1</v>
      </c>
      <c r="P27" s="11">
        <v>1</v>
      </c>
      <c r="Q27" s="13">
        <f>K27+N27</f>
        <v>18363</v>
      </c>
      <c r="R27" s="11">
        <f>L27+O27</f>
        <v>1</v>
      </c>
      <c r="S27" s="11">
        <f>M27+P27</f>
        <v>1</v>
      </c>
      <c r="T27" s="8">
        <f>I27-Q27</f>
        <v>-16768</v>
      </c>
      <c r="U27" s="18">
        <v>9.3349804468734796E-2</v>
      </c>
      <c r="V27" s="11">
        <v>0</v>
      </c>
      <c r="W27" s="11">
        <v>0</v>
      </c>
      <c r="X27" s="11">
        <v>3</v>
      </c>
      <c r="Y27" s="11">
        <v>1</v>
      </c>
    </row>
    <row r="28" spans="1:25" x14ac:dyDescent="0.25">
      <c r="A28" s="20" t="s">
        <v>655</v>
      </c>
      <c r="B28" s="20" t="s">
        <v>590</v>
      </c>
      <c r="C28" s="20" t="s">
        <v>656</v>
      </c>
      <c r="D28" s="20" t="s">
        <v>216</v>
      </c>
      <c r="E28" s="13">
        <v>0</v>
      </c>
      <c r="F28" s="11">
        <v>0</v>
      </c>
      <c r="G28" s="13">
        <v>1839</v>
      </c>
      <c r="H28" s="11">
        <v>0</v>
      </c>
      <c r="I28" s="13">
        <f>E28+G28</f>
        <v>1839</v>
      </c>
      <c r="J28" s="11">
        <f>F28+H28</f>
        <v>0</v>
      </c>
      <c r="K28" s="13">
        <v>25060</v>
      </c>
      <c r="L28" s="11">
        <v>3</v>
      </c>
      <c r="M28" s="11">
        <v>3</v>
      </c>
      <c r="N28" s="13">
        <v>3460</v>
      </c>
      <c r="O28" s="11">
        <v>2</v>
      </c>
      <c r="P28" s="11">
        <v>2</v>
      </c>
      <c r="Q28" s="13">
        <f>K28+N28</f>
        <v>28520</v>
      </c>
      <c r="R28" s="11">
        <f>L28+O28</f>
        <v>5</v>
      </c>
      <c r="S28" s="11">
        <f>M28+P28</f>
        <v>5</v>
      </c>
      <c r="T28" s="8">
        <f>I28-Q28</f>
        <v>-26681</v>
      </c>
      <c r="U28" s="18">
        <v>7.956808284518288E-2</v>
      </c>
      <c r="V28" s="11">
        <v>0</v>
      </c>
      <c r="W28" s="11">
        <v>0</v>
      </c>
      <c r="X28" s="11">
        <v>0</v>
      </c>
      <c r="Y28" s="11">
        <v>1</v>
      </c>
    </row>
    <row r="29" spans="1:25" x14ac:dyDescent="0.25">
      <c r="A29" s="20" t="s">
        <v>645</v>
      </c>
      <c r="B29" s="20" t="s">
        <v>645</v>
      </c>
      <c r="C29" s="20" t="s">
        <v>221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0</v>
      </c>
      <c r="U29" s="18">
        <v>1.5447476115679502E-2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658</v>
      </c>
      <c r="B30" s="20" t="s">
        <v>218</v>
      </c>
      <c r="C30" s="20" t="s">
        <v>611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>
        <v>2.5438398632949508</v>
      </c>
      <c r="V30" s="11">
        <v>0</v>
      </c>
      <c r="W30" s="11">
        <v>0</v>
      </c>
      <c r="X30" s="11">
        <v>0</v>
      </c>
      <c r="Y30" s="11">
        <v>0</v>
      </c>
    </row>
    <row r="31" spans="1:25" x14ac:dyDescent="0.25">
      <c r="A31" s="20" t="s">
        <v>660</v>
      </c>
      <c r="B31" s="20" t="s">
        <v>598</v>
      </c>
      <c r="C31" s="20" t="s">
        <v>661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>
        <v>-9.0131042370327624E-2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653</v>
      </c>
      <c r="B32" s="20" t="s">
        <v>653</v>
      </c>
      <c r="C32" s="20" t="s">
        <v>654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-5.6556121232738149E-2</v>
      </c>
      <c r="V32" s="11">
        <v>0</v>
      </c>
      <c r="W32" s="11">
        <v>0</v>
      </c>
      <c r="X32" s="11">
        <v>0</v>
      </c>
      <c r="Y32" s="11">
        <v>0</v>
      </c>
    </row>
    <row r="33" spans="1:25" x14ac:dyDescent="0.25">
      <c r="A33" s="20" t="s">
        <v>664</v>
      </c>
      <c r="B33" s="20" t="s">
        <v>60</v>
      </c>
      <c r="C33" s="20" t="s">
        <v>665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6.1397540177943517</v>
      </c>
      <c r="V33" s="11">
        <v>0</v>
      </c>
      <c r="W33" s="11">
        <v>0</v>
      </c>
      <c r="X33" s="11">
        <v>0</v>
      </c>
      <c r="Y33" s="11">
        <v>0</v>
      </c>
    </row>
    <row r="34" spans="1:25" x14ac:dyDescent="0.25">
      <c r="A34" s="20" t="s">
        <v>666</v>
      </c>
      <c r="B34" s="20" t="s">
        <v>83</v>
      </c>
      <c r="C34" s="20" t="s">
        <v>266</v>
      </c>
      <c r="D34" s="20" t="s">
        <v>216</v>
      </c>
      <c r="E34" s="13">
        <v>2223</v>
      </c>
      <c r="F34" s="11">
        <v>0</v>
      </c>
      <c r="G34" s="13">
        <v>0</v>
      </c>
      <c r="H34" s="11">
        <v>0</v>
      </c>
      <c r="I34" s="13">
        <f>E34+G34</f>
        <v>2223</v>
      </c>
      <c r="J34" s="11">
        <f>F34+H34</f>
        <v>0</v>
      </c>
      <c r="K34" s="13">
        <v>2032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2032</v>
      </c>
      <c r="R34" s="11">
        <f>L34+O34</f>
        <v>0</v>
      </c>
      <c r="S34" s="11">
        <f>M34+P34</f>
        <v>0</v>
      </c>
      <c r="T34" s="8">
        <f>I34-Q34</f>
        <v>191</v>
      </c>
      <c r="U34" s="18">
        <v>-1.0022642351329079E-2</v>
      </c>
      <c r="V34" s="11">
        <v>0</v>
      </c>
      <c r="W34" s="11">
        <v>0</v>
      </c>
      <c r="X34" s="11">
        <v>0</v>
      </c>
      <c r="Y34" s="11">
        <v>0</v>
      </c>
    </row>
    <row r="35" spans="1:25" x14ac:dyDescent="0.25">
      <c r="A35" s="20" t="s">
        <v>667</v>
      </c>
      <c r="B35" s="20" t="s">
        <v>668</v>
      </c>
      <c r="C35" s="20" t="s">
        <v>669</v>
      </c>
      <c r="D35" s="20" t="s">
        <v>216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0</v>
      </c>
      <c r="O35" s="11">
        <v>0</v>
      </c>
      <c r="P35" s="11">
        <v>2</v>
      </c>
      <c r="Q35" s="13">
        <f>K35+N35</f>
        <v>0</v>
      </c>
      <c r="R35" s="11">
        <f>L35+O35</f>
        <v>0</v>
      </c>
      <c r="S35" s="11">
        <f>M35+P35</f>
        <v>2</v>
      </c>
      <c r="T35" s="8">
        <f>I35-Q35</f>
        <v>0</v>
      </c>
      <c r="U35" s="18">
        <v>8.5088042437191494E-2</v>
      </c>
      <c r="V35" s="11">
        <v>0.5</v>
      </c>
      <c r="W35" s="11">
        <v>2</v>
      </c>
      <c r="X35" s="11">
        <v>2</v>
      </c>
      <c r="Y35" s="11">
        <v>5</v>
      </c>
    </row>
    <row r="36" spans="1:25" x14ac:dyDescent="0.25">
      <c r="A36" s="20" t="s">
        <v>3156</v>
      </c>
      <c r="B36" s="20" t="s">
        <v>60</v>
      </c>
      <c r="C36" s="20" t="s">
        <v>3157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 t="s">
        <v>1803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671</v>
      </c>
      <c r="B37" s="20" t="s">
        <v>83</v>
      </c>
      <c r="C37" s="20" t="s">
        <v>638</v>
      </c>
      <c r="D37" s="20" t="s">
        <v>216</v>
      </c>
      <c r="E37" s="13">
        <v>4854</v>
      </c>
      <c r="F37" s="11">
        <v>0</v>
      </c>
      <c r="G37" s="13">
        <v>3020.6</v>
      </c>
      <c r="H37" s="11">
        <v>0</v>
      </c>
      <c r="I37" s="13">
        <f>E37+G37</f>
        <v>7874.6</v>
      </c>
      <c r="J37" s="11">
        <f>F37+H37</f>
        <v>0</v>
      </c>
      <c r="K37" s="13">
        <v>4600.6000000000004</v>
      </c>
      <c r="L37" s="11">
        <v>0</v>
      </c>
      <c r="M37" s="11">
        <v>0</v>
      </c>
      <c r="N37" s="13">
        <v>6676</v>
      </c>
      <c r="O37" s="11">
        <v>0</v>
      </c>
      <c r="P37" s="11">
        <v>2</v>
      </c>
      <c r="Q37" s="13">
        <f>K37+N37</f>
        <v>11276.6</v>
      </c>
      <c r="R37" s="11">
        <f>L37+O37</f>
        <v>0</v>
      </c>
      <c r="S37" s="11">
        <f>M37+P37</f>
        <v>2</v>
      </c>
      <c r="T37" s="8">
        <f>I37-Q37</f>
        <v>-3402</v>
      </c>
      <c r="U37" s="18">
        <v>3.0911313844734226E-2</v>
      </c>
      <c r="V37" s="11">
        <v>0.28999999999999998</v>
      </c>
      <c r="W37" s="11">
        <v>2</v>
      </c>
      <c r="X37" s="11">
        <v>5</v>
      </c>
      <c r="Y37" s="11">
        <v>1</v>
      </c>
    </row>
    <row r="38" spans="1:25" x14ac:dyDescent="0.25">
      <c r="A38" s="20" t="s">
        <v>1806</v>
      </c>
      <c r="B38" s="20" t="s">
        <v>257</v>
      </c>
      <c r="C38" s="20" t="s">
        <v>1807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0</v>
      </c>
      <c r="R38" s="11">
        <f>L38+O38</f>
        <v>0</v>
      </c>
      <c r="S38" s="11">
        <f>M38+P38</f>
        <v>0</v>
      </c>
      <c r="T38" s="8">
        <f>I38-Q38</f>
        <v>0</v>
      </c>
      <c r="U38" s="18" t="s">
        <v>1803</v>
      </c>
      <c r="V38" s="11">
        <v>0</v>
      </c>
      <c r="W38" s="11">
        <v>0</v>
      </c>
      <c r="X38" s="11">
        <v>0</v>
      </c>
      <c r="Y38" s="11">
        <v>0</v>
      </c>
    </row>
    <row r="39" spans="1:25" x14ac:dyDescent="0.25">
      <c r="A39" s="20" t="s">
        <v>2988</v>
      </c>
      <c r="B39" s="20" t="s">
        <v>3342</v>
      </c>
      <c r="C39" s="20" t="s">
        <v>3580</v>
      </c>
      <c r="D39" s="20" t="s">
        <v>215</v>
      </c>
      <c r="E39" s="13">
        <v>0</v>
      </c>
      <c r="F39" s="11">
        <v>0</v>
      </c>
      <c r="G39" s="13">
        <v>0</v>
      </c>
      <c r="H39" s="11">
        <v>0</v>
      </c>
      <c r="I39" s="13">
        <f>E39+G39</f>
        <v>0</v>
      </c>
      <c r="J39" s="11">
        <f>F39+H39</f>
        <v>0</v>
      </c>
      <c r="K39" s="13">
        <v>0</v>
      </c>
      <c r="L39" s="11">
        <v>0</v>
      </c>
      <c r="M39" s="11">
        <v>0</v>
      </c>
      <c r="N39" s="13">
        <v>3329</v>
      </c>
      <c r="O39" s="11">
        <v>0</v>
      </c>
      <c r="P39" s="11">
        <v>0</v>
      </c>
      <c r="Q39" s="13">
        <f>K39+N39</f>
        <v>3329</v>
      </c>
      <c r="R39" s="11">
        <f>L39+O39</f>
        <v>0</v>
      </c>
      <c r="S39" s="11">
        <f>M39+P39</f>
        <v>0</v>
      </c>
      <c r="T39" s="8">
        <f>I39-Q39</f>
        <v>-3329</v>
      </c>
      <c r="U39" s="18" t="s">
        <v>1803</v>
      </c>
      <c r="V39" s="11">
        <v>0</v>
      </c>
      <c r="W39" s="11">
        <v>0</v>
      </c>
      <c r="X39" s="11">
        <v>1</v>
      </c>
      <c r="Y39" s="11">
        <v>3</v>
      </c>
    </row>
    <row r="40" spans="1:25" x14ac:dyDescent="0.25">
      <c r="A40" s="20" t="s">
        <v>3002</v>
      </c>
      <c r="B40" s="20" t="s">
        <v>218</v>
      </c>
      <c r="C40" s="20" t="s">
        <v>3003</v>
      </c>
      <c r="D40" s="20" t="s">
        <v>216</v>
      </c>
      <c r="E40" s="13">
        <v>0</v>
      </c>
      <c r="F40" s="11">
        <v>0</v>
      </c>
      <c r="G40" s="13">
        <v>0</v>
      </c>
      <c r="H40" s="11">
        <v>0</v>
      </c>
      <c r="I40" s="13">
        <f>E40+G40</f>
        <v>0</v>
      </c>
      <c r="J40" s="11">
        <f>F40+H40</f>
        <v>0</v>
      </c>
      <c r="K40" s="13">
        <v>2977.69</v>
      </c>
      <c r="L40" s="11">
        <v>0</v>
      </c>
      <c r="M40" s="11">
        <v>0</v>
      </c>
      <c r="N40" s="13">
        <v>1895.5</v>
      </c>
      <c r="O40" s="11">
        <v>0</v>
      </c>
      <c r="P40" s="11">
        <v>1</v>
      </c>
      <c r="Q40" s="13">
        <f>K40+N40</f>
        <v>4873.1900000000005</v>
      </c>
      <c r="R40" s="11">
        <f>L40+O40</f>
        <v>0</v>
      </c>
      <c r="S40" s="11">
        <f>M40+P40</f>
        <v>1</v>
      </c>
      <c r="T40" s="8">
        <f>I40-Q40</f>
        <v>-4873.1900000000005</v>
      </c>
      <c r="U40" s="18">
        <v>3.9693958018938616E-2</v>
      </c>
      <c r="V40" s="11">
        <v>0.25</v>
      </c>
      <c r="W40" s="11">
        <v>1</v>
      </c>
      <c r="X40" s="11">
        <v>3</v>
      </c>
      <c r="Y40" s="11">
        <v>0</v>
      </c>
    </row>
    <row r="41" spans="1:25" x14ac:dyDescent="0.25">
      <c r="A41" s="20" t="s">
        <v>3001</v>
      </c>
      <c r="B41" s="20" t="s">
        <v>3001</v>
      </c>
      <c r="C41" s="20" t="s">
        <v>3004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>
        <v>0.13767847735346961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3005</v>
      </c>
      <c r="B42" s="20" t="s">
        <v>58</v>
      </c>
      <c r="C42" s="20" t="s">
        <v>3006</v>
      </c>
      <c r="D42" s="20" t="s">
        <v>216</v>
      </c>
      <c r="E42" s="13">
        <v>5789</v>
      </c>
      <c r="F42" s="11">
        <v>0</v>
      </c>
      <c r="G42" s="13">
        <v>0</v>
      </c>
      <c r="H42" s="11">
        <v>0</v>
      </c>
      <c r="I42" s="13">
        <f>E42+G42</f>
        <v>5789</v>
      </c>
      <c r="J42" s="11">
        <f>F42+H42</f>
        <v>0</v>
      </c>
      <c r="K42" s="13">
        <v>5017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5017</v>
      </c>
      <c r="R42" s="11">
        <f>L42+O42</f>
        <v>0</v>
      </c>
      <c r="S42" s="11">
        <f>M42+P42</f>
        <v>0</v>
      </c>
      <c r="T42" s="8">
        <f>I42-Q42</f>
        <v>772</v>
      </c>
      <c r="U42" s="18">
        <v>0.10737668138787869</v>
      </c>
      <c r="V42" s="11">
        <v>0</v>
      </c>
      <c r="W42" s="11">
        <v>0</v>
      </c>
      <c r="X42" s="11">
        <v>1</v>
      </c>
      <c r="Y42" s="11">
        <v>0</v>
      </c>
    </row>
    <row r="43" spans="1:25" x14ac:dyDescent="0.25">
      <c r="A43" s="20" t="s">
        <v>3018</v>
      </c>
      <c r="B43" s="20" t="s">
        <v>60</v>
      </c>
      <c r="C43" s="20" t="s">
        <v>3019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0</v>
      </c>
      <c r="O43" s="11">
        <v>0</v>
      </c>
      <c r="P43" s="11">
        <v>0</v>
      </c>
      <c r="Q43" s="13">
        <f>K43+N43</f>
        <v>0</v>
      </c>
      <c r="R43" s="11">
        <f>L43+O43</f>
        <v>0</v>
      </c>
      <c r="S43" s="11">
        <f>M43+P43</f>
        <v>0</v>
      </c>
      <c r="T43" s="8">
        <f>I43-Q43</f>
        <v>0</v>
      </c>
      <c r="U43" s="18" t="s">
        <v>1803</v>
      </c>
      <c r="V43" s="11">
        <v>0</v>
      </c>
      <c r="W43" s="11">
        <v>0</v>
      </c>
      <c r="X43" s="11">
        <v>0</v>
      </c>
      <c r="Y43" s="11">
        <v>0</v>
      </c>
    </row>
    <row r="44" spans="1:25" x14ac:dyDescent="0.25">
      <c r="A44" s="20" t="s">
        <v>3080</v>
      </c>
      <c r="B44" s="20" t="s">
        <v>83</v>
      </c>
      <c r="C44" s="20" t="s">
        <v>638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-757.6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-757.6</v>
      </c>
      <c r="R44" s="11">
        <f>L44+O44</f>
        <v>0</v>
      </c>
      <c r="S44" s="11">
        <f>M44+P44</f>
        <v>0</v>
      </c>
      <c r="T44" s="8">
        <f>I44-Q44</f>
        <v>757.6</v>
      </c>
      <c r="U44" s="18">
        <v>0.15915788546750093</v>
      </c>
      <c r="V44" s="11">
        <v>0</v>
      </c>
      <c r="W44" s="11">
        <v>0</v>
      </c>
      <c r="X44" s="11">
        <v>2</v>
      </c>
      <c r="Y44" s="11">
        <v>1</v>
      </c>
    </row>
    <row r="45" spans="1:25" x14ac:dyDescent="0.25">
      <c r="A45" s="20" t="s">
        <v>3138</v>
      </c>
      <c r="B45" s="20" t="s">
        <v>60</v>
      </c>
      <c r="C45" s="20" t="s">
        <v>3139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0</v>
      </c>
      <c r="L45" s="11">
        <v>0</v>
      </c>
      <c r="M45" s="11">
        <v>2</v>
      </c>
      <c r="N45" s="13">
        <v>0</v>
      </c>
      <c r="O45" s="11">
        <v>0</v>
      </c>
      <c r="P45" s="11">
        <v>0</v>
      </c>
      <c r="Q45" s="13">
        <f>K45+N45</f>
        <v>0</v>
      </c>
      <c r="R45" s="11">
        <f>L45+O45</f>
        <v>0</v>
      </c>
      <c r="S45" s="11">
        <f>M45+P45</f>
        <v>2</v>
      </c>
      <c r="T45" s="8">
        <f>I45-Q45</f>
        <v>0</v>
      </c>
      <c r="U45" s="18">
        <v>7.1991741450761759E-2</v>
      </c>
      <c r="V45" s="11">
        <v>0.25</v>
      </c>
      <c r="W45" s="11">
        <v>2</v>
      </c>
      <c r="X45" s="11">
        <v>6</v>
      </c>
      <c r="Y45" s="11">
        <v>1</v>
      </c>
    </row>
    <row r="46" spans="1:25" x14ac:dyDescent="0.25">
      <c r="A46" s="20" t="s">
        <v>3252</v>
      </c>
      <c r="B46" s="20" t="s">
        <v>3252</v>
      </c>
      <c r="C46" s="20" t="s">
        <v>3253</v>
      </c>
      <c r="D46" s="20" t="s">
        <v>216</v>
      </c>
      <c r="E46" s="13">
        <v>3652.11</v>
      </c>
      <c r="F46" s="11">
        <v>0</v>
      </c>
      <c r="G46" s="13">
        <v>0</v>
      </c>
      <c r="H46" s="11">
        <v>0</v>
      </c>
      <c r="I46" s="13">
        <f>E46+G46</f>
        <v>3652.11</v>
      </c>
      <c r="J46" s="11">
        <f>F46+H46</f>
        <v>0</v>
      </c>
      <c r="K46" s="13">
        <v>4106.58</v>
      </c>
      <c r="L46" s="11">
        <v>0</v>
      </c>
      <c r="M46" s="11">
        <v>1</v>
      </c>
      <c r="N46" s="13">
        <v>0</v>
      </c>
      <c r="O46" s="11">
        <v>0</v>
      </c>
      <c r="P46" s="11">
        <v>2</v>
      </c>
      <c r="Q46" s="13">
        <f>K46+N46</f>
        <v>4106.58</v>
      </c>
      <c r="R46" s="11">
        <f>L46+O46</f>
        <v>0</v>
      </c>
      <c r="S46" s="11">
        <f>M46+P46</f>
        <v>3</v>
      </c>
      <c r="T46" s="8">
        <f>I46-Q46</f>
        <v>-454.4699999999998</v>
      </c>
      <c r="U46" s="18">
        <v>0.49709701042950677</v>
      </c>
      <c r="V46" s="11">
        <v>0.38</v>
      </c>
      <c r="W46" s="11">
        <v>3</v>
      </c>
      <c r="X46" s="11">
        <v>5</v>
      </c>
      <c r="Y46" s="11">
        <v>2</v>
      </c>
    </row>
    <row r="47" spans="1:25" x14ac:dyDescent="0.25">
      <c r="A47" s="20" t="s">
        <v>3261</v>
      </c>
      <c r="B47" s="20" t="s">
        <v>83</v>
      </c>
      <c r="C47" s="20" t="s">
        <v>638</v>
      </c>
      <c r="D47" s="20" t="s">
        <v>215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-10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-10</v>
      </c>
      <c r="R47" s="11">
        <f>L47+O47</f>
        <v>0</v>
      </c>
      <c r="S47" s="11">
        <f>M47+P47</f>
        <v>0</v>
      </c>
      <c r="T47" s="8">
        <f>I47-Q47</f>
        <v>10</v>
      </c>
      <c r="U47" s="18" t="s">
        <v>1803</v>
      </c>
      <c r="V47" s="11">
        <v>0</v>
      </c>
      <c r="W47" s="11">
        <v>0</v>
      </c>
      <c r="X47" s="11">
        <v>0</v>
      </c>
      <c r="Y47" s="11">
        <v>0</v>
      </c>
    </row>
    <row r="48" spans="1:25" x14ac:dyDescent="0.25">
      <c r="A48" s="20" t="s">
        <v>3308</v>
      </c>
      <c r="B48" s="20" t="s">
        <v>3342</v>
      </c>
      <c r="C48" s="20" t="s">
        <v>3580</v>
      </c>
      <c r="D48" s="20" t="s">
        <v>216</v>
      </c>
      <c r="E48" s="13">
        <v>0</v>
      </c>
      <c r="F48" s="11">
        <v>0</v>
      </c>
      <c r="G48" s="13">
        <v>3514</v>
      </c>
      <c r="H48" s="11">
        <v>0</v>
      </c>
      <c r="I48" s="13">
        <f>E48+G48</f>
        <v>3514</v>
      </c>
      <c r="J48" s="11">
        <f>F48+H48</f>
        <v>0</v>
      </c>
      <c r="K48" s="13">
        <v>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0</v>
      </c>
      <c r="R48" s="11">
        <f>L48+O48</f>
        <v>0</v>
      </c>
      <c r="S48" s="11">
        <f>M48+P48</f>
        <v>0</v>
      </c>
      <c r="T48" s="8">
        <f>I48-Q48</f>
        <v>3514</v>
      </c>
      <c r="U48" s="18">
        <v>0.3182500062269556</v>
      </c>
      <c r="V48" s="11">
        <v>0</v>
      </c>
      <c r="W48" s="11">
        <v>0</v>
      </c>
      <c r="X48" s="11">
        <v>0</v>
      </c>
      <c r="Y48" s="11">
        <v>0</v>
      </c>
    </row>
    <row r="49" spans="1:25" x14ac:dyDescent="0.25">
      <c r="A49" s="20" t="s">
        <v>3364</v>
      </c>
      <c r="B49" s="20" t="s">
        <v>60</v>
      </c>
      <c r="C49" s="20" t="s">
        <v>3095</v>
      </c>
      <c r="D49" s="20" t="s">
        <v>216</v>
      </c>
      <c r="E49" s="13">
        <v>2806.46</v>
      </c>
      <c r="F49" s="11">
        <v>1</v>
      </c>
      <c r="G49" s="13">
        <v>2254</v>
      </c>
      <c r="H49" s="11">
        <v>1</v>
      </c>
      <c r="I49" s="13">
        <f>E49+G49</f>
        <v>5060.46</v>
      </c>
      <c r="J49" s="11">
        <f>F49+H49</f>
        <v>2</v>
      </c>
      <c r="K49" s="13">
        <v>0</v>
      </c>
      <c r="L49" s="11">
        <v>0</v>
      </c>
      <c r="M49" s="11">
        <v>3</v>
      </c>
      <c r="N49" s="13">
        <v>0</v>
      </c>
      <c r="O49" s="11">
        <v>0</v>
      </c>
      <c r="P49" s="11">
        <v>0</v>
      </c>
      <c r="Q49" s="13">
        <f>K49+N49</f>
        <v>0</v>
      </c>
      <c r="R49" s="11">
        <f>L49+O49</f>
        <v>0</v>
      </c>
      <c r="S49" s="11">
        <f>M49+P49</f>
        <v>3</v>
      </c>
      <c r="T49" s="8">
        <f>I49-Q49</f>
        <v>5060.46</v>
      </c>
      <c r="U49" s="18">
        <v>1.1640154101140455E-2</v>
      </c>
      <c r="V49" s="11">
        <v>0.33</v>
      </c>
      <c r="W49" s="11">
        <v>5</v>
      </c>
      <c r="X49" s="11">
        <v>10</v>
      </c>
      <c r="Y49" s="11">
        <v>2</v>
      </c>
    </row>
    <row r="50" spans="1:25" x14ac:dyDescent="0.25">
      <c r="A50" s="20" t="s">
        <v>3377</v>
      </c>
      <c r="B50" s="20" t="s">
        <v>257</v>
      </c>
      <c r="C50" s="20" t="s">
        <v>3378</v>
      </c>
      <c r="D50" s="20" t="s">
        <v>216</v>
      </c>
      <c r="E50" s="13">
        <v>0</v>
      </c>
      <c r="F50" s="11">
        <v>0</v>
      </c>
      <c r="G50" s="13">
        <v>13799</v>
      </c>
      <c r="H50" s="11">
        <v>0</v>
      </c>
      <c r="I50" s="13">
        <f>E50+G50</f>
        <v>13799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2300.3000000000002</v>
      </c>
      <c r="O50" s="11">
        <v>1</v>
      </c>
      <c r="P50" s="11">
        <v>2</v>
      </c>
      <c r="Q50" s="13">
        <f>K50+N50</f>
        <v>2300.3000000000002</v>
      </c>
      <c r="R50" s="11">
        <f>L50+O50</f>
        <v>1</v>
      </c>
      <c r="S50" s="11">
        <f>M50+P50</f>
        <v>2</v>
      </c>
      <c r="T50" s="8">
        <f>I50-Q50</f>
        <v>11498.7</v>
      </c>
      <c r="U50" s="18">
        <v>3.4855489538169415E-2</v>
      </c>
      <c r="V50" s="11">
        <v>0.33</v>
      </c>
      <c r="W50" s="11">
        <v>1</v>
      </c>
      <c r="X50" s="11">
        <v>2</v>
      </c>
      <c r="Y50" s="11">
        <v>4</v>
      </c>
    </row>
    <row r="51" spans="1:25" x14ac:dyDescent="0.25">
      <c r="A51" s="20" t="s">
        <v>3413</v>
      </c>
      <c r="B51" s="20" t="s">
        <v>3342</v>
      </c>
      <c r="C51" s="20" t="s">
        <v>3344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20887</v>
      </c>
      <c r="O51" s="11">
        <v>0</v>
      </c>
      <c r="P51" s="11">
        <v>0</v>
      </c>
      <c r="Q51" s="13">
        <f>K51+N51</f>
        <v>20887</v>
      </c>
      <c r="R51" s="11">
        <f>L51+O51</f>
        <v>0</v>
      </c>
      <c r="S51" s="11">
        <f>M51+P51</f>
        <v>0</v>
      </c>
      <c r="T51" s="8">
        <f>I51-Q51</f>
        <v>-20887</v>
      </c>
      <c r="U51" s="18">
        <v>-4.57935148870353E-2</v>
      </c>
      <c r="V51" s="11">
        <v>0</v>
      </c>
      <c r="W51" s="11">
        <v>0</v>
      </c>
      <c r="X51" s="11">
        <v>1</v>
      </c>
      <c r="Y51" s="11">
        <v>0</v>
      </c>
    </row>
    <row r="52" spans="1:25" x14ac:dyDescent="0.25">
      <c r="A52" s="20" t="s">
        <v>3572</v>
      </c>
      <c r="B52" s="20" t="s">
        <v>189</v>
      </c>
      <c r="C52" s="20" t="s">
        <v>625</v>
      </c>
      <c r="D52" s="20" t="s">
        <v>216</v>
      </c>
      <c r="E52" s="13">
        <v>0</v>
      </c>
      <c r="F52" s="11">
        <v>0</v>
      </c>
      <c r="G52" s="13">
        <v>19495</v>
      </c>
      <c r="H52" s="11">
        <v>1</v>
      </c>
      <c r="I52" s="13">
        <f>E52+G52</f>
        <v>19495</v>
      </c>
      <c r="J52" s="11">
        <f>F52+H52</f>
        <v>1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1</v>
      </c>
      <c r="Q52" s="13">
        <f>K52+N52</f>
        <v>0</v>
      </c>
      <c r="R52" s="11">
        <f>L52+O52</f>
        <v>0</v>
      </c>
      <c r="S52" s="11">
        <f>M52+P52</f>
        <v>1</v>
      </c>
      <c r="T52" s="8">
        <f>I52-Q52</f>
        <v>19495</v>
      </c>
      <c r="U52" s="18">
        <v>2.7509561709073396E-2</v>
      </c>
      <c r="V52" s="11">
        <v>0.1</v>
      </c>
      <c r="W52" s="11">
        <v>1</v>
      </c>
      <c r="X52" s="11">
        <v>9</v>
      </c>
      <c r="Y52" s="11">
        <v>4</v>
      </c>
    </row>
    <row r="53" spans="1:25" x14ac:dyDescent="0.25">
      <c r="A53" s="20" t="s">
        <v>3596</v>
      </c>
      <c r="B53" s="20" t="s">
        <v>189</v>
      </c>
      <c r="C53" s="20" t="s">
        <v>618</v>
      </c>
      <c r="D53" s="20" t="s">
        <v>216</v>
      </c>
      <c r="E53" s="13">
        <v>8292</v>
      </c>
      <c r="F53" s="11">
        <v>0</v>
      </c>
      <c r="G53" s="13">
        <v>0</v>
      </c>
      <c r="H53" s="11">
        <v>0</v>
      </c>
      <c r="I53" s="13">
        <f>E53+G53</f>
        <v>8292</v>
      </c>
      <c r="J53" s="11">
        <f>F53+H53</f>
        <v>0</v>
      </c>
      <c r="K53" s="13">
        <v>0</v>
      </c>
      <c r="L53" s="11">
        <v>0</v>
      </c>
      <c r="M53" s="11">
        <v>2</v>
      </c>
      <c r="N53" s="13">
        <v>0</v>
      </c>
      <c r="O53" s="11">
        <v>0</v>
      </c>
      <c r="P53" s="11">
        <v>1</v>
      </c>
      <c r="Q53" s="13">
        <f>K53+N53</f>
        <v>0</v>
      </c>
      <c r="R53" s="11">
        <f>L53+O53</f>
        <v>0</v>
      </c>
      <c r="S53" s="11">
        <f>M53+P53</f>
        <v>3</v>
      </c>
      <c r="T53" s="8">
        <f>I53-Q53</f>
        <v>8292</v>
      </c>
      <c r="U53" s="18">
        <v>0.74500651993448852</v>
      </c>
      <c r="V53" s="11">
        <v>0.17</v>
      </c>
      <c r="W53" s="11">
        <v>1</v>
      </c>
      <c r="X53" s="11">
        <v>5</v>
      </c>
      <c r="Y53" s="11">
        <v>0</v>
      </c>
    </row>
    <row r="54" spans="1:25" x14ac:dyDescent="0.25">
      <c r="A54" s="20" t="s">
        <v>3605</v>
      </c>
      <c r="B54" s="20" t="s">
        <v>189</v>
      </c>
      <c r="C54" s="20" t="s">
        <v>212</v>
      </c>
      <c r="D54" s="20" t="s">
        <v>216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1</v>
      </c>
      <c r="N54" s="13">
        <v>0</v>
      </c>
      <c r="O54" s="11">
        <v>0</v>
      </c>
      <c r="P54" s="11">
        <v>0</v>
      </c>
      <c r="Q54" s="13">
        <f>K54+N54</f>
        <v>0</v>
      </c>
      <c r="R54" s="11">
        <f>L54+O54</f>
        <v>0</v>
      </c>
      <c r="S54" s="11">
        <f>M54+P54</f>
        <v>1</v>
      </c>
      <c r="T54" s="8">
        <f>I54-Q54</f>
        <v>0</v>
      </c>
      <c r="U54" s="18">
        <v>-1.2823589407680767</v>
      </c>
      <c r="V54" s="11">
        <v>0.17</v>
      </c>
      <c r="W54" s="11">
        <v>1</v>
      </c>
      <c r="X54" s="11">
        <v>5</v>
      </c>
      <c r="Y54" s="11">
        <v>1</v>
      </c>
    </row>
    <row r="55" spans="1:25" x14ac:dyDescent="0.25">
      <c r="A55" s="20" t="s">
        <v>3606</v>
      </c>
      <c r="B55" s="20" t="s">
        <v>189</v>
      </c>
      <c r="C55" s="20" t="s">
        <v>212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 t="s">
        <v>1803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1805</v>
      </c>
      <c r="B56" s="20"/>
      <c r="C56" s="20"/>
      <c r="D56" s="20"/>
      <c r="E56" s="13">
        <f>SUBTOTAL(109,TableLKO[YTD WP])</f>
        <v>65834.78</v>
      </c>
      <c r="F56" s="11">
        <f>SUBTOTAL(109,TableLKO[YTD NB '#])</f>
        <v>3</v>
      </c>
      <c r="G56" s="13">
        <f>SUBTOTAL(109,TableLKO[[YTD WP ]])</f>
        <v>109450.3</v>
      </c>
      <c r="H56" s="11">
        <f>SUBTOTAL(109,TableLKO[YTD NB '# ])</f>
        <v>5</v>
      </c>
      <c r="I56" s="13">
        <f>SUBTOTAL(109,TableLKO[[YTD WP  ]])</f>
        <v>175285.08000000002</v>
      </c>
      <c r="J56" s="11">
        <f>SUBTOTAL(109,TableLKO[YTD NB '#  ])</f>
        <v>8</v>
      </c>
      <c r="K56" s="13">
        <f>SUBTOTAL(109,TableLKO[PYTD WP])</f>
        <v>98338.470000000016</v>
      </c>
      <c r="L56" s="11">
        <f>SUBTOTAL(109,TableLKO[PYTD NB '#])</f>
        <v>3</v>
      </c>
      <c r="M56" s="11">
        <f>SUBTOTAL(109,TableLKO[PY Total NB '#])</f>
        <v>15</v>
      </c>
      <c r="N56" s="13">
        <f>SUBTOTAL(109,TableLKO[[PYTD WP ]])</f>
        <v>116036.72</v>
      </c>
      <c r="O56" s="11">
        <f>SUBTOTAL(109,TableLKO[PYTD NB '# ])</f>
        <v>5</v>
      </c>
      <c r="P56" s="11">
        <f>SUBTOTAL(109,TableLKO[PY Total NB '# ])</f>
        <v>34</v>
      </c>
      <c r="Q56" s="13">
        <f>SUBTOTAL(109,TableLKO[[PYTD WP  ]])</f>
        <v>214375.18999999997</v>
      </c>
      <c r="R56" s="11">
        <f>SUBTOTAL(109,TableLKO[PYTD NB '#  ])</f>
        <v>8</v>
      </c>
      <c r="S56" s="11">
        <f>SUBTOTAL(109,TableLKO[PY Total NB '#  ])</f>
        <v>49</v>
      </c>
      <c r="T56" s="8">
        <f>SUBTOTAL(109,TableLKO[Premium Change])</f>
        <v>-39090.109999999986</v>
      </c>
      <c r="V56" s="11">
        <f>ROUND(SUM(TableLKO[12 Mo Bound])/SUM(TableLKO[12 Mo Quoted])+ SUM(TableLKO[12 Mo Bound]), 2)</f>
        <v>48.34</v>
      </c>
      <c r="W56" s="11">
        <f>SUBTOTAL(109,TableLKO[12 Mo Bound])</f>
        <v>48</v>
      </c>
      <c r="X56" s="11">
        <f>SUBTOTAL(109,TableLKO[12 Mo Quoted])</f>
        <v>142</v>
      </c>
      <c r="Y56" s="11">
        <f>SUBTOTAL(109,TableLKO[12 Mo Declined])</f>
        <v>56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orientation="landscape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F2938-EA18-48D1-B099-BA45E37DC78B}">
  <sheetPr>
    <pageSetUpPr fitToPage="1"/>
  </sheetPr>
  <dimension ref="A1:Z98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.71093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3428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1066</v>
      </c>
      <c r="B7" s="20" t="s">
        <v>1066</v>
      </c>
      <c r="C7" s="20" t="s">
        <v>1067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0</v>
      </c>
      <c r="O7" s="11">
        <v>0</v>
      </c>
      <c r="P7" s="11">
        <v>0</v>
      </c>
      <c r="Q7" s="13">
        <f>K7+N7</f>
        <v>0</v>
      </c>
      <c r="R7" s="11">
        <f>L7+O7</f>
        <v>0</v>
      </c>
      <c r="S7" s="11">
        <f>M7+P7</f>
        <v>0</v>
      </c>
      <c r="T7" s="8">
        <f>I7-Q7</f>
        <v>0</v>
      </c>
      <c r="U7" s="18">
        <v>-9.3201963415339095E-2</v>
      </c>
      <c r="V7" s="11">
        <v>0</v>
      </c>
      <c r="W7" s="11">
        <v>0</v>
      </c>
      <c r="X7" s="11">
        <v>0</v>
      </c>
      <c r="Y7" s="11">
        <v>1</v>
      </c>
    </row>
    <row r="8" spans="1:26" x14ac:dyDescent="0.25">
      <c r="A8" s="20" t="s">
        <v>3431</v>
      </c>
      <c r="B8" s="20" t="s">
        <v>60</v>
      </c>
      <c r="C8" s="20" t="s">
        <v>3432</v>
      </c>
      <c r="D8" s="20" t="s">
        <v>216</v>
      </c>
      <c r="E8" s="13">
        <v>0</v>
      </c>
      <c r="F8" s="11">
        <v>0</v>
      </c>
      <c r="G8" s="13">
        <v>0</v>
      </c>
      <c r="H8" s="11">
        <v>0</v>
      </c>
      <c r="I8" s="13">
        <f>E8+G8</f>
        <v>0</v>
      </c>
      <c r="J8" s="11">
        <f>F8+H8</f>
        <v>0</v>
      </c>
      <c r="K8" s="13">
        <v>0</v>
      </c>
      <c r="L8" s="11">
        <v>0</v>
      </c>
      <c r="M8" s="11">
        <v>0</v>
      </c>
      <c r="N8" s="13">
        <v>0</v>
      </c>
      <c r="O8" s="11">
        <v>0</v>
      </c>
      <c r="P8" s="11">
        <v>0</v>
      </c>
      <c r="Q8" s="13">
        <f>K8+N8</f>
        <v>0</v>
      </c>
      <c r="R8" s="11">
        <f>L8+O8</f>
        <v>0</v>
      </c>
      <c r="S8" s="11">
        <f>M8+P8</f>
        <v>0</v>
      </c>
      <c r="T8" s="8">
        <f>I8-Q8</f>
        <v>0</v>
      </c>
      <c r="U8" s="18" t="s">
        <v>1803</v>
      </c>
      <c r="V8" s="11">
        <v>0</v>
      </c>
      <c r="W8" s="11">
        <v>0</v>
      </c>
      <c r="X8" s="11">
        <v>0</v>
      </c>
      <c r="Y8" s="11">
        <v>0</v>
      </c>
    </row>
    <row r="9" spans="1:26" x14ac:dyDescent="0.25">
      <c r="A9" s="20" t="s">
        <v>3433</v>
      </c>
      <c r="B9" s="20" t="s">
        <v>60</v>
      </c>
      <c r="C9" s="20" t="s">
        <v>3434</v>
      </c>
      <c r="D9" s="20" t="s">
        <v>216</v>
      </c>
      <c r="E9" s="13">
        <v>0</v>
      </c>
      <c r="F9" s="11">
        <v>0</v>
      </c>
      <c r="G9" s="13">
        <v>0</v>
      </c>
      <c r="H9" s="11">
        <v>0</v>
      </c>
      <c r="I9" s="13">
        <f>E9+G9</f>
        <v>0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0</v>
      </c>
      <c r="O9" s="11">
        <v>0</v>
      </c>
      <c r="P9" s="11">
        <v>0</v>
      </c>
      <c r="Q9" s="13">
        <f>K9+N9</f>
        <v>0</v>
      </c>
      <c r="R9" s="11">
        <f>L9+O9</f>
        <v>0</v>
      </c>
      <c r="S9" s="11">
        <f>M9+P9</f>
        <v>0</v>
      </c>
      <c r="T9" s="8">
        <f>I9-Q9</f>
        <v>0</v>
      </c>
      <c r="U9" s="18" t="s">
        <v>1803</v>
      </c>
      <c r="V9" s="11">
        <v>0</v>
      </c>
      <c r="W9" s="11">
        <v>0</v>
      </c>
      <c r="X9" s="11">
        <v>0</v>
      </c>
      <c r="Y9" s="11">
        <v>0</v>
      </c>
    </row>
    <row r="10" spans="1:26" x14ac:dyDescent="0.25">
      <c r="A10" s="20" t="s">
        <v>3435</v>
      </c>
      <c r="B10" s="20" t="s">
        <v>60</v>
      </c>
      <c r="C10" s="20" t="s">
        <v>3436</v>
      </c>
      <c r="D10" s="20" t="s">
        <v>216</v>
      </c>
      <c r="E10" s="13">
        <v>0</v>
      </c>
      <c r="F10" s="11">
        <v>0</v>
      </c>
      <c r="G10" s="13">
        <v>0</v>
      </c>
      <c r="H10" s="11">
        <v>0</v>
      </c>
      <c r="I10" s="13">
        <f>E10+G10</f>
        <v>0</v>
      </c>
      <c r="J10" s="11">
        <f>F10+H10</f>
        <v>0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0</v>
      </c>
      <c r="Q10" s="13">
        <f>K10+N10</f>
        <v>0</v>
      </c>
      <c r="R10" s="11">
        <f>L10+O10</f>
        <v>0</v>
      </c>
      <c r="S10" s="11">
        <f>M10+P10</f>
        <v>0</v>
      </c>
      <c r="T10" s="8">
        <f>I10-Q10</f>
        <v>0</v>
      </c>
      <c r="U10" s="18" t="s">
        <v>1803</v>
      </c>
      <c r="V10" s="11">
        <v>0</v>
      </c>
      <c r="W10" s="11">
        <v>0</v>
      </c>
      <c r="X10" s="11">
        <v>0</v>
      </c>
      <c r="Y10" s="11">
        <v>0</v>
      </c>
    </row>
    <row r="11" spans="1:26" x14ac:dyDescent="0.25">
      <c r="A11" s="20" t="s">
        <v>1087</v>
      </c>
      <c r="B11" s="20" t="s">
        <v>1088</v>
      </c>
      <c r="C11" s="20" t="s">
        <v>1089</v>
      </c>
      <c r="D11" s="20" t="s">
        <v>216</v>
      </c>
      <c r="E11" s="13">
        <v>0</v>
      </c>
      <c r="F11" s="11">
        <v>0</v>
      </c>
      <c r="G11" s="13">
        <v>0</v>
      </c>
      <c r="H11" s="11">
        <v>0</v>
      </c>
      <c r="I11" s="13">
        <f>E11+G11</f>
        <v>0</v>
      </c>
      <c r="J11" s="11">
        <f>F11+H11</f>
        <v>0</v>
      </c>
      <c r="K11" s="13">
        <v>0</v>
      </c>
      <c r="L11" s="11">
        <v>0</v>
      </c>
      <c r="M11" s="11">
        <v>1</v>
      </c>
      <c r="N11" s="13">
        <v>0</v>
      </c>
      <c r="O11" s="11">
        <v>0</v>
      </c>
      <c r="P11" s="11">
        <v>0</v>
      </c>
      <c r="Q11" s="13">
        <f>K11+N11</f>
        <v>0</v>
      </c>
      <c r="R11" s="11">
        <f>L11+O11</f>
        <v>0</v>
      </c>
      <c r="S11" s="11">
        <f>M11+P11</f>
        <v>1</v>
      </c>
      <c r="T11" s="8">
        <f>I11-Q11</f>
        <v>0</v>
      </c>
      <c r="U11" s="18">
        <v>-0.20404074771421241</v>
      </c>
      <c r="V11" s="11">
        <v>0.12</v>
      </c>
      <c r="W11" s="11">
        <v>1</v>
      </c>
      <c r="X11" s="11">
        <v>7</v>
      </c>
      <c r="Y11" s="11">
        <v>2</v>
      </c>
    </row>
    <row r="12" spans="1:26" x14ac:dyDescent="0.25">
      <c r="A12" s="20" t="s">
        <v>3437</v>
      </c>
      <c r="B12" s="20" t="s">
        <v>60</v>
      </c>
      <c r="C12" s="20" t="s">
        <v>3438</v>
      </c>
      <c r="D12" s="20" t="s">
        <v>216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0</v>
      </c>
      <c r="R12" s="11">
        <f>L12+O12</f>
        <v>0</v>
      </c>
      <c r="S12" s="11">
        <f>M12+P12</f>
        <v>0</v>
      </c>
      <c r="T12" s="8">
        <f>I12-Q12</f>
        <v>0</v>
      </c>
      <c r="U12" s="18" t="s">
        <v>1803</v>
      </c>
      <c r="V12" s="11">
        <v>0</v>
      </c>
      <c r="W12" s="11">
        <v>0</v>
      </c>
      <c r="X12" s="11">
        <v>0</v>
      </c>
      <c r="Y12" s="11">
        <v>0</v>
      </c>
    </row>
    <row r="13" spans="1:26" x14ac:dyDescent="0.25">
      <c r="A13" s="20" t="s">
        <v>3597</v>
      </c>
      <c r="B13" s="20" t="s">
        <v>60</v>
      </c>
      <c r="C13" s="20" t="s">
        <v>3598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0</v>
      </c>
      <c r="R13" s="11">
        <f>L13+O13</f>
        <v>0</v>
      </c>
      <c r="S13" s="11">
        <f>M13+P13</f>
        <v>0</v>
      </c>
      <c r="T13" s="8">
        <f>I13-Q13</f>
        <v>0</v>
      </c>
      <c r="U13" s="18" t="s">
        <v>1803</v>
      </c>
      <c r="V13" s="11">
        <v>0</v>
      </c>
      <c r="W13" s="11">
        <v>0</v>
      </c>
      <c r="X13" s="11">
        <v>0</v>
      </c>
      <c r="Y13" s="11">
        <v>0</v>
      </c>
    </row>
    <row r="14" spans="1:26" x14ac:dyDescent="0.25">
      <c r="A14" s="20" t="s">
        <v>1119</v>
      </c>
      <c r="B14" s="20" t="s">
        <v>60</v>
      </c>
      <c r="C14" s="20" t="s">
        <v>3439</v>
      </c>
      <c r="D14" s="20" t="s">
        <v>216</v>
      </c>
      <c r="E14" s="13">
        <v>0</v>
      </c>
      <c r="F14" s="11">
        <v>0</v>
      </c>
      <c r="G14" s="13">
        <v>0</v>
      </c>
      <c r="H14" s="11">
        <v>0</v>
      </c>
      <c r="I14" s="13">
        <f>E14+G14</f>
        <v>0</v>
      </c>
      <c r="J14" s="11">
        <f>F14+H14</f>
        <v>0</v>
      </c>
      <c r="K14" s="13">
        <v>0</v>
      </c>
      <c r="L14" s="11">
        <v>0</v>
      </c>
      <c r="M14" s="11">
        <v>4</v>
      </c>
      <c r="N14" s="13">
        <v>4378</v>
      </c>
      <c r="O14" s="11">
        <v>0</v>
      </c>
      <c r="P14" s="11">
        <v>0</v>
      </c>
      <c r="Q14" s="13">
        <f>K14+N14</f>
        <v>4378</v>
      </c>
      <c r="R14" s="11">
        <f>L14+O14</f>
        <v>0</v>
      </c>
      <c r="S14" s="11">
        <f>M14+P14</f>
        <v>4</v>
      </c>
      <c r="T14" s="8">
        <f>I14-Q14</f>
        <v>-4378</v>
      </c>
      <c r="U14" s="18">
        <v>0.15049677454372778</v>
      </c>
      <c r="V14" s="11">
        <v>0.28999999999999998</v>
      </c>
      <c r="W14" s="11">
        <v>4</v>
      </c>
      <c r="X14" s="11">
        <v>10</v>
      </c>
      <c r="Y14" s="11">
        <v>4</v>
      </c>
    </row>
    <row r="15" spans="1:26" x14ac:dyDescent="0.25">
      <c r="A15" s="20" t="s">
        <v>1125</v>
      </c>
      <c r="B15" s="20" t="s">
        <v>60</v>
      </c>
      <c r="C15" s="20" t="s">
        <v>3440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>
        <v>-1.8359580358237197E-2</v>
      </c>
      <c r="V15" s="11">
        <v>0</v>
      </c>
      <c r="W15" s="11">
        <v>0</v>
      </c>
      <c r="X15" s="11">
        <v>2</v>
      </c>
      <c r="Y15" s="11">
        <v>1</v>
      </c>
    </row>
    <row r="16" spans="1:26" x14ac:dyDescent="0.25">
      <c r="A16" s="20" t="s">
        <v>3441</v>
      </c>
      <c r="B16" s="20" t="s">
        <v>60</v>
      </c>
      <c r="C16" s="20" t="s">
        <v>3442</v>
      </c>
      <c r="D16" s="20" t="s">
        <v>216</v>
      </c>
      <c r="E16" s="13">
        <v>0</v>
      </c>
      <c r="F16" s="11">
        <v>0</v>
      </c>
      <c r="G16" s="13">
        <v>0</v>
      </c>
      <c r="H16" s="11">
        <v>0</v>
      </c>
      <c r="I16" s="13">
        <f>E16+G16</f>
        <v>0</v>
      </c>
      <c r="J16" s="11">
        <f>F16+H16</f>
        <v>0</v>
      </c>
      <c r="K16" s="13">
        <v>0</v>
      </c>
      <c r="L16" s="11">
        <v>0</v>
      </c>
      <c r="M16" s="11">
        <v>0</v>
      </c>
      <c r="N16" s="13">
        <v>0</v>
      </c>
      <c r="O16" s="11">
        <v>0</v>
      </c>
      <c r="P16" s="11">
        <v>0</v>
      </c>
      <c r="Q16" s="13">
        <f>K16+N16</f>
        <v>0</v>
      </c>
      <c r="R16" s="11">
        <f>L16+O16</f>
        <v>0</v>
      </c>
      <c r="S16" s="11">
        <f>M16+P16</f>
        <v>0</v>
      </c>
      <c r="T16" s="8">
        <f>I16-Q16</f>
        <v>0</v>
      </c>
      <c r="U16" s="18" t="s">
        <v>1803</v>
      </c>
      <c r="V16" s="11">
        <v>0</v>
      </c>
      <c r="W16" s="11">
        <v>0</v>
      </c>
      <c r="X16" s="11">
        <v>0</v>
      </c>
      <c r="Y16" s="11">
        <v>0</v>
      </c>
    </row>
    <row r="17" spans="1:25" x14ac:dyDescent="0.25">
      <c r="A17" s="20" t="s">
        <v>3443</v>
      </c>
      <c r="B17" s="20" t="s">
        <v>60</v>
      </c>
      <c r="C17" s="20" t="s">
        <v>3444</v>
      </c>
      <c r="D17" s="20" t="s">
        <v>216</v>
      </c>
      <c r="E17" s="13">
        <v>0</v>
      </c>
      <c r="F17" s="11">
        <v>0</v>
      </c>
      <c r="G17" s="13">
        <v>0</v>
      </c>
      <c r="H17" s="11">
        <v>0</v>
      </c>
      <c r="I17" s="13">
        <f>E17+G17</f>
        <v>0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0</v>
      </c>
      <c r="O17" s="11">
        <v>0</v>
      </c>
      <c r="P17" s="11">
        <v>0</v>
      </c>
      <c r="Q17" s="13">
        <f>K17+N17</f>
        <v>0</v>
      </c>
      <c r="R17" s="11">
        <f>L17+O17</f>
        <v>0</v>
      </c>
      <c r="S17" s="11">
        <f>M17+P17</f>
        <v>0</v>
      </c>
      <c r="T17" s="8">
        <f>I17-Q17</f>
        <v>0</v>
      </c>
      <c r="U17" s="18" t="s">
        <v>1803</v>
      </c>
      <c r="V17" s="11">
        <v>0</v>
      </c>
      <c r="W17" s="11">
        <v>0</v>
      </c>
      <c r="X17" s="11">
        <v>0</v>
      </c>
      <c r="Y17" s="11">
        <v>0</v>
      </c>
    </row>
    <row r="18" spans="1:25" x14ac:dyDescent="0.25">
      <c r="A18" s="20" t="s">
        <v>3445</v>
      </c>
      <c r="B18" s="20" t="s">
        <v>60</v>
      </c>
      <c r="C18" s="20" t="s">
        <v>3446</v>
      </c>
      <c r="D18" s="20" t="s">
        <v>216</v>
      </c>
      <c r="E18" s="13">
        <v>0</v>
      </c>
      <c r="F18" s="11">
        <v>0</v>
      </c>
      <c r="G18" s="13">
        <v>0</v>
      </c>
      <c r="H18" s="11">
        <v>0</v>
      </c>
      <c r="I18" s="13">
        <f>E18+G18</f>
        <v>0</v>
      </c>
      <c r="J18" s="11">
        <f>F18+H18</f>
        <v>0</v>
      </c>
      <c r="K18" s="13">
        <v>0</v>
      </c>
      <c r="L18" s="11">
        <v>0</v>
      </c>
      <c r="M18" s="11">
        <v>0</v>
      </c>
      <c r="N18" s="13">
        <v>0</v>
      </c>
      <c r="O18" s="11">
        <v>0</v>
      </c>
      <c r="P18" s="11">
        <v>0</v>
      </c>
      <c r="Q18" s="13">
        <f>K18+N18</f>
        <v>0</v>
      </c>
      <c r="R18" s="11">
        <f>L18+O18</f>
        <v>0</v>
      </c>
      <c r="S18" s="11">
        <f>M18+P18</f>
        <v>0</v>
      </c>
      <c r="T18" s="8">
        <f>I18-Q18</f>
        <v>0</v>
      </c>
      <c r="U18" s="18" t="s">
        <v>1803</v>
      </c>
      <c r="V18" s="11">
        <v>0</v>
      </c>
      <c r="W18" s="11">
        <v>0</v>
      </c>
      <c r="X18" s="11">
        <v>0</v>
      </c>
      <c r="Y18" s="11">
        <v>0</v>
      </c>
    </row>
    <row r="19" spans="1:25" x14ac:dyDescent="0.25">
      <c r="A19" s="20" t="s">
        <v>1229</v>
      </c>
      <c r="B19" s="20" t="s">
        <v>1199</v>
      </c>
      <c r="C19" s="20" t="s">
        <v>3447</v>
      </c>
      <c r="D19" s="20" t="s">
        <v>216</v>
      </c>
      <c r="E19" s="13">
        <v>5035</v>
      </c>
      <c r="F19" s="11">
        <v>0</v>
      </c>
      <c r="G19" s="13">
        <v>54</v>
      </c>
      <c r="H19" s="11">
        <v>0</v>
      </c>
      <c r="I19" s="13">
        <f>E19+G19</f>
        <v>5089</v>
      </c>
      <c r="J19" s="11">
        <f>F19+H19</f>
        <v>0</v>
      </c>
      <c r="K19" s="13">
        <v>4768</v>
      </c>
      <c r="L19" s="11">
        <v>0</v>
      </c>
      <c r="M19" s="11">
        <v>0</v>
      </c>
      <c r="N19" s="13">
        <v>0</v>
      </c>
      <c r="O19" s="11">
        <v>0</v>
      </c>
      <c r="P19" s="11">
        <v>0</v>
      </c>
      <c r="Q19" s="13">
        <f>K19+N19</f>
        <v>4768</v>
      </c>
      <c r="R19" s="11">
        <f>L19+O19</f>
        <v>0</v>
      </c>
      <c r="S19" s="11">
        <f>M19+P19</f>
        <v>0</v>
      </c>
      <c r="T19" s="8">
        <f>I19-Q19</f>
        <v>321</v>
      </c>
      <c r="U19" s="18">
        <v>0.3526225748138152</v>
      </c>
      <c r="V19" s="11">
        <v>0</v>
      </c>
      <c r="W19" s="11">
        <v>0</v>
      </c>
      <c r="X19" s="11">
        <v>1</v>
      </c>
      <c r="Y19" s="11">
        <v>0</v>
      </c>
    </row>
    <row r="20" spans="1:25" x14ac:dyDescent="0.25">
      <c r="A20" s="20" t="s">
        <v>3448</v>
      </c>
      <c r="B20" s="20" t="s">
        <v>60</v>
      </c>
      <c r="C20" s="20" t="s">
        <v>3449</v>
      </c>
      <c r="D20" s="20" t="s">
        <v>216</v>
      </c>
      <c r="E20" s="13">
        <v>0</v>
      </c>
      <c r="F20" s="11">
        <v>0</v>
      </c>
      <c r="G20" s="13">
        <v>0</v>
      </c>
      <c r="H20" s="11">
        <v>0</v>
      </c>
      <c r="I20" s="13">
        <f>E20+G20</f>
        <v>0</v>
      </c>
      <c r="J20" s="11">
        <f>F20+H20</f>
        <v>0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0</v>
      </c>
      <c r="Q20" s="13">
        <f>K20+N20</f>
        <v>0</v>
      </c>
      <c r="R20" s="11">
        <f>L20+O20</f>
        <v>0</v>
      </c>
      <c r="S20" s="11">
        <f>M20+P20</f>
        <v>0</v>
      </c>
      <c r="T20" s="8">
        <f>I20-Q20</f>
        <v>0</v>
      </c>
      <c r="U20" s="18" t="s">
        <v>1803</v>
      </c>
      <c r="V20" s="11">
        <v>0</v>
      </c>
      <c r="W20" s="11">
        <v>0</v>
      </c>
      <c r="X20" s="11">
        <v>0</v>
      </c>
      <c r="Y20" s="11">
        <v>0</v>
      </c>
    </row>
    <row r="21" spans="1:25" x14ac:dyDescent="0.25">
      <c r="A21" s="20" t="s">
        <v>1137</v>
      </c>
      <c r="B21" s="20" t="s">
        <v>1088</v>
      </c>
      <c r="C21" s="20" t="s">
        <v>3450</v>
      </c>
      <c r="D21" s="20" t="s">
        <v>216</v>
      </c>
      <c r="E21" s="13">
        <v>0</v>
      </c>
      <c r="F21" s="11">
        <v>0</v>
      </c>
      <c r="G21" s="13">
        <v>0</v>
      </c>
      <c r="H21" s="11">
        <v>0</v>
      </c>
      <c r="I21" s="13">
        <f>E21+G21</f>
        <v>0</v>
      </c>
      <c r="J21" s="11">
        <f>F21+H21</f>
        <v>0</v>
      </c>
      <c r="K21" s="13">
        <v>0</v>
      </c>
      <c r="L21" s="11">
        <v>0</v>
      </c>
      <c r="M21" s="11">
        <v>0</v>
      </c>
      <c r="N21" s="13">
        <v>0</v>
      </c>
      <c r="O21" s="11">
        <v>0</v>
      </c>
      <c r="P21" s="11">
        <v>0</v>
      </c>
      <c r="Q21" s="13">
        <f>K21+N21</f>
        <v>0</v>
      </c>
      <c r="R21" s="11">
        <f>L21+O21</f>
        <v>0</v>
      </c>
      <c r="S21" s="11">
        <f>M21+P21</f>
        <v>0</v>
      </c>
      <c r="T21" s="8">
        <f>I21-Q21</f>
        <v>0</v>
      </c>
      <c r="U21" s="18" t="s">
        <v>1803</v>
      </c>
      <c r="V21" s="11">
        <v>0</v>
      </c>
      <c r="W21" s="11">
        <v>0</v>
      </c>
      <c r="X21" s="11">
        <v>0</v>
      </c>
      <c r="Y21" s="11">
        <v>0</v>
      </c>
    </row>
    <row r="22" spans="1:25" x14ac:dyDescent="0.25">
      <c r="A22" s="20" t="s">
        <v>3451</v>
      </c>
      <c r="B22" s="20" t="s">
        <v>60</v>
      </c>
      <c r="C22" s="20" t="s">
        <v>3452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0</v>
      </c>
      <c r="R22" s="11">
        <f>L22+O22</f>
        <v>0</v>
      </c>
      <c r="S22" s="11">
        <f>M22+P22</f>
        <v>0</v>
      </c>
      <c r="T22" s="8">
        <f>I22-Q22</f>
        <v>0</v>
      </c>
      <c r="U22" s="18" t="s">
        <v>1803</v>
      </c>
      <c r="V22" s="11">
        <v>0</v>
      </c>
      <c r="W22" s="11">
        <v>0</v>
      </c>
      <c r="X22" s="11">
        <v>0</v>
      </c>
      <c r="Y22" s="11">
        <v>0</v>
      </c>
    </row>
    <row r="23" spans="1:25" x14ac:dyDescent="0.25">
      <c r="A23" s="20" t="s">
        <v>3453</v>
      </c>
      <c r="B23" s="20" t="s">
        <v>60</v>
      </c>
      <c r="C23" s="20" t="s">
        <v>3454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0</v>
      </c>
      <c r="T23" s="8">
        <f>I23-Q23</f>
        <v>0</v>
      </c>
      <c r="U23" s="18" t="s">
        <v>1803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3455</v>
      </c>
      <c r="B24" s="20" t="s">
        <v>60</v>
      </c>
      <c r="C24" s="20" t="s">
        <v>3456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 t="s">
        <v>1803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3457</v>
      </c>
      <c r="B25" s="20" t="s">
        <v>60</v>
      </c>
      <c r="C25" s="20" t="s">
        <v>3458</v>
      </c>
      <c r="D25" s="20" t="s">
        <v>216</v>
      </c>
      <c r="E25" s="13">
        <v>0</v>
      </c>
      <c r="F25" s="11">
        <v>0</v>
      </c>
      <c r="G25" s="13">
        <v>0</v>
      </c>
      <c r="H25" s="11">
        <v>0</v>
      </c>
      <c r="I25" s="13">
        <f>E25+G25</f>
        <v>0</v>
      </c>
      <c r="J25" s="11">
        <f>F25+H25</f>
        <v>0</v>
      </c>
      <c r="K25" s="13">
        <v>0</v>
      </c>
      <c r="L25" s="11">
        <v>0</v>
      </c>
      <c r="M25" s="11">
        <v>0</v>
      </c>
      <c r="N25" s="13">
        <v>0</v>
      </c>
      <c r="O25" s="11">
        <v>0</v>
      </c>
      <c r="P25" s="11">
        <v>0</v>
      </c>
      <c r="Q25" s="13">
        <f>K25+N25</f>
        <v>0</v>
      </c>
      <c r="R25" s="11">
        <f>L25+O25</f>
        <v>0</v>
      </c>
      <c r="S25" s="11">
        <f>M25+P25</f>
        <v>0</v>
      </c>
      <c r="T25" s="8">
        <f>I25-Q25</f>
        <v>0</v>
      </c>
      <c r="U25" s="18" t="s">
        <v>1803</v>
      </c>
      <c r="V25" s="11">
        <v>0</v>
      </c>
      <c r="W25" s="11">
        <v>0</v>
      </c>
      <c r="X25" s="11">
        <v>0</v>
      </c>
      <c r="Y25" s="11">
        <v>0</v>
      </c>
    </row>
    <row r="26" spans="1:25" x14ac:dyDescent="0.25">
      <c r="A26" s="20" t="s">
        <v>3459</v>
      </c>
      <c r="B26" s="20" t="s">
        <v>60</v>
      </c>
      <c r="C26" s="20" t="s">
        <v>3460</v>
      </c>
      <c r="D26" s="20" t="s">
        <v>216</v>
      </c>
      <c r="E26" s="13">
        <v>0</v>
      </c>
      <c r="F26" s="11">
        <v>0</v>
      </c>
      <c r="G26" s="13">
        <v>0</v>
      </c>
      <c r="H26" s="11">
        <v>0</v>
      </c>
      <c r="I26" s="13">
        <f>E26+G26</f>
        <v>0</v>
      </c>
      <c r="J26" s="11">
        <f>F26+H26</f>
        <v>0</v>
      </c>
      <c r="K26" s="13">
        <v>0</v>
      </c>
      <c r="L26" s="11">
        <v>0</v>
      </c>
      <c r="M26" s="11">
        <v>0</v>
      </c>
      <c r="N26" s="13">
        <v>0</v>
      </c>
      <c r="O26" s="11">
        <v>0</v>
      </c>
      <c r="P26" s="11">
        <v>0</v>
      </c>
      <c r="Q26" s="13">
        <f>K26+N26</f>
        <v>0</v>
      </c>
      <c r="R26" s="11">
        <f>L26+O26</f>
        <v>0</v>
      </c>
      <c r="S26" s="11">
        <f>M26+P26</f>
        <v>0</v>
      </c>
      <c r="T26" s="8">
        <f>I26-Q26</f>
        <v>0</v>
      </c>
      <c r="U26" s="18" t="s">
        <v>1803</v>
      </c>
      <c r="V26" s="11">
        <v>0</v>
      </c>
      <c r="W26" s="11">
        <v>0</v>
      </c>
      <c r="X26" s="11">
        <v>0</v>
      </c>
      <c r="Y26" s="11">
        <v>0</v>
      </c>
    </row>
    <row r="27" spans="1:25" x14ac:dyDescent="0.25">
      <c r="A27" s="20" t="s">
        <v>3631</v>
      </c>
      <c r="B27" s="20" t="s">
        <v>60</v>
      </c>
      <c r="C27" s="20" t="s">
        <v>3632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 t="s">
        <v>1803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3461</v>
      </c>
      <c r="B28" s="20" t="s">
        <v>60</v>
      </c>
      <c r="C28" s="20" t="s">
        <v>3462</v>
      </c>
      <c r="D28" s="20" t="s">
        <v>216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0</v>
      </c>
      <c r="O28" s="11">
        <v>0</v>
      </c>
      <c r="P28" s="11">
        <v>0</v>
      </c>
      <c r="Q28" s="13">
        <f>K28+N28</f>
        <v>0</v>
      </c>
      <c r="R28" s="11">
        <f>L28+O28</f>
        <v>0</v>
      </c>
      <c r="S28" s="11">
        <f>M28+P28</f>
        <v>0</v>
      </c>
      <c r="T28" s="8">
        <f>I28-Q28</f>
        <v>0</v>
      </c>
      <c r="U28" s="18" t="s">
        <v>1803</v>
      </c>
      <c r="V28" s="11">
        <v>0</v>
      </c>
      <c r="W28" s="11">
        <v>0</v>
      </c>
      <c r="X28" s="11">
        <v>0</v>
      </c>
      <c r="Y28" s="11">
        <v>0</v>
      </c>
    </row>
    <row r="29" spans="1:25" x14ac:dyDescent="0.25">
      <c r="A29" s="20" t="s">
        <v>3463</v>
      </c>
      <c r="B29" s="20" t="s">
        <v>60</v>
      </c>
      <c r="C29" s="20" t="s">
        <v>3464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0</v>
      </c>
      <c r="U29" s="18" t="s">
        <v>1803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3465</v>
      </c>
      <c r="B30" s="20" t="s">
        <v>60</v>
      </c>
      <c r="C30" s="20" t="s">
        <v>3466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 t="s">
        <v>1803</v>
      </c>
      <c r="V30" s="11">
        <v>0</v>
      </c>
      <c r="W30" s="11">
        <v>0</v>
      </c>
      <c r="X30" s="11">
        <v>0</v>
      </c>
      <c r="Y30" s="11">
        <v>0</v>
      </c>
    </row>
    <row r="31" spans="1:25" x14ac:dyDescent="0.25">
      <c r="A31" s="20" t="s">
        <v>3467</v>
      </c>
      <c r="B31" s="20" t="s">
        <v>60</v>
      </c>
      <c r="C31" s="20" t="s">
        <v>3468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 t="s">
        <v>1803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3469</v>
      </c>
      <c r="B32" s="20" t="s">
        <v>60</v>
      </c>
      <c r="C32" s="20" t="s">
        <v>3470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 t="s">
        <v>1803</v>
      </c>
      <c r="V32" s="11">
        <v>0</v>
      </c>
      <c r="W32" s="11">
        <v>0</v>
      </c>
      <c r="X32" s="11">
        <v>0</v>
      </c>
      <c r="Y32" s="11">
        <v>0</v>
      </c>
    </row>
    <row r="33" spans="1:25" x14ac:dyDescent="0.25">
      <c r="A33" s="20" t="s">
        <v>545</v>
      </c>
      <c r="B33" s="20" t="s">
        <v>81</v>
      </c>
      <c r="C33" s="20" t="s">
        <v>171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9.2824520131033488</v>
      </c>
      <c r="V33" s="11">
        <v>0</v>
      </c>
      <c r="W33" s="11">
        <v>0</v>
      </c>
      <c r="X33" s="11">
        <v>0</v>
      </c>
      <c r="Y33" s="11">
        <v>0</v>
      </c>
    </row>
    <row r="34" spans="1:25" x14ac:dyDescent="0.25">
      <c r="A34" s="20" t="s">
        <v>3471</v>
      </c>
      <c r="B34" s="20" t="s">
        <v>60</v>
      </c>
      <c r="C34" s="20" t="s">
        <v>3472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0</v>
      </c>
      <c r="R34" s="11">
        <f>L34+O34</f>
        <v>0</v>
      </c>
      <c r="S34" s="11">
        <f>M34+P34</f>
        <v>0</v>
      </c>
      <c r="T34" s="8">
        <f>I34-Q34</f>
        <v>0</v>
      </c>
      <c r="U34" s="18" t="s">
        <v>1803</v>
      </c>
      <c r="V34" s="11">
        <v>0</v>
      </c>
      <c r="W34" s="11">
        <v>0</v>
      </c>
      <c r="X34" s="11">
        <v>0</v>
      </c>
      <c r="Y34" s="11">
        <v>0</v>
      </c>
    </row>
    <row r="35" spans="1:25" x14ac:dyDescent="0.25">
      <c r="A35" s="20" t="s">
        <v>387</v>
      </c>
      <c r="B35" s="20" t="s">
        <v>387</v>
      </c>
      <c r="C35" s="20" t="s">
        <v>3429</v>
      </c>
      <c r="D35" s="20" t="s">
        <v>216</v>
      </c>
      <c r="E35" s="13">
        <v>6826</v>
      </c>
      <c r="F35" s="11">
        <v>0</v>
      </c>
      <c r="G35" s="13">
        <v>0</v>
      </c>
      <c r="H35" s="11">
        <v>0</v>
      </c>
      <c r="I35" s="13">
        <f>E35+G35</f>
        <v>6826</v>
      </c>
      <c r="J35" s="11">
        <f>F35+H35</f>
        <v>0</v>
      </c>
      <c r="K35" s="13">
        <v>1483</v>
      </c>
      <c r="L35" s="11">
        <v>0</v>
      </c>
      <c r="M35" s="11">
        <v>1</v>
      </c>
      <c r="N35" s="13">
        <v>0</v>
      </c>
      <c r="O35" s="11">
        <v>0</v>
      </c>
      <c r="P35" s="11">
        <v>0</v>
      </c>
      <c r="Q35" s="13">
        <f>K35+N35</f>
        <v>1483</v>
      </c>
      <c r="R35" s="11">
        <f>L35+O35</f>
        <v>0</v>
      </c>
      <c r="S35" s="11">
        <f>M35+P35</f>
        <v>1</v>
      </c>
      <c r="T35" s="8">
        <f>I35-Q35</f>
        <v>5343</v>
      </c>
      <c r="U35" s="18">
        <v>0.12656772000398875</v>
      </c>
      <c r="V35" s="11">
        <v>0</v>
      </c>
      <c r="W35" s="11">
        <v>1</v>
      </c>
      <c r="Y35" s="11">
        <v>0</v>
      </c>
    </row>
    <row r="36" spans="1:25" x14ac:dyDescent="0.25">
      <c r="A36" s="20" t="s">
        <v>3473</v>
      </c>
      <c r="B36" s="20" t="s">
        <v>60</v>
      </c>
      <c r="C36" s="20" t="s">
        <v>3474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 t="s">
        <v>1803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3475</v>
      </c>
      <c r="B37" s="20" t="s">
        <v>60</v>
      </c>
      <c r="C37" s="20" t="s">
        <v>3476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0</v>
      </c>
      <c r="R37" s="11">
        <f>L37+O37</f>
        <v>0</v>
      </c>
      <c r="S37" s="11">
        <f>M37+P37</f>
        <v>0</v>
      </c>
      <c r="T37" s="8">
        <f>I37-Q37</f>
        <v>0</v>
      </c>
      <c r="U37" s="18" t="s">
        <v>1803</v>
      </c>
      <c r="V37" s="11">
        <v>0</v>
      </c>
      <c r="W37" s="11">
        <v>0</v>
      </c>
      <c r="X37" s="11">
        <v>0</v>
      </c>
      <c r="Y37" s="11">
        <v>0</v>
      </c>
    </row>
    <row r="38" spans="1:25" x14ac:dyDescent="0.25">
      <c r="A38" s="20" t="s">
        <v>506</v>
      </c>
      <c r="B38" s="20" t="s">
        <v>506</v>
      </c>
      <c r="C38" s="20" t="s">
        <v>3430</v>
      </c>
      <c r="D38" s="20" t="s">
        <v>216</v>
      </c>
      <c r="E38" s="13">
        <v>915</v>
      </c>
      <c r="F38" s="11">
        <v>0</v>
      </c>
      <c r="G38" s="13">
        <v>0</v>
      </c>
      <c r="H38" s="11">
        <v>0</v>
      </c>
      <c r="I38" s="13">
        <f>E38+G38</f>
        <v>915</v>
      </c>
      <c r="J38" s="11">
        <f>F38+H38</f>
        <v>0</v>
      </c>
      <c r="K38" s="13">
        <v>872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872</v>
      </c>
      <c r="R38" s="11">
        <f>L38+O38</f>
        <v>0</v>
      </c>
      <c r="S38" s="11">
        <f>M38+P38</f>
        <v>0</v>
      </c>
      <c r="T38" s="8">
        <f>I38-Q38</f>
        <v>43</v>
      </c>
      <c r="U38" s="18">
        <v>-5.2623046139331005E-2</v>
      </c>
      <c r="V38" s="11">
        <v>0</v>
      </c>
      <c r="W38" s="11">
        <v>0</v>
      </c>
      <c r="X38" s="11">
        <v>2</v>
      </c>
      <c r="Y38" s="11">
        <v>0</v>
      </c>
    </row>
    <row r="39" spans="1:25" x14ac:dyDescent="0.25">
      <c r="A39" s="20" t="s">
        <v>1178</v>
      </c>
      <c r="B39" s="20" t="s">
        <v>1179</v>
      </c>
      <c r="C39" s="20" t="s">
        <v>3477</v>
      </c>
      <c r="D39" s="20" t="s">
        <v>216</v>
      </c>
      <c r="E39" s="13">
        <v>0</v>
      </c>
      <c r="F39" s="11">
        <v>0</v>
      </c>
      <c r="G39" s="13">
        <v>0</v>
      </c>
      <c r="H39" s="11">
        <v>0</v>
      </c>
      <c r="I39" s="13">
        <f>E39+G39</f>
        <v>0</v>
      </c>
      <c r="J39" s="11">
        <f>F39+H39</f>
        <v>0</v>
      </c>
      <c r="K39" s="13">
        <v>0</v>
      </c>
      <c r="L39" s="11">
        <v>0</v>
      </c>
      <c r="M39" s="11">
        <v>1</v>
      </c>
      <c r="N39" s="13">
        <v>0</v>
      </c>
      <c r="O39" s="11">
        <v>0</v>
      </c>
      <c r="P39" s="11">
        <v>0</v>
      </c>
      <c r="Q39" s="13">
        <f>K39+N39</f>
        <v>0</v>
      </c>
      <c r="R39" s="11">
        <f>L39+O39</f>
        <v>0</v>
      </c>
      <c r="S39" s="11">
        <f>M39+P39</f>
        <v>1</v>
      </c>
      <c r="T39" s="8">
        <f>I39-Q39</f>
        <v>0</v>
      </c>
      <c r="U39" s="18">
        <v>0.20234227922673584</v>
      </c>
      <c r="V39" s="11">
        <v>0.67</v>
      </c>
      <c r="W39" s="11">
        <v>2</v>
      </c>
      <c r="X39" s="11">
        <v>1</v>
      </c>
      <c r="Y39" s="11">
        <v>1</v>
      </c>
    </row>
    <row r="40" spans="1:25" x14ac:dyDescent="0.25">
      <c r="A40" s="20" t="s">
        <v>3422</v>
      </c>
      <c r="B40" s="20" t="s">
        <v>3422</v>
      </c>
      <c r="C40" s="20" t="s">
        <v>635</v>
      </c>
      <c r="D40" s="20" t="s">
        <v>216</v>
      </c>
      <c r="E40" s="13">
        <v>0</v>
      </c>
      <c r="F40" s="11">
        <v>0</v>
      </c>
      <c r="G40" s="13">
        <v>0</v>
      </c>
      <c r="H40" s="11">
        <v>0</v>
      </c>
      <c r="I40" s="13">
        <f>E40+G40</f>
        <v>0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0</v>
      </c>
      <c r="O40" s="11">
        <v>0</v>
      </c>
      <c r="P40" s="11">
        <v>0</v>
      </c>
      <c r="Q40" s="13">
        <f>K40+N40</f>
        <v>0</v>
      </c>
      <c r="R40" s="11">
        <f>L40+O40</f>
        <v>0</v>
      </c>
      <c r="S40" s="11">
        <f>M40+P40</f>
        <v>0</v>
      </c>
      <c r="T40" s="8">
        <f>I40-Q40</f>
        <v>0</v>
      </c>
      <c r="U40" s="18" t="s">
        <v>1803</v>
      </c>
      <c r="V40" s="11">
        <v>0</v>
      </c>
      <c r="W40" s="11">
        <v>0</v>
      </c>
      <c r="X40" s="11">
        <v>0</v>
      </c>
      <c r="Y40" s="11">
        <v>0</v>
      </c>
    </row>
    <row r="41" spans="1:25" x14ac:dyDescent="0.25">
      <c r="A41" s="20" t="s">
        <v>3160</v>
      </c>
      <c r="B41" s="20" t="s">
        <v>60</v>
      </c>
      <c r="C41" s="20" t="s">
        <v>3161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 t="s">
        <v>1803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3478</v>
      </c>
      <c r="B42" s="20" t="s">
        <v>60</v>
      </c>
      <c r="C42" s="20" t="s">
        <v>3479</v>
      </c>
      <c r="D42" s="20" t="s">
        <v>216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0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0</v>
      </c>
      <c r="R42" s="11">
        <f>L42+O42</f>
        <v>0</v>
      </c>
      <c r="S42" s="11">
        <f>M42+P42</f>
        <v>0</v>
      </c>
      <c r="T42" s="8">
        <f>I42-Q42</f>
        <v>0</v>
      </c>
      <c r="U42" s="18" t="s">
        <v>1803</v>
      </c>
      <c r="V42" s="11">
        <v>0</v>
      </c>
      <c r="W42" s="11">
        <v>0</v>
      </c>
      <c r="X42" s="11">
        <v>0</v>
      </c>
      <c r="Y42" s="11">
        <v>0</v>
      </c>
    </row>
    <row r="43" spans="1:25" x14ac:dyDescent="0.25">
      <c r="A43" s="20" t="s">
        <v>3480</v>
      </c>
      <c r="B43" s="20" t="s">
        <v>60</v>
      </c>
      <c r="C43" s="20" t="s">
        <v>3481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0</v>
      </c>
      <c r="O43" s="11">
        <v>0</v>
      </c>
      <c r="P43" s="11">
        <v>0</v>
      </c>
      <c r="Q43" s="13">
        <f>K43+N43</f>
        <v>0</v>
      </c>
      <c r="R43" s="11">
        <f>L43+O43</f>
        <v>0</v>
      </c>
      <c r="S43" s="11">
        <f>M43+P43</f>
        <v>0</v>
      </c>
      <c r="T43" s="8">
        <f>I43-Q43</f>
        <v>0</v>
      </c>
      <c r="U43" s="18" t="s">
        <v>1803</v>
      </c>
      <c r="V43" s="11">
        <v>0</v>
      </c>
      <c r="W43" s="11">
        <v>0</v>
      </c>
      <c r="X43" s="11">
        <v>0</v>
      </c>
      <c r="Y43" s="11">
        <v>0</v>
      </c>
    </row>
    <row r="44" spans="1:25" x14ac:dyDescent="0.25">
      <c r="A44" s="20" t="s">
        <v>1148</v>
      </c>
      <c r="B44" s="20" t="s">
        <v>1148</v>
      </c>
      <c r="C44" s="20" t="s">
        <v>3482</v>
      </c>
      <c r="D44" s="20" t="s">
        <v>216</v>
      </c>
      <c r="E44" s="13">
        <v>6590</v>
      </c>
      <c r="F44" s="11">
        <v>0</v>
      </c>
      <c r="G44" s="13">
        <v>0</v>
      </c>
      <c r="H44" s="11">
        <v>0</v>
      </c>
      <c r="I44" s="13">
        <f>E44+G44</f>
        <v>6590</v>
      </c>
      <c r="J44" s="11">
        <f>F44+H44</f>
        <v>0</v>
      </c>
      <c r="K44" s="13">
        <v>6272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6272</v>
      </c>
      <c r="R44" s="11">
        <f>L44+O44</f>
        <v>0</v>
      </c>
      <c r="S44" s="11">
        <f>M44+P44</f>
        <v>0</v>
      </c>
      <c r="T44" s="8">
        <f>I44-Q44</f>
        <v>318</v>
      </c>
      <c r="U44" s="18">
        <v>-5.476095419284855E-2</v>
      </c>
      <c r="V44" s="11">
        <v>0</v>
      </c>
      <c r="W44" s="11">
        <v>0</v>
      </c>
      <c r="X44" s="11">
        <v>0</v>
      </c>
      <c r="Y44" s="11">
        <v>0</v>
      </c>
    </row>
    <row r="45" spans="1:25" x14ac:dyDescent="0.25">
      <c r="A45" s="20" t="s">
        <v>1096</v>
      </c>
      <c r="B45" s="20" t="s">
        <v>1096</v>
      </c>
      <c r="C45" s="20" t="s">
        <v>3483</v>
      </c>
      <c r="D45" s="20" t="s">
        <v>216</v>
      </c>
      <c r="E45" s="13">
        <v>9794</v>
      </c>
      <c r="F45" s="11">
        <v>0</v>
      </c>
      <c r="G45" s="13">
        <v>0</v>
      </c>
      <c r="H45" s="11">
        <v>0</v>
      </c>
      <c r="I45" s="13">
        <f>E45+G45</f>
        <v>9794</v>
      </c>
      <c r="J45" s="11">
        <f>F45+H45</f>
        <v>0</v>
      </c>
      <c r="K45" s="13">
        <v>14614</v>
      </c>
      <c r="L45" s="11">
        <v>0</v>
      </c>
      <c r="M45" s="11">
        <v>0</v>
      </c>
      <c r="N45" s="13">
        <v>0</v>
      </c>
      <c r="O45" s="11">
        <v>0</v>
      </c>
      <c r="P45" s="11">
        <v>0</v>
      </c>
      <c r="Q45" s="13">
        <f>K45+N45</f>
        <v>14614</v>
      </c>
      <c r="R45" s="11">
        <f>L45+O45</f>
        <v>0</v>
      </c>
      <c r="S45" s="11">
        <f>M45+P45</f>
        <v>0</v>
      </c>
      <c r="T45" s="8">
        <f>I45-Q45</f>
        <v>-4820</v>
      </c>
      <c r="U45" s="18">
        <v>6.4086671146429686E-2</v>
      </c>
      <c r="V45" s="11">
        <v>0</v>
      </c>
      <c r="W45" s="11">
        <v>0</v>
      </c>
      <c r="X45" s="11">
        <v>0</v>
      </c>
      <c r="Y45" s="11">
        <v>0</v>
      </c>
    </row>
    <row r="46" spans="1:25" x14ac:dyDescent="0.25">
      <c r="A46" s="20" t="s">
        <v>3484</v>
      </c>
      <c r="B46" s="20" t="s">
        <v>60</v>
      </c>
      <c r="C46" s="20" t="s">
        <v>3485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 t="s">
        <v>1803</v>
      </c>
      <c r="V46" s="11">
        <v>0</v>
      </c>
      <c r="W46" s="11">
        <v>0</v>
      </c>
      <c r="X46" s="11">
        <v>0</v>
      </c>
      <c r="Y46" s="11">
        <v>0</v>
      </c>
    </row>
    <row r="47" spans="1:25" x14ac:dyDescent="0.25">
      <c r="A47" s="20" t="s">
        <v>1188</v>
      </c>
      <c r="B47" s="20" t="s">
        <v>218</v>
      </c>
      <c r="C47" s="20" t="s">
        <v>3486</v>
      </c>
      <c r="D47" s="20" t="s">
        <v>216</v>
      </c>
      <c r="E47" s="13">
        <v>25081.52</v>
      </c>
      <c r="F47" s="11">
        <v>0</v>
      </c>
      <c r="G47" s="13">
        <v>0</v>
      </c>
      <c r="H47" s="11">
        <v>0</v>
      </c>
      <c r="I47" s="13">
        <f>E47+G47</f>
        <v>25081.52</v>
      </c>
      <c r="J47" s="11">
        <f>F47+H47</f>
        <v>0</v>
      </c>
      <c r="K47" s="13">
        <v>38728.46</v>
      </c>
      <c r="L47" s="11">
        <v>1</v>
      </c>
      <c r="M47" s="11">
        <v>4</v>
      </c>
      <c r="N47" s="13">
        <v>0</v>
      </c>
      <c r="O47" s="11">
        <v>0</v>
      </c>
      <c r="P47" s="11">
        <v>0</v>
      </c>
      <c r="Q47" s="13">
        <f>K47+N47</f>
        <v>38728.46</v>
      </c>
      <c r="R47" s="11">
        <f>L47+O47</f>
        <v>1</v>
      </c>
      <c r="S47" s="11">
        <f>M47+P47</f>
        <v>4</v>
      </c>
      <c r="T47" s="8">
        <f>I47-Q47</f>
        <v>-13646.939999999999</v>
      </c>
      <c r="U47" s="18">
        <v>0.7455748997144106</v>
      </c>
      <c r="V47" s="11">
        <v>0.23</v>
      </c>
      <c r="W47" s="11">
        <v>3</v>
      </c>
      <c r="X47" s="11">
        <v>10</v>
      </c>
      <c r="Y47" s="11">
        <v>0</v>
      </c>
    </row>
    <row r="48" spans="1:25" x14ac:dyDescent="0.25">
      <c r="A48" s="20" t="s">
        <v>3487</v>
      </c>
      <c r="B48" s="20" t="s">
        <v>60</v>
      </c>
      <c r="C48" s="20" t="s">
        <v>3488</v>
      </c>
      <c r="D48" s="20" t="s">
        <v>216</v>
      </c>
      <c r="E48" s="13">
        <v>0</v>
      </c>
      <c r="F48" s="11">
        <v>0</v>
      </c>
      <c r="G48" s="13">
        <v>0</v>
      </c>
      <c r="H48" s="11">
        <v>0</v>
      </c>
      <c r="I48" s="13">
        <f>E48+G48</f>
        <v>0</v>
      </c>
      <c r="J48" s="11">
        <f>F48+H48</f>
        <v>0</v>
      </c>
      <c r="K48" s="13">
        <v>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0</v>
      </c>
      <c r="R48" s="11">
        <f>L48+O48</f>
        <v>0</v>
      </c>
      <c r="S48" s="11">
        <f>M48+P48</f>
        <v>0</v>
      </c>
      <c r="T48" s="8">
        <f>I48-Q48</f>
        <v>0</v>
      </c>
      <c r="U48" s="18" t="s">
        <v>1803</v>
      </c>
      <c r="V48" s="11">
        <v>0</v>
      </c>
      <c r="W48" s="11">
        <v>0</v>
      </c>
      <c r="X48" s="11">
        <v>0</v>
      </c>
      <c r="Y48" s="11">
        <v>0</v>
      </c>
    </row>
    <row r="49" spans="1:25" x14ac:dyDescent="0.25">
      <c r="A49" s="20" t="s">
        <v>3489</v>
      </c>
      <c r="B49" s="20" t="s">
        <v>60</v>
      </c>
      <c r="C49" s="20" t="s">
        <v>3490</v>
      </c>
      <c r="D49" s="20" t="s">
        <v>216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0</v>
      </c>
      <c r="O49" s="11">
        <v>0</v>
      </c>
      <c r="P49" s="11">
        <v>0</v>
      </c>
      <c r="Q49" s="13">
        <f>K49+N49</f>
        <v>0</v>
      </c>
      <c r="R49" s="11">
        <f>L49+O49</f>
        <v>0</v>
      </c>
      <c r="S49" s="11">
        <f>M49+P49</f>
        <v>0</v>
      </c>
      <c r="T49" s="8">
        <f>I49-Q49</f>
        <v>0</v>
      </c>
      <c r="U49" s="18" t="s">
        <v>1803</v>
      </c>
      <c r="V49" s="11">
        <v>0</v>
      </c>
      <c r="W49" s="11">
        <v>0</v>
      </c>
      <c r="X49" s="11">
        <v>0</v>
      </c>
      <c r="Y49" s="11">
        <v>0</v>
      </c>
    </row>
    <row r="50" spans="1:25" x14ac:dyDescent="0.25">
      <c r="A50" s="20" t="s">
        <v>3491</v>
      </c>
      <c r="B50" s="20" t="s">
        <v>60</v>
      </c>
      <c r="C50" s="20" t="s">
        <v>3492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 t="s">
        <v>1803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3493</v>
      </c>
      <c r="B51" s="20" t="s">
        <v>60</v>
      </c>
      <c r="C51" s="20" t="s">
        <v>3494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0</v>
      </c>
      <c r="T51" s="8">
        <f>I51-Q51</f>
        <v>0</v>
      </c>
      <c r="U51" s="18" t="s">
        <v>1803</v>
      </c>
      <c r="V51" s="11">
        <v>0</v>
      </c>
      <c r="W51" s="11">
        <v>0</v>
      </c>
      <c r="X51" s="11">
        <v>0</v>
      </c>
      <c r="Y51" s="11">
        <v>0</v>
      </c>
    </row>
    <row r="52" spans="1:25" x14ac:dyDescent="0.25">
      <c r="A52" s="20" t="s">
        <v>977</v>
      </c>
      <c r="B52" s="20" t="s">
        <v>3096</v>
      </c>
      <c r="C52" s="20" t="s">
        <v>3495</v>
      </c>
      <c r="D52" s="20" t="s">
        <v>216</v>
      </c>
      <c r="E52" s="13">
        <v>1737</v>
      </c>
      <c r="F52" s="11">
        <v>0</v>
      </c>
      <c r="G52" s="13">
        <v>0</v>
      </c>
      <c r="H52" s="11">
        <v>0</v>
      </c>
      <c r="I52" s="13">
        <f>E52+G52</f>
        <v>1737</v>
      </c>
      <c r="J52" s="11">
        <f>F52+H52</f>
        <v>0</v>
      </c>
      <c r="K52" s="13">
        <v>1656</v>
      </c>
      <c r="L52" s="11">
        <v>0</v>
      </c>
      <c r="M52" s="11">
        <v>0</v>
      </c>
      <c r="N52" s="13">
        <v>0</v>
      </c>
      <c r="O52" s="11">
        <v>0</v>
      </c>
      <c r="P52" s="11">
        <v>0</v>
      </c>
      <c r="Q52" s="13">
        <f>K52+N52</f>
        <v>1656</v>
      </c>
      <c r="R52" s="11">
        <f>L52+O52</f>
        <v>0</v>
      </c>
      <c r="S52" s="11">
        <f>M52+P52</f>
        <v>0</v>
      </c>
      <c r="T52" s="8">
        <f>I52-Q52</f>
        <v>81</v>
      </c>
      <c r="U52" s="18">
        <v>6.9667005118080425E-2</v>
      </c>
      <c r="V52" s="11">
        <v>0</v>
      </c>
      <c r="W52" s="11">
        <v>0</v>
      </c>
      <c r="X52" s="11">
        <v>2</v>
      </c>
      <c r="Y52" s="11">
        <v>0</v>
      </c>
    </row>
    <row r="53" spans="1:25" x14ac:dyDescent="0.25">
      <c r="A53" s="20" t="s">
        <v>1194</v>
      </c>
      <c r="B53" s="20" t="s">
        <v>633</v>
      </c>
      <c r="C53" s="20" t="s">
        <v>3496</v>
      </c>
      <c r="D53" s="20" t="s">
        <v>216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0</v>
      </c>
      <c r="O53" s="11">
        <v>0</v>
      </c>
      <c r="P53" s="11">
        <v>0</v>
      </c>
      <c r="Q53" s="13">
        <f>K53+N53</f>
        <v>0</v>
      </c>
      <c r="R53" s="11">
        <f>L53+O53</f>
        <v>0</v>
      </c>
      <c r="S53" s="11">
        <f>M53+P53</f>
        <v>0</v>
      </c>
      <c r="T53" s="8">
        <f>I53-Q53</f>
        <v>0</v>
      </c>
      <c r="U53" s="18" t="s">
        <v>1803</v>
      </c>
      <c r="V53" s="11">
        <v>0</v>
      </c>
      <c r="W53" s="11">
        <v>0</v>
      </c>
      <c r="X53" s="11">
        <v>0</v>
      </c>
      <c r="Y53" s="11">
        <v>0</v>
      </c>
    </row>
    <row r="54" spans="1:25" x14ac:dyDescent="0.25">
      <c r="A54" s="20" t="s">
        <v>3497</v>
      </c>
      <c r="B54" s="20" t="s">
        <v>60</v>
      </c>
      <c r="C54" s="20" t="s">
        <v>3498</v>
      </c>
      <c r="D54" s="20" t="s">
        <v>216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0</v>
      </c>
      <c r="O54" s="11">
        <v>0</v>
      </c>
      <c r="P54" s="11">
        <v>0</v>
      </c>
      <c r="Q54" s="13">
        <f>K54+N54</f>
        <v>0</v>
      </c>
      <c r="R54" s="11">
        <f>L54+O54</f>
        <v>0</v>
      </c>
      <c r="S54" s="11">
        <f>M54+P54</f>
        <v>0</v>
      </c>
      <c r="T54" s="8">
        <f>I54-Q54</f>
        <v>0</v>
      </c>
      <c r="U54" s="18" t="s">
        <v>1803</v>
      </c>
      <c r="V54" s="11">
        <v>0</v>
      </c>
      <c r="W54" s="11">
        <v>0</v>
      </c>
      <c r="X54" s="11">
        <v>0</v>
      </c>
      <c r="Y54" s="11">
        <v>0</v>
      </c>
    </row>
    <row r="55" spans="1:25" x14ac:dyDescent="0.25">
      <c r="A55" s="20" t="s">
        <v>3499</v>
      </c>
      <c r="B55" s="20" t="s">
        <v>60</v>
      </c>
      <c r="C55" s="20" t="s">
        <v>3500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 t="s">
        <v>1803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3501</v>
      </c>
      <c r="B56" s="20" t="s">
        <v>60</v>
      </c>
      <c r="C56" s="20" t="s">
        <v>3502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0</v>
      </c>
      <c r="O56" s="11">
        <v>0</v>
      </c>
      <c r="P56" s="11">
        <v>0</v>
      </c>
      <c r="Q56" s="13">
        <f>K56+N56</f>
        <v>0</v>
      </c>
      <c r="R56" s="11">
        <f>L56+O56</f>
        <v>0</v>
      </c>
      <c r="S56" s="11">
        <f>M56+P56</f>
        <v>0</v>
      </c>
      <c r="T56" s="8">
        <f>I56-Q56</f>
        <v>0</v>
      </c>
      <c r="U56" s="18" t="s">
        <v>1803</v>
      </c>
      <c r="V56" s="11">
        <v>0</v>
      </c>
      <c r="W56" s="11">
        <v>0</v>
      </c>
      <c r="X56" s="11">
        <v>0</v>
      </c>
      <c r="Y56" s="11">
        <v>0</v>
      </c>
    </row>
    <row r="57" spans="1:25" x14ac:dyDescent="0.25">
      <c r="A57" s="20" t="s">
        <v>200</v>
      </c>
      <c r="B57" s="20" t="s">
        <v>97</v>
      </c>
      <c r="C57" s="20" t="s">
        <v>3503</v>
      </c>
      <c r="D57" s="20" t="s">
        <v>216</v>
      </c>
      <c r="E57" s="13">
        <v>-2741.28</v>
      </c>
      <c r="F57" s="11">
        <v>0</v>
      </c>
      <c r="G57" s="13">
        <v>0</v>
      </c>
      <c r="H57" s="11">
        <v>0</v>
      </c>
      <c r="I57" s="13">
        <f>E57+G57</f>
        <v>-2741.28</v>
      </c>
      <c r="J57" s="11">
        <f>F57+H57</f>
        <v>0</v>
      </c>
      <c r="K57" s="13">
        <v>0</v>
      </c>
      <c r="L57" s="11">
        <v>0</v>
      </c>
      <c r="M57" s="11">
        <v>1</v>
      </c>
      <c r="N57" s="13">
        <v>8875</v>
      </c>
      <c r="O57" s="11">
        <v>1</v>
      </c>
      <c r="P57" s="11">
        <v>3</v>
      </c>
      <c r="Q57" s="13">
        <f>K57+N57</f>
        <v>8875</v>
      </c>
      <c r="R57" s="11">
        <f>L57+O57</f>
        <v>1</v>
      </c>
      <c r="S57" s="11">
        <f>M57+P57</f>
        <v>4</v>
      </c>
      <c r="T57" s="8">
        <f>I57-Q57</f>
        <v>-11616.28</v>
      </c>
      <c r="U57" s="18">
        <v>8.8369945778790648E-2</v>
      </c>
      <c r="V57" s="11">
        <v>0.43</v>
      </c>
      <c r="W57" s="11">
        <v>3</v>
      </c>
      <c r="X57" s="11">
        <v>4</v>
      </c>
      <c r="Y57" s="11">
        <v>0</v>
      </c>
    </row>
    <row r="58" spans="1:25" x14ac:dyDescent="0.25">
      <c r="A58" s="20" t="s">
        <v>3504</v>
      </c>
      <c r="B58" s="20" t="s">
        <v>60</v>
      </c>
      <c r="C58" s="20" t="s">
        <v>3505</v>
      </c>
      <c r="D58" s="20" t="s">
        <v>216</v>
      </c>
      <c r="E58" s="13">
        <v>0</v>
      </c>
      <c r="F58" s="11">
        <v>0</v>
      </c>
      <c r="G58" s="13">
        <v>0</v>
      </c>
      <c r="H58" s="11">
        <v>0</v>
      </c>
      <c r="I58" s="13">
        <f>E58+G58</f>
        <v>0</v>
      </c>
      <c r="J58" s="11">
        <f>F58+H58</f>
        <v>0</v>
      </c>
      <c r="K58" s="13">
        <v>0</v>
      </c>
      <c r="L58" s="11">
        <v>0</v>
      </c>
      <c r="M58" s="11">
        <v>0</v>
      </c>
      <c r="N58" s="13">
        <v>0</v>
      </c>
      <c r="O58" s="11">
        <v>0</v>
      </c>
      <c r="P58" s="11">
        <v>0</v>
      </c>
      <c r="Q58" s="13">
        <f>K58+N58</f>
        <v>0</v>
      </c>
      <c r="R58" s="11">
        <f>L58+O58</f>
        <v>0</v>
      </c>
      <c r="S58" s="11">
        <f>M58+P58</f>
        <v>0</v>
      </c>
      <c r="T58" s="8">
        <f>I58-Q58</f>
        <v>0</v>
      </c>
      <c r="U58" s="18" t="s">
        <v>1803</v>
      </c>
      <c r="V58" s="11">
        <v>0</v>
      </c>
      <c r="W58" s="11">
        <v>0</v>
      </c>
      <c r="X58" s="11">
        <v>0</v>
      </c>
      <c r="Y58" s="11">
        <v>0</v>
      </c>
    </row>
    <row r="59" spans="1:25" x14ac:dyDescent="0.25">
      <c r="A59" s="20" t="s">
        <v>3506</v>
      </c>
      <c r="B59" s="20" t="s">
        <v>60</v>
      </c>
      <c r="C59" s="20" t="s">
        <v>3507</v>
      </c>
      <c r="D59" s="20" t="s">
        <v>216</v>
      </c>
      <c r="E59" s="13">
        <v>0</v>
      </c>
      <c r="F59" s="11">
        <v>0</v>
      </c>
      <c r="G59" s="13">
        <v>0</v>
      </c>
      <c r="H59" s="11">
        <v>0</v>
      </c>
      <c r="I59" s="13">
        <f>E59+G59</f>
        <v>0</v>
      </c>
      <c r="J59" s="11">
        <f>F59+H59</f>
        <v>0</v>
      </c>
      <c r="K59" s="13">
        <v>0</v>
      </c>
      <c r="L59" s="11">
        <v>0</v>
      </c>
      <c r="M59" s="11">
        <v>0</v>
      </c>
      <c r="N59" s="13">
        <v>0</v>
      </c>
      <c r="O59" s="11">
        <v>0</v>
      </c>
      <c r="P59" s="11">
        <v>0</v>
      </c>
      <c r="Q59" s="13">
        <f>K59+N59</f>
        <v>0</v>
      </c>
      <c r="R59" s="11">
        <f>L59+O59</f>
        <v>0</v>
      </c>
      <c r="S59" s="11">
        <f>M59+P59</f>
        <v>0</v>
      </c>
      <c r="T59" s="8">
        <f>I59-Q59</f>
        <v>0</v>
      </c>
      <c r="U59" s="18" t="s">
        <v>1803</v>
      </c>
      <c r="V59" s="11">
        <v>0</v>
      </c>
      <c r="W59" s="11">
        <v>0</v>
      </c>
      <c r="X59" s="11">
        <v>0</v>
      </c>
      <c r="Y59" s="11">
        <v>0</v>
      </c>
    </row>
    <row r="60" spans="1:25" x14ac:dyDescent="0.25">
      <c r="A60" s="20" t="s">
        <v>3508</v>
      </c>
      <c r="B60" s="20" t="s">
        <v>60</v>
      </c>
      <c r="C60" s="20" t="s">
        <v>3507</v>
      </c>
      <c r="D60" s="20" t="s">
        <v>216</v>
      </c>
      <c r="E60" s="13">
        <v>0</v>
      </c>
      <c r="F60" s="11">
        <v>0</v>
      </c>
      <c r="G60" s="13">
        <v>0</v>
      </c>
      <c r="H60" s="11">
        <v>0</v>
      </c>
      <c r="I60" s="13">
        <f>E60+G60</f>
        <v>0</v>
      </c>
      <c r="J60" s="11">
        <f>F60+H60</f>
        <v>0</v>
      </c>
      <c r="K60" s="13">
        <v>0</v>
      </c>
      <c r="L60" s="11">
        <v>0</v>
      </c>
      <c r="M60" s="11">
        <v>0</v>
      </c>
      <c r="N60" s="13">
        <v>0</v>
      </c>
      <c r="O60" s="11">
        <v>0</v>
      </c>
      <c r="P60" s="11">
        <v>0</v>
      </c>
      <c r="Q60" s="13">
        <f>K60+N60</f>
        <v>0</v>
      </c>
      <c r="R60" s="11">
        <f>L60+O60</f>
        <v>0</v>
      </c>
      <c r="S60" s="11">
        <f>M60+P60</f>
        <v>0</v>
      </c>
      <c r="T60" s="8">
        <f>I60-Q60</f>
        <v>0</v>
      </c>
      <c r="U60" s="18" t="s">
        <v>1803</v>
      </c>
      <c r="V60" s="11">
        <v>0</v>
      </c>
      <c r="W60" s="11">
        <v>0</v>
      </c>
      <c r="X60" s="11">
        <v>0</v>
      </c>
      <c r="Y60" s="11">
        <v>0</v>
      </c>
    </row>
    <row r="61" spans="1:25" x14ac:dyDescent="0.25">
      <c r="A61" s="20" t="s">
        <v>3509</v>
      </c>
      <c r="B61" s="20" t="s">
        <v>60</v>
      </c>
      <c r="C61" s="20" t="s">
        <v>3510</v>
      </c>
      <c r="D61" s="20" t="s">
        <v>216</v>
      </c>
      <c r="E61" s="13">
        <v>0</v>
      </c>
      <c r="F61" s="11">
        <v>0</v>
      </c>
      <c r="G61" s="13">
        <v>0</v>
      </c>
      <c r="H61" s="11">
        <v>0</v>
      </c>
      <c r="I61" s="13">
        <f>E61+G61</f>
        <v>0</v>
      </c>
      <c r="J61" s="11">
        <f>F61+H61</f>
        <v>0</v>
      </c>
      <c r="K61" s="13">
        <v>0</v>
      </c>
      <c r="L61" s="11">
        <v>0</v>
      </c>
      <c r="M61" s="11">
        <v>0</v>
      </c>
      <c r="N61" s="13">
        <v>0</v>
      </c>
      <c r="O61" s="11">
        <v>0</v>
      </c>
      <c r="P61" s="11">
        <v>0</v>
      </c>
      <c r="Q61" s="13">
        <f>K61+N61</f>
        <v>0</v>
      </c>
      <c r="R61" s="11">
        <f>L61+O61</f>
        <v>0</v>
      </c>
      <c r="S61" s="11">
        <f>M61+P61</f>
        <v>0</v>
      </c>
      <c r="T61" s="8">
        <f>I61-Q61</f>
        <v>0</v>
      </c>
      <c r="U61" s="18" t="s">
        <v>1803</v>
      </c>
      <c r="V61" s="11">
        <v>0</v>
      </c>
      <c r="W61" s="11">
        <v>0</v>
      </c>
      <c r="X61" s="11">
        <v>0</v>
      </c>
      <c r="Y61" s="11">
        <v>0</v>
      </c>
    </row>
    <row r="62" spans="1:25" x14ac:dyDescent="0.25">
      <c r="A62" s="20" t="s">
        <v>3511</v>
      </c>
      <c r="B62" s="20" t="s">
        <v>60</v>
      </c>
      <c r="C62" s="20" t="s">
        <v>3512</v>
      </c>
      <c r="D62" s="20" t="s">
        <v>216</v>
      </c>
      <c r="E62" s="13">
        <v>0</v>
      </c>
      <c r="F62" s="11">
        <v>0</v>
      </c>
      <c r="G62" s="13">
        <v>0</v>
      </c>
      <c r="H62" s="11">
        <v>0</v>
      </c>
      <c r="I62" s="13">
        <f>E62+G62</f>
        <v>0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0</v>
      </c>
      <c r="O62" s="11">
        <v>0</v>
      </c>
      <c r="P62" s="11">
        <v>0</v>
      </c>
      <c r="Q62" s="13">
        <f>K62+N62</f>
        <v>0</v>
      </c>
      <c r="R62" s="11">
        <f>L62+O62</f>
        <v>0</v>
      </c>
      <c r="S62" s="11">
        <f>M62+P62</f>
        <v>0</v>
      </c>
      <c r="T62" s="8">
        <f>I62-Q62</f>
        <v>0</v>
      </c>
      <c r="U62" s="18" t="s">
        <v>1803</v>
      </c>
      <c r="V62" s="11">
        <v>0</v>
      </c>
      <c r="W62" s="11">
        <v>0</v>
      </c>
      <c r="X62" s="11">
        <v>0</v>
      </c>
      <c r="Y62" s="11">
        <v>0</v>
      </c>
    </row>
    <row r="63" spans="1:25" x14ac:dyDescent="0.25">
      <c r="A63" s="20" t="s">
        <v>3513</v>
      </c>
      <c r="B63" s="20" t="s">
        <v>60</v>
      </c>
      <c r="C63" s="20" t="s">
        <v>3514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0</v>
      </c>
      <c r="O63" s="11">
        <v>0</v>
      </c>
      <c r="P63" s="11">
        <v>0</v>
      </c>
      <c r="Q63" s="13">
        <f>K63+N63</f>
        <v>0</v>
      </c>
      <c r="R63" s="11">
        <f>L63+O63</f>
        <v>0</v>
      </c>
      <c r="S63" s="11">
        <f>M63+P63</f>
        <v>0</v>
      </c>
      <c r="T63" s="8">
        <f>I63-Q63</f>
        <v>0</v>
      </c>
      <c r="U63" s="18" t="s">
        <v>1803</v>
      </c>
      <c r="V63" s="11">
        <v>0</v>
      </c>
      <c r="W63" s="11">
        <v>0</v>
      </c>
      <c r="X63" s="11">
        <v>0</v>
      </c>
      <c r="Y63" s="11">
        <v>0</v>
      </c>
    </row>
    <row r="64" spans="1:25" x14ac:dyDescent="0.25">
      <c r="A64" s="20" t="s">
        <v>3515</v>
      </c>
      <c r="B64" s="20" t="s">
        <v>60</v>
      </c>
      <c r="C64" s="20" t="s">
        <v>3516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 t="s">
        <v>1803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3517</v>
      </c>
      <c r="B65" s="20" t="s">
        <v>60</v>
      </c>
      <c r="C65" s="20" t="s">
        <v>3518</v>
      </c>
      <c r="D65" s="20" t="s">
        <v>216</v>
      </c>
      <c r="E65" s="13">
        <v>0</v>
      </c>
      <c r="F65" s="11">
        <v>0</v>
      </c>
      <c r="G65" s="13">
        <v>0</v>
      </c>
      <c r="H65" s="11">
        <v>0</v>
      </c>
      <c r="I65" s="13">
        <f>E65+G65</f>
        <v>0</v>
      </c>
      <c r="J65" s="11">
        <f>F65+H65</f>
        <v>0</v>
      </c>
      <c r="K65" s="13">
        <v>0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0</v>
      </c>
      <c r="R65" s="11">
        <f>L65+O65</f>
        <v>0</v>
      </c>
      <c r="S65" s="11">
        <f>M65+P65</f>
        <v>0</v>
      </c>
      <c r="T65" s="8">
        <f>I65-Q65</f>
        <v>0</v>
      </c>
      <c r="U65" s="18" t="s">
        <v>1803</v>
      </c>
      <c r="V65" s="11">
        <v>0</v>
      </c>
      <c r="W65" s="11">
        <v>0</v>
      </c>
      <c r="X65" s="11">
        <v>0</v>
      </c>
      <c r="Y65" s="11">
        <v>0</v>
      </c>
    </row>
    <row r="66" spans="1:25" x14ac:dyDescent="0.25">
      <c r="A66" s="20" t="s">
        <v>3519</v>
      </c>
      <c r="B66" s="20" t="s">
        <v>60</v>
      </c>
      <c r="C66" s="20" t="s">
        <v>3618</v>
      </c>
      <c r="D66" s="20" t="s">
        <v>216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0</v>
      </c>
      <c r="L66" s="11">
        <v>0</v>
      </c>
      <c r="M66" s="11">
        <v>0</v>
      </c>
      <c r="N66" s="13">
        <v>0</v>
      </c>
      <c r="O66" s="11">
        <v>0</v>
      </c>
      <c r="P66" s="11">
        <v>0</v>
      </c>
      <c r="Q66" s="13">
        <f>K66+N66</f>
        <v>0</v>
      </c>
      <c r="R66" s="11">
        <f>L66+O66</f>
        <v>0</v>
      </c>
      <c r="S66" s="11">
        <f>M66+P66</f>
        <v>0</v>
      </c>
      <c r="T66" s="8">
        <f>I66-Q66</f>
        <v>0</v>
      </c>
      <c r="U66" s="18" t="s">
        <v>1803</v>
      </c>
      <c r="V66" s="11">
        <v>0</v>
      </c>
      <c r="W66" s="11">
        <v>0</v>
      </c>
      <c r="X66" s="11">
        <v>0</v>
      </c>
      <c r="Y66" s="11">
        <v>0</v>
      </c>
    </row>
    <row r="67" spans="1:25" x14ac:dyDescent="0.25">
      <c r="A67" s="20" t="s">
        <v>3520</v>
      </c>
      <c r="B67" s="20" t="s">
        <v>60</v>
      </c>
      <c r="C67" s="20" t="s">
        <v>3521</v>
      </c>
      <c r="D67" s="20" t="s">
        <v>216</v>
      </c>
      <c r="E67" s="13">
        <v>0</v>
      </c>
      <c r="F67" s="11">
        <v>0</v>
      </c>
      <c r="G67" s="13">
        <v>0</v>
      </c>
      <c r="H67" s="11">
        <v>0</v>
      </c>
      <c r="I67" s="13">
        <f>E67+G67</f>
        <v>0</v>
      </c>
      <c r="J67" s="11">
        <f>F67+H67</f>
        <v>0</v>
      </c>
      <c r="K67" s="13">
        <v>0</v>
      </c>
      <c r="L67" s="11">
        <v>0</v>
      </c>
      <c r="M67" s="11">
        <v>0</v>
      </c>
      <c r="N67" s="13">
        <v>0</v>
      </c>
      <c r="O67" s="11">
        <v>0</v>
      </c>
      <c r="P67" s="11">
        <v>0</v>
      </c>
      <c r="Q67" s="13">
        <f>K67+N67</f>
        <v>0</v>
      </c>
      <c r="R67" s="11">
        <f>L67+O67</f>
        <v>0</v>
      </c>
      <c r="S67" s="11">
        <f>M67+P67</f>
        <v>0</v>
      </c>
      <c r="T67" s="8">
        <f>I67-Q67</f>
        <v>0</v>
      </c>
      <c r="U67" s="18" t="s">
        <v>1803</v>
      </c>
      <c r="V67" s="11">
        <v>0</v>
      </c>
      <c r="W67" s="11">
        <v>0</v>
      </c>
      <c r="X67" s="11">
        <v>0</v>
      </c>
      <c r="Y67" s="11">
        <v>0</v>
      </c>
    </row>
    <row r="68" spans="1:25" x14ac:dyDescent="0.25">
      <c r="A68" s="20" t="s">
        <v>3162</v>
      </c>
      <c r="B68" s="20" t="s">
        <v>60</v>
      </c>
      <c r="C68" s="20" t="s">
        <v>3163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 t="s">
        <v>1803</v>
      </c>
      <c r="V68" s="11">
        <v>0</v>
      </c>
      <c r="W68" s="11">
        <v>0</v>
      </c>
      <c r="X68" s="11">
        <v>0</v>
      </c>
      <c r="Y68" s="11">
        <v>0</v>
      </c>
    </row>
    <row r="69" spans="1:25" x14ac:dyDescent="0.25">
      <c r="A69" s="20" t="s">
        <v>3522</v>
      </c>
      <c r="B69" s="20" t="s">
        <v>60</v>
      </c>
      <c r="C69" s="20" t="s">
        <v>3523</v>
      </c>
      <c r="D69" s="20" t="s">
        <v>216</v>
      </c>
      <c r="E69" s="13">
        <v>0</v>
      </c>
      <c r="F69" s="11">
        <v>0</v>
      </c>
      <c r="G69" s="13">
        <v>0</v>
      </c>
      <c r="H69" s="11">
        <v>0</v>
      </c>
      <c r="I69" s="13">
        <f>E69+G69</f>
        <v>0</v>
      </c>
      <c r="J69" s="11">
        <f>F69+H69</f>
        <v>0</v>
      </c>
      <c r="K69" s="13">
        <v>0</v>
      </c>
      <c r="L69" s="11">
        <v>0</v>
      </c>
      <c r="M69" s="11">
        <v>0</v>
      </c>
      <c r="N69" s="13">
        <v>0</v>
      </c>
      <c r="O69" s="11">
        <v>0</v>
      </c>
      <c r="P69" s="11">
        <v>0</v>
      </c>
      <c r="Q69" s="13">
        <f>K69+N69</f>
        <v>0</v>
      </c>
      <c r="R69" s="11">
        <f>L69+O69</f>
        <v>0</v>
      </c>
      <c r="S69" s="11">
        <f>M69+P69</f>
        <v>0</v>
      </c>
      <c r="T69" s="8">
        <f>I69-Q69</f>
        <v>0</v>
      </c>
      <c r="U69" s="18" t="s">
        <v>1803</v>
      </c>
      <c r="V69" s="11">
        <v>0</v>
      </c>
      <c r="W69" s="11">
        <v>0</v>
      </c>
      <c r="X69" s="11">
        <v>0</v>
      </c>
      <c r="Y69" s="11">
        <v>0</v>
      </c>
    </row>
    <row r="70" spans="1:25" x14ac:dyDescent="0.25">
      <c r="A70" s="20" t="s">
        <v>3524</v>
      </c>
      <c r="B70" s="20" t="s">
        <v>60</v>
      </c>
      <c r="C70" s="20" t="s">
        <v>3525</v>
      </c>
      <c r="D70" s="20" t="s">
        <v>216</v>
      </c>
      <c r="E70" s="13">
        <v>0</v>
      </c>
      <c r="F70" s="11">
        <v>0</v>
      </c>
      <c r="G70" s="13">
        <v>0</v>
      </c>
      <c r="H70" s="11">
        <v>0</v>
      </c>
      <c r="I70" s="13">
        <f>E70+G70</f>
        <v>0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0</v>
      </c>
      <c r="O70" s="11">
        <v>0</v>
      </c>
      <c r="P70" s="11">
        <v>0</v>
      </c>
      <c r="Q70" s="13">
        <f>K70+N70</f>
        <v>0</v>
      </c>
      <c r="R70" s="11">
        <f>L70+O70</f>
        <v>0</v>
      </c>
      <c r="S70" s="11">
        <f>M70+P70</f>
        <v>0</v>
      </c>
      <c r="T70" s="8">
        <f>I70-Q70</f>
        <v>0</v>
      </c>
      <c r="U70" s="18" t="s">
        <v>1803</v>
      </c>
      <c r="V70" s="11">
        <v>0</v>
      </c>
      <c r="W70" s="11">
        <v>0</v>
      </c>
      <c r="X70" s="11">
        <v>0</v>
      </c>
      <c r="Y70" s="11">
        <v>0</v>
      </c>
    </row>
    <row r="71" spans="1:25" x14ac:dyDescent="0.25">
      <c r="A71" s="20" t="s">
        <v>3526</v>
      </c>
      <c r="B71" s="20" t="s">
        <v>60</v>
      </c>
      <c r="C71" s="20" t="s">
        <v>3527</v>
      </c>
      <c r="D71" s="20" t="s">
        <v>216</v>
      </c>
      <c r="E71" s="13">
        <v>0</v>
      </c>
      <c r="F71" s="11">
        <v>0</v>
      </c>
      <c r="G71" s="13">
        <v>0</v>
      </c>
      <c r="H71" s="11">
        <v>0</v>
      </c>
      <c r="I71" s="13">
        <f>E71+G71</f>
        <v>0</v>
      </c>
      <c r="J71" s="11">
        <f>F71+H71</f>
        <v>0</v>
      </c>
      <c r="K71" s="13">
        <v>0</v>
      </c>
      <c r="L71" s="11">
        <v>0</v>
      </c>
      <c r="M71" s="11">
        <v>0</v>
      </c>
      <c r="N71" s="13">
        <v>0</v>
      </c>
      <c r="O71" s="11">
        <v>0</v>
      </c>
      <c r="P71" s="11">
        <v>0</v>
      </c>
      <c r="Q71" s="13">
        <f>K71+N71</f>
        <v>0</v>
      </c>
      <c r="R71" s="11">
        <f>L71+O71</f>
        <v>0</v>
      </c>
      <c r="S71" s="11">
        <f>M71+P71</f>
        <v>0</v>
      </c>
      <c r="T71" s="8">
        <f>I71-Q71</f>
        <v>0</v>
      </c>
      <c r="U71" s="18" t="s">
        <v>1803</v>
      </c>
      <c r="V71" s="11">
        <v>0</v>
      </c>
      <c r="W71" s="11">
        <v>0</v>
      </c>
      <c r="X71" s="11">
        <v>0</v>
      </c>
      <c r="Y71" s="11">
        <v>0</v>
      </c>
    </row>
    <row r="72" spans="1:25" x14ac:dyDescent="0.25">
      <c r="A72" s="20" t="s">
        <v>3528</v>
      </c>
      <c r="B72" s="20" t="s">
        <v>60</v>
      </c>
      <c r="C72" s="20" t="s">
        <v>3529</v>
      </c>
      <c r="D72" s="20" t="s">
        <v>216</v>
      </c>
      <c r="E72" s="13">
        <v>0</v>
      </c>
      <c r="F72" s="11">
        <v>0</v>
      </c>
      <c r="G72" s="13">
        <v>0</v>
      </c>
      <c r="H72" s="11">
        <v>0</v>
      </c>
      <c r="I72" s="13">
        <f>E72+G72</f>
        <v>0</v>
      </c>
      <c r="J72" s="11">
        <f>F72+H72</f>
        <v>0</v>
      </c>
      <c r="K72" s="13">
        <v>0</v>
      </c>
      <c r="L72" s="11">
        <v>0</v>
      </c>
      <c r="M72" s="11">
        <v>0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0</v>
      </c>
      <c r="T72" s="8">
        <f>I72-Q72</f>
        <v>0</v>
      </c>
      <c r="U72" s="18" t="s">
        <v>1803</v>
      </c>
      <c r="V72" s="11">
        <v>0</v>
      </c>
      <c r="W72" s="11">
        <v>0</v>
      </c>
      <c r="X72" s="11">
        <v>0</v>
      </c>
      <c r="Y72" s="11">
        <v>0</v>
      </c>
    </row>
    <row r="73" spans="1:25" x14ac:dyDescent="0.25">
      <c r="A73" s="20" t="s">
        <v>3530</v>
      </c>
      <c r="B73" s="20" t="s">
        <v>60</v>
      </c>
      <c r="C73" s="20" t="s">
        <v>3531</v>
      </c>
      <c r="D73" s="20" t="s">
        <v>216</v>
      </c>
      <c r="E73" s="13">
        <v>0</v>
      </c>
      <c r="F73" s="11">
        <v>0</v>
      </c>
      <c r="G73" s="13">
        <v>0</v>
      </c>
      <c r="H73" s="11">
        <v>0</v>
      </c>
      <c r="I73" s="13">
        <f>E73+G73</f>
        <v>0</v>
      </c>
      <c r="J73" s="11">
        <f>F73+H73</f>
        <v>0</v>
      </c>
      <c r="K73" s="13">
        <v>0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0</v>
      </c>
      <c r="R73" s="11">
        <f>L73+O73</f>
        <v>0</v>
      </c>
      <c r="S73" s="11">
        <f>M73+P73</f>
        <v>0</v>
      </c>
      <c r="T73" s="8">
        <f>I73-Q73</f>
        <v>0</v>
      </c>
      <c r="U73" s="18" t="s">
        <v>1803</v>
      </c>
      <c r="V73" s="11">
        <v>0</v>
      </c>
      <c r="W73" s="11">
        <v>0</v>
      </c>
      <c r="X73" s="11">
        <v>0</v>
      </c>
      <c r="Y73" s="11">
        <v>0</v>
      </c>
    </row>
    <row r="74" spans="1:25" x14ac:dyDescent="0.25">
      <c r="A74" s="20" t="s">
        <v>3532</v>
      </c>
      <c r="B74" s="20" t="s">
        <v>60</v>
      </c>
      <c r="C74" s="20" t="s">
        <v>3533</v>
      </c>
      <c r="D74" s="20" t="s">
        <v>216</v>
      </c>
      <c r="E74" s="13">
        <v>0</v>
      </c>
      <c r="F74" s="11">
        <v>0</v>
      </c>
      <c r="G74" s="13">
        <v>0</v>
      </c>
      <c r="H74" s="11">
        <v>0</v>
      </c>
      <c r="I74" s="13">
        <f>E74+G74</f>
        <v>0</v>
      </c>
      <c r="J74" s="11">
        <f>F74+H74</f>
        <v>0</v>
      </c>
      <c r="K74" s="13">
        <v>0</v>
      </c>
      <c r="L74" s="11">
        <v>0</v>
      </c>
      <c r="M74" s="11">
        <v>0</v>
      </c>
      <c r="N74" s="13">
        <v>0</v>
      </c>
      <c r="O74" s="11">
        <v>0</v>
      </c>
      <c r="P74" s="11">
        <v>0</v>
      </c>
      <c r="Q74" s="13">
        <f>K74+N74</f>
        <v>0</v>
      </c>
      <c r="R74" s="11">
        <f>L74+O74</f>
        <v>0</v>
      </c>
      <c r="S74" s="11">
        <f>M74+P74</f>
        <v>0</v>
      </c>
      <c r="T74" s="8">
        <f>I74-Q74</f>
        <v>0</v>
      </c>
      <c r="U74" s="18" t="s">
        <v>1803</v>
      </c>
      <c r="V74" s="11">
        <v>0</v>
      </c>
      <c r="W74" s="11">
        <v>0</v>
      </c>
      <c r="X74" s="11">
        <v>0</v>
      </c>
      <c r="Y74" s="11">
        <v>0</v>
      </c>
    </row>
    <row r="75" spans="1:25" x14ac:dyDescent="0.25">
      <c r="A75" s="20" t="s">
        <v>3534</v>
      </c>
      <c r="B75" s="20" t="s">
        <v>60</v>
      </c>
      <c r="C75" s="20" t="s">
        <v>3535</v>
      </c>
      <c r="D75" s="20" t="s">
        <v>216</v>
      </c>
      <c r="E75" s="13">
        <v>0</v>
      </c>
      <c r="F75" s="11">
        <v>0</v>
      </c>
      <c r="G75" s="13">
        <v>0</v>
      </c>
      <c r="H75" s="11">
        <v>0</v>
      </c>
      <c r="I75" s="13">
        <f>E75+G75</f>
        <v>0</v>
      </c>
      <c r="J75" s="11">
        <f>F75+H75</f>
        <v>0</v>
      </c>
      <c r="K75" s="13">
        <v>0</v>
      </c>
      <c r="L75" s="11">
        <v>0</v>
      </c>
      <c r="M75" s="11">
        <v>0</v>
      </c>
      <c r="N75" s="13">
        <v>0</v>
      </c>
      <c r="O75" s="11">
        <v>0</v>
      </c>
      <c r="P75" s="11">
        <v>0</v>
      </c>
      <c r="Q75" s="13">
        <f>K75+N75</f>
        <v>0</v>
      </c>
      <c r="R75" s="11">
        <f>L75+O75</f>
        <v>0</v>
      </c>
      <c r="S75" s="11">
        <f>M75+P75</f>
        <v>0</v>
      </c>
      <c r="T75" s="8">
        <f>I75-Q75</f>
        <v>0</v>
      </c>
      <c r="U75" s="18" t="s">
        <v>1803</v>
      </c>
      <c r="V75" s="11">
        <v>0</v>
      </c>
      <c r="W75" s="11">
        <v>0</v>
      </c>
      <c r="X75" s="11">
        <v>0</v>
      </c>
      <c r="Y75" s="11">
        <v>0</v>
      </c>
    </row>
    <row r="76" spans="1:25" x14ac:dyDescent="0.25">
      <c r="A76" s="20" t="s">
        <v>3536</v>
      </c>
      <c r="B76" s="20" t="s">
        <v>60</v>
      </c>
      <c r="C76" s="20" t="s">
        <v>3537</v>
      </c>
      <c r="D76" s="20" t="s">
        <v>216</v>
      </c>
      <c r="E76" s="13">
        <v>0</v>
      </c>
      <c r="F76" s="11">
        <v>0</v>
      </c>
      <c r="G76" s="13">
        <v>0</v>
      </c>
      <c r="H76" s="11">
        <v>0</v>
      </c>
      <c r="I76" s="13">
        <f>E76+G76</f>
        <v>0</v>
      </c>
      <c r="J76" s="11">
        <f>F76+H76</f>
        <v>0</v>
      </c>
      <c r="K76" s="13">
        <v>0</v>
      </c>
      <c r="L76" s="11">
        <v>0</v>
      </c>
      <c r="M76" s="11">
        <v>0</v>
      </c>
      <c r="N76" s="13">
        <v>0</v>
      </c>
      <c r="O76" s="11">
        <v>0</v>
      </c>
      <c r="P76" s="11">
        <v>0</v>
      </c>
      <c r="Q76" s="13">
        <f>K76+N76</f>
        <v>0</v>
      </c>
      <c r="R76" s="11">
        <f>L76+O76</f>
        <v>0</v>
      </c>
      <c r="S76" s="11">
        <f>M76+P76</f>
        <v>0</v>
      </c>
      <c r="T76" s="8">
        <f>I76-Q76</f>
        <v>0</v>
      </c>
      <c r="U76" s="18" t="s">
        <v>1803</v>
      </c>
      <c r="V76" s="11">
        <v>0</v>
      </c>
      <c r="W76" s="11">
        <v>0</v>
      </c>
      <c r="X76" s="11">
        <v>0</v>
      </c>
      <c r="Y76" s="11">
        <v>0</v>
      </c>
    </row>
    <row r="77" spans="1:25" x14ac:dyDescent="0.25">
      <c r="A77" s="20" t="s">
        <v>3175</v>
      </c>
      <c r="B77" s="20" t="s">
        <v>189</v>
      </c>
      <c r="C77" s="20" t="s">
        <v>212</v>
      </c>
      <c r="D77" s="20" t="s">
        <v>216</v>
      </c>
      <c r="E77" s="13">
        <v>0</v>
      </c>
      <c r="F77" s="11">
        <v>0</v>
      </c>
      <c r="G77" s="13">
        <v>0</v>
      </c>
      <c r="H77" s="11">
        <v>0</v>
      </c>
      <c r="I77" s="13">
        <f>E77+G77</f>
        <v>0</v>
      </c>
      <c r="J77" s="11">
        <f>F77+H77</f>
        <v>0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0</v>
      </c>
      <c r="U77" s="18">
        <v>2.9230530946038041E-2</v>
      </c>
      <c r="V77" s="11">
        <v>0</v>
      </c>
      <c r="W77" s="11">
        <v>0</v>
      </c>
      <c r="X77" s="11">
        <v>0</v>
      </c>
      <c r="Y77" s="11">
        <v>0</v>
      </c>
    </row>
    <row r="78" spans="1:25" x14ac:dyDescent="0.25">
      <c r="A78" s="20" t="s">
        <v>3538</v>
      </c>
      <c r="B78" s="20" t="s">
        <v>60</v>
      </c>
      <c r="C78" s="20" t="s">
        <v>3539</v>
      </c>
      <c r="D78" s="20" t="s">
        <v>216</v>
      </c>
      <c r="E78" s="13">
        <v>0</v>
      </c>
      <c r="F78" s="11">
        <v>0</v>
      </c>
      <c r="G78" s="13">
        <v>0</v>
      </c>
      <c r="H78" s="11">
        <v>0</v>
      </c>
      <c r="I78" s="13">
        <f>E78+G78</f>
        <v>0</v>
      </c>
      <c r="J78" s="11">
        <f>F78+H78</f>
        <v>0</v>
      </c>
      <c r="K78" s="13">
        <v>0</v>
      </c>
      <c r="L78" s="11">
        <v>0</v>
      </c>
      <c r="M78" s="11">
        <v>0</v>
      </c>
      <c r="N78" s="13">
        <v>0</v>
      </c>
      <c r="O78" s="11">
        <v>0</v>
      </c>
      <c r="P78" s="11">
        <v>0</v>
      </c>
      <c r="Q78" s="13">
        <f>K78+N78</f>
        <v>0</v>
      </c>
      <c r="R78" s="11">
        <f>L78+O78</f>
        <v>0</v>
      </c>
      <c r="S78" s="11">
        <f>M78+P78</f>
        <v>0</v>
      </c>
      <c r="T78" s="8">
        <f>I78-Q78</f>
        <v>0</v>
      </c>
      <c r="U78" s="18" t="s">
        <v>1803</v>
      </c>
      <c r="V78" s="11">
        <v>0</v>
      </c>
      <c r="W78" s="11">
        <v>0</v>
      </c>
      <c r="X78" s="11">
        <v>0</v>
      </c>
      <c r="Y78" s="11">
        <v>0</v>
      </c>
    </row>
    <row r="79" spans="1:25" x14ac:dyDescent="0.25">
      <c r="A79" s="20" t="s">
        <v>3540</v>
      </c>
      <c r="B79" s="20" t="s">
        <v>60</v>
      </c>
      <c r="C79" s="20" t="s">
        <v>3541</v>
      </c>
      <c r="D79" s="20" t="s">
        <v>216</v>
      </c>
      <c r="E79" s="13">
        <v>0</v>
      </c>
      <c r="F79" s="11">
        <v>0</v>
      </c>
      <c r="G79" s="13">
        <v>0</v>
      </c>
      <c r="H79" s="11">
        <v>0</v>
      </c>
      <c r="I79" s="13">
        <f>E79+G79</f>
        <v>0</v>
      </c>
      <c r="J79" s="11">
        <f>F79+H79</f>
        <v>0</v>
      </c>
      <c r="K79" s="13">
        <v>0</v>
      </c>
      <c r="L79" s="11">
        <v>0</v>
      </c>
      <c r="M79" s="11">
        <v>0</v>
      </c>
      <c r="N79" s="13">
        <v>0</v>
      </c>
      <c r="O79" s="11">
        <v>0</v>
      </c>
      <c r="P79" s="11">
        <v>0</v>
      </c>
      <c r="Q79" s="13">
        <f>K79+N79</f>
        <v>0</v>
      </c>
      <c r="R79" s="11">
        <f>L79+O79</f>
        <v>0</v>
      </c>
      <c r="S79" s="11">
        <f>M79+P79</f>
        <v>0</v>
      </c>
      <c r="T79" s="8">
        <f>I79-Q79</f>
        <v>0</v>
      </c>
      <c r="U79" s="18" t="s">
        <v>1803</v>
      </c>
      <c r="V79" s="11">
        <v>0</v>
      </c>
      <c r="W79" s="11">
        <v>0</v>
      </c>
      <c r="X79" s="11">
        <v>0</v>
      </c>
      <c r="Y79" s="11">
        <v>0</v>
      </c>
    </row>
    <row r="80" spans="1:25" x14ac:dyDescent="0.25">
      <c r="A80" s="20" t="s">
        <v>3542</v>
      </c>
      <c r="B80" s="20" t="s">
        <v>60</v>
      </c>
      <c r="C80" s="20" t="s">
        <v>3543</v>
      </c>
      <c r="D80" s="20" t="s">
        <v>216</v>
      </c>
      <c r="E80" s="13">
        <v>0</v>
      </c>
      <c r="F80" s="11">
        <v>0</v>
      </c>
      <c r="G80" s="13">
        <v>0</v>
      </c>
      <c r="H80" s="11">
        <v>0</v>
      </c>
      <c r="I80" s="13">
        <f>E80+G80</f>
        <v>0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0</v>
      </c>
      <c r="O80" s="11">
        <v>0</v>
      </c>
      <c r="P80" s="11">
        <v>0</v>
      </c>
      <c r="Q80" s="13">
        <f>K80+N80</f>
        <v>0</v>
      </c>
      <c r="R80" s="11">
        <f>L80+O80</f>
        <v>0</v>
      </c>
      <c r="S80" s="11">
        <f>M80+P80</f>
        <v>0</v>
      </c>
      <c r="T80" s="8">
        <f>I80-Q80</f>
        <v>0</v>
      </c>
      <c r="U80" s="18" t="s">
        <v>1803</v>
      </c>
      <c r="V80" s="11">
        <v>0</v>
      </c>
      <c r="W80" s="11">
        <v>0</v>
      </c>
      <c r="X80" s="11">
        <v>0</v>
      </c>
      <c r="Y80" s="11">
        <v>0</v>
      </c>
    </row>
    <row r="81" spans="1:25" x14ac:dyDescent="0.25">
      <c r="A81" s="20" t="s">
        <v>3203</v>
      </c>
      <c r="B81" s="20" t="s">
        <v>3203</v>
      </c>
      <c r="C81" s="20" t="s">
        <v>3544</v>
      </c>
      <c r="D81" s="20" t="s">
        <v>216</v>
      </c>
      <c r="E81" s="13">
        <v>0</v>
      </c>
      <c r="F81" s="11">
        <v>0</v>
      </c>
      <c r="G81" s="13">
        <v>0</v>
      </c>
      <c r="H81" s="11">
        <v>0</v>
      </c>
      <c r="I81" s="13">
        <f>E81+G81</f>
        <v>0</v>
      </c>
      <c r="J81" s="11">
        <f>F81+H81</f>
        <v>0</v>
      </c>
      <c r="K81" s="13">
        <v>0</v>
      </c>
      <c r="L81" s="11">
        <v>0</v>
      </c>
      <c r="M81" s="11">
        <v>0</v>
      </c>
      <c r="N81" s="13">
        <v>0</v>
      </c>
      <c r="O81" s="11">
        <v>0</v>
      </c>
      <c r="P81" s="11">
        <v>0</v>
      </c>
      <c r="Q81" s="13">
        <f>K81+N81</f>
        <v>0</v>
      </c>
      <c r="R81" s="11">
        <f>L81+O81</f>
        <v>0</v>
      </c>
      <c r="S81" s="11">
        <f>M81+P81</f>
        <v>0</v>
      </c>
      <c r="T81" s="8">
        <f>I81-Q81</f>
        <v>0</v>
      </c>
      <c r="U81" s="18" t="s">
        <v>1803</v>
      </c>
      <c r="V81" s="11">
        <v>0</v>
      </c>
      <c r="W81" s="11">
        <v>0</v>
      </c>
      <c r="X81" s="11">
        <v>0</v>
      </c>
      <c r="Y81" s="11">
        <v>0</v>
      </c>
    </row>
    <row r="82" spans="1:25" x14ac:dyDescent="0.25">
      <c r="A82" s="20" t="s">
        <v>3212</v>
      </c>
      <c r="B82" s="20" t="s">
        <v>60</v>
      </c>
      <c r="C82" s="20" t="s">
        <v>3213</v>
      </c>
      <c r="D82" s="20" t="s">
        <v>216</v>
      </c>
      <c r="E82" s="13">
        <v>0</v>
      </c>
      <c r="F82" s="11">
        <v>0</v>
      </c>
      <c r="G82" s="13">
        <v>0</v>
      </c>
      <c r="H82" s="11">
        <v>0</v>
      </c>
      <c r="I82" s="13">
        <f>E82+G82</f>
        <v>0</v>
      </c>
      <c r="J82" s="11">
        <f>F82+H82</f>
        <v>0</v>
      </c>
      <c r="K82" s="13">
        <v>0</v>
      </c>
      <c r="L82" s="11">
        <v>0</v>
      </c>
      <c r="M82" s="11">
        <v>0</v>
      </c>
      <c r="N82" s="13">
        <v>0</v>
      </c>
      <c r="O82" s="11">
        <v>0</v>
      </c>
      <c r="P82" s="11">
        <v>0</v>
      </c>
      <c r="Q82" s="13">
        <f>K82+N82</f>
        <v>0</v>
      </c>
      <c r="R82" s="11">
        <f>L82+O82</f>
        <v>0</v>
      </c>
      <c r="S82" s="11">
        <f>M82+P82</f>
        <v>0</v>
      </c>
      <c r="T82" s="8">
        <f>I82-Q82</f>
        <v>0</v>
      </c>
      <c r="U82" s="18" t="s">
        <v>1803</v>
      </c>
      <c r="V82" s="11">
        <v>0</v>
      </c>
      <c r="W82" s="11">
        <v>0</v>
      </c>
      <c r="X82" s="11">
        <v>0</v>
      </c>
      <c r="Y82" s="11">
        <v>0</v>
      </c>
    </row>
    <row r="83" spans="1:25" x14ac:dyDescent="0.25">
      <c r="A83" s="20" t="s">
        <v>3545</v>
      </c>
      <c r="B83" s="20" t="s">
        <v>295</v>
      </c>
      <c r="C83" s="20" t="s">
        <v>3219</v>
      </c>
      <c r="D83" s="20" t="s">
        <v>216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0</v>
      </c>
      <c r="L83" s="11">
        <v>0</v>
      </c>
      <c r="M83" s="11">
        <v>0</v>
      </c>
      <c r="N83" s="13">
        <v>0</v>
      </c>
      <c r="O83" s="11">
        <v>0</v>
      </c>
      <c r="P83" s="11">
        <v>0</v>
      </c>
      <c r="Q83" s="13">
        <f>K83+N83</f>
        <v>0</v>
      </c>
      <c r="R83" s="11">
        <f>L83+O83</f>
        <v>0</v>
      </c>
      <c r="S83" s="11">
        <f>M83+P83</f>
        <v>0</v>
      </c>
      <c r="T83" s="8">
        <f>I83-Q83</f>
        <v>0</v>
      </c>
      <c r="U83" s="18" t="s">
        <v>1803</v>
      </c>
      <c r="V83" s="11">
        <v>0</v>
      </c>
      <c r="W83" s="11">
        <v>0</v>
      </c>
      <c r="X83" s="11">
        <v>0</v>
      </c>
      <c r="Y83" s="11">
        <v>0</v>
      </c>
    </row>
    <row r="84" spans="1:25" x14ac:dyDescent="0.25">
      <c r="A84" s="20" t="s">
        <v>3546</v>
      </c>
      <c r="B84" s="20" t="s">
        <v>60</v>
      </c>
      <c r="C84" s="20" t="s">
        <v>3547</v>
      </c>
      <c r="D84" s="20" t="s">
        <v>216</v>
      </c>
      <c r="E84" s="13">
        <v>0</v>
      </c>
      <c r="F84" s="11">
        <v>0</v>
      </c>
      <c r="G84" s="13">
        <v>0</v>
      </c>
      <c r="H84" s="11">
        <v>0</v>
      </c>
      <c r="I84" s="13">
        <f>E84+G84</f>
        <v>0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0</v>
      </c>
      <c r="U84" s="18" t="s">
        <v>1803</v>
      </c>
      <c r="V84" s="11">
        <v>0</v>
      </c>
      <c r="W84" s="11">
        <v>0</v>
      </c>
      <c r="X84" s="11">
        <v>0</v>
      </c>
      <c r="Y84" s="11">
        <v>0</v>
      </c>
    </row>
    <row r="85" spans="1:25" x14ac:dyDescent="0.25">
      <c r="A85" s="20" t="s">
        <v>3548</v>
      </c>
      <c r="B85" s="20" t="s">
        <v>60</v>
      </c>
      <c r="C85" s="20" t="s">
        <v>3549</v>
      </c>
      <c r="D85" s="20" t="s">
        <v>216</v>
      </c>
      <c r="E85" s="13">
        <v>0</v>
      </c>
      <c r="F85" s="11">
        <v>0</v>
      </c>
      <c r="G85" s="13">
        <v>0</v>
      </c>
      <c r="H85" s="11">
        <v>0</v>
      </c>
      <c r="I85" s="13">
        <f>E85+G85</f>
        <v>0</v>
      </c>
      <c r="J85" s="11">
        <f>F85+H85</f>
        <v>0</v>
      </c>
      <c r="K85" s="13">
        <v>0</v>
      </c>
      <c r="L85" s="11">
        <v>0</v>
      </c>
      <c r="M85" s="11">
        <v>0</v>
      </c>
      <c r="N85" s="13">
        <v>0</v>
      </c>
      <c r="O85" s="11">
        <v>0</v>
      </c>
      <c r="P85" s="11">
        <v>0</v>
      </c>
      <c r="Q85" s="13">
        <f>K85+N85</f>
        <v>0</v>
      </c>
      <c r="R85" s="11">
        <f>L85+O85</f>
        <v>0</v>
      </c>
      <c r="S85" s="11">
        <f>M85+P85</f>
        <v>0</v>
      </c>
      <c r="T85" s="8">
        <f>I85-Q85</f>
        <v>0</v>
      </c>
      <c r="U85" s="18" t="s">
        <v>1803</v>
      </c>
      <c r="V85" s="11">
        <v>0</v>
      </c>
      <c r="W85" s="11">
        <v>0</v>
      </c>
      <c r="X85" s="11">
        <v>0</v>
      </c>
      <c r="Y85" s="11">
        <v>0</v>
      </c>
    </row>
    <row r="86" spans="1:25" x14ac:dyDescent="0.25">
      <c r="A86" s="20" t="s">
        <v>3550</v>
      </c>
      <c r="B86" s="20" t="s">
        <v>60</v>
      </c>
      <c r="C86" s="20" t="s">
        <v>3551</v>
      </c>
      <c r="D86" s="20" t="s">
        <v>216</v>
      </c>
      <c r="E86" s="13">
        <v>0</v>
      </c>
      <c r="F86" s="11">
        <v>0</v>
      </c>
      <c r="G86" s="13">
        <v>0</v>
      </c>
      <c r="H86" s="11">
        <v>0</v>
      </c>
      <c r="I86" s="13">
        <f>E86+G86</f>
        <v>0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0</v>
      </c>
      <c r="U86" s="18" t="s">
        <v>1803</v>
      </c>
      <c r="V86" s="11">
        <v>0</v>
      </c>
      <c r="W86" s="11">
        <v>0</v>
      </c>
      <c r="X86" s="11">
        <v>0</v>
      </c>
      <c r="Y86" s="11">
        <v>0</v>
      </c>
    </row>
    <row r="87" spans="1:25" x14ac:dyDescent="0.25">
      <c r="A87" s="20" t="s">
        <v>3552</v>
      </c>
      <c r="B87" s="20" t="s">
        <v>3552</v>
      </c>
      <c r="C87" s="20" t="s">
        <v>3553</v>
      </c>
      <c r="D87" s="20" t="s">
        <v>216</v>
      </c>
      <c r="E87" s="13">
        <v>0</v>
      </c>
      <c r="F87" s="11">
        <v>0</v>
      </c>
      <c r="G87" s="13">
        <v>0</v>
      </c>
      <c r="H87" s="11">
        <v>0</v>
      </c>
      <c r="I87" s="13">
        <f>E87+G87</f>
        <v>0</v>
      </c>
      <c r="J87" s="11">
        <f>F87+H87</f>
        <v>0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0</v>
      </c>
      <c r="U87" s="18" t="s">
        <v>1803</v>
      </c>
      <c r="V87" s="11">
        <v>0</v>
      </c>
      <c r="W87" s="11">
        <v>0</v>
      </c>
      <c r="X87" s="11">
        <v>0</v>
      </c>
      <c r="Y87" s="11">
        <v>0</v>
      </c>
    </row>
    <row r="88" spans="1:25" x14ac:dyDescent="0.25">
      <c r="A88" s="20" t="s">
        <v>3357</v>
      </c>
      <c r="B88" s="20" t="s">
        <v>3552</v>
      </c>
      <c r="C88" s="20" t="s">
        <v>3554</v>
      </c>
      <c r="D88" s="20" t="s">
        <v>216</v>
      </c>
      <c r="E88" s="13">
        <v>0</v>
      </c>
      <c r="F88" s="11">
        <v>0</v>
      </c>
      <c r="G88" s="13">
        <v>0</v>
      </c>
      <c r="H88" s="11">
        <v>0</v>
      </c>
      <c r="I88" s="13">
        <f>E88+G88</f>
        <v>0</v>
      </c>
      <c r="J88" s="11">
        <f>F88+H88</f>
        <v>0</v>
      </c>
      <c r="K88" s="13">
        <v>0</v>
      </c>
      <c r="L88" s="11">
        <v>0</v>
      </c>
      <c r="M88" s="11">
        <v>0</v>
      </c>
      <c r="N88" s="13">
        <v>0</v>
      </c>
      <c r="O88" s="11">
        <v>0</v>
      </c>
      <c r="P88" s="11">
        <v>0</v>
      </c>
      <c r="Q88" s="13">
        <f>K88+N88</f>
        <v>0</v>
      </c>
      <c r="R88" s="11">
        <f>L88+O88</f>
        <v>0</v>
      </c>
      <c r="S88" s="11">
        <f>M88+P88</f>
        <v>0</v>
      </c>
      <c r="T88" s="8">
        <f>I88-Q88</f>
        <v>0</v>
      </c>
      <c r="U88" s="18" t="s">
        <v>1803</v>
      </c>
      <c r="V88" s="11">
        <v>0</v>
      </c>
      <c r="W88" s="11">
        <v>0</v>
      </c>
      <c r="X88" s="11">
        <v>0</v>
      </c>
      <c r="Y88" s="11">
        <v>0</v>
      </c>
    </row>
    <row r="89" spans="1:25" x14ac:dyDescent="0.25">
      <c r="A89" s="20" t="s">
        <v>3555</v>
      </c>
      <c r="B89" s="20" t="s">
        <v>60</v>
      </c>
      <c r="C89" s="20" t="s">
        <v>3556</v>
      </c>
      <c r="D89" s="20" t="s">
        <v>216</v>
      </c>
      <c r="E89" s="13">
        <v>0</v>
      </c>
      <c r="F89" s="11">
        <v>0</v>
      </c>
      <c r="G89" s="13">
        <v>0</v>
      </c>
      <c r="H89" s="11">
        <v>0</v>
      </c>
      <c r="I89" s="13">
        <f>E89+G89</f>
        <v>0</v>
      </c>
      <c r="J89" s="11">
        <f>F89+H89</f>
        <v>0</v>
      </c>
      <c r="K89" s="13">
        <v>0</v>
      </c>
      <c r="L89" s="11">
        <v>0</v>
      </c>
      <c r="M89" s="11">
        <v>0</v>
      </c>
      <c r="N89" s="13">
        <v>0</v>
      </c>
      <c r="O89" s="11">
        <v>0</v>
      </c>
      <c r="P89" s="11">
        <v>0</v>
      </c>
      <c r="Q89" s="13">
        <f>K89+N89</f>
        <v>0</v>
      </c>
      <c r="R89" s="11">
        <f>L89+O89</f>
        <v>0</v>
      </c>
      <c r="S89" s="11">
        <f>M89+P89</f>
        <v>0</v>
      </c>
      <c r="T89" s="8">
        <f>I89-Q89</f>
        <v>0</v>
      </c>
      <c r="U89" s="18" t="s">
        <v>1803</v>
      </c>
      <c r="V89" s="11">
        <v>0</v>
      </c>
      <c r="W89" s="11">
        <v>0</v>
      </c>
      <c r="X89" s="11">
        <v>0</v>
      </c>
      <c r="Y89" s="11">
        <v>0</v>
      </c>
    </row>
    <row r="90" spans="1:25" x14ac:dyDescent="0.25">
      <c r="A90" s="20" t="s">
        <v>3340</v>
      </c>
      <c r="B90" s="20" t="s">
        <v>3340</v>
      </c>
      <c r="C90" s="20" t="s">
        <v>3223</v>
      </c>
      <c r="D90" s="20" t="s">
        <v>216</v>
      </c>
      <c r="E90" s="13">
        <v>0</v>
      </c>
      <c r="F90" s="11">
        <v>0</v>
      </c>
      <c r="G90" s="13">
        <v>0</v>
      </c>
      <c r="H90" s="11">
        <v>0</v>
      </c>
      <c r="I90" s="13">
        <f>E90+G90</f>
        <v>0</v>
      </c>
      <c r="J90" s="11">
        <f>F90+H90</f>
        <v>0</v>
      </c>
      <c r="K90" s="13">
        <v>0</v>
      </c>
      <c r="L90" s="11">
        <v>0</v>
      </c>
      <c r="M90" s="11">
        <v>0</v>
      </c>
      <c r="N90" s="13">
        <v>0</v>
      </c>
      <c r="O90" s="11">
        <v>0</v>
      </c>
      <c r="P90" s="11">
        <v>0</v>
      </c>
      <c r="Q90" s="13">
        <f>K90+N90</f>
        <v>0</v>
      </c>
      <c r="R90" s="11">
        <f>L90+O90</f>
        <v>0</v>
      </c>
      <c r="S90" s="11">
        <f>M90+P90</f>
        <v>0</v>
      </c>
      <c r="T90" s="8">
        <f>I90-Q90</f>
        <v>0</v>
      </c>
      <c r="U90" s="18" t="s">
        <v>1803</v>
      </c>
      <c r="V90" s="11">
        <v>0</v>
      </c>
      <c r="W90" s="11">
        <v>0</v>
      </c>
      <c r="X90" s="11">
        <v>0</v>
      </c>
      <c r="Y90" s="11">
        <v>0</v>
      </c>
    </row>
    <row r="91" spans="1:25" x14ac:dyDescent="0.25">
      <c r="A91" s="20" t="s">
        <v>3557</v>
      </c>
      <c r="B91" s="20" t="s">
        <v>60</v>
      </c>
      <c r="C91" s="20" t="s">
        <v>3558</v>
      </c>
      <c r="D91" s="20" t="s">
        <v>216</v>
      </c>
      <c r="E91" s="13">
        <v>0</v>
      </c>
      <c r="F91" s="11">
        <v>0</v>
      </c>
      <c r="G91" s="13">
        <v>0</v>
      </c>
      <c r="H91" s="11">
        <v>0</v>
      </c>
      <c r="I91" s="13">
        <f>E91+G91</f>
        <v>0</v>
      </c>
      <c r="J91" s="11">
        <f>F91+H91</f>
        <v>0</v>
      </c>
      <c r="K91" s="13">
        <v>0</v>
      </c>
      <c r="L91" s="11">
        <v>0</v>
      </c>
      <c r="M91" s="11">
        <v>0</v>
      </c>
      <c r="N91" s="13">
        <v>0</v>
      </c>
      <c r="O91" s="11">
        <v>0</v>
      </c>
      <c r="P91" s="11">
        <v>0</v>
      </c>
      <c r="Q91" s="13">
        <f>K91+N91</f>
        <v>0</v>
      </c>
      <c r="R91" s="11">
        <f>L91+O91</f>
        <v>0</v>
      </c>
      <c r="S91" s="11">
        <f>M91+P91</f>
        <v>0</v>
      </c>
      <c r="T91" s="8">
        <f>I91-Q91</f>
        <v>0</v>
      </c>
      <c r="U91" s="18" t="s">
        <v>1803</v>
      </c>
      <c r="V91" s="11">
        <v>0</v>
      </c>
      <c r="W91" s="11">
        <v>0</v>
      </c>
      <c r="X91" s="11">
        <v>1</v>
      </c>
      <c r="Y91" s="11">
        <v>0</v>
      </c>
    </row>
    <row r="92" spans="1:25" x14ac:dyDescent="0.25">
      <c r="A92" s="20" t="s">
        <v>3347</v>
      </c>
      <c r="B92" s="20" t="s">
        <v>77</v>
      </c>
      <c r="C92" s="20" t="s">
        <v>3348</v>
      </c>
      <c r="D92" s="20" t="s">
        <v>216</v>
      </c>
      <c r="E92" s="13">
        <v>0</v>
      </c>
      <c r="F92" s="11">
        <v>1</v>
      </c>
      <c r="G92" s="13">
        <v>0</v>
      </c>
      <c r="H92" s="11">
        <v>0</v>
      </c>
      <c r="I92" s="13">
        <f>E92+G92</f>
        <v>0</v>
      </c>
      <c r="J92" s="11">
        <f>F92+H92</f>
        <v>1</v>
      </c>
      <c r="K92" s="13">
        <v>0</v>
      </c>
      <c r="L92" s="11">
        <v>0</v>
      </c>
      <c r="M92" s="11">
        <v>0</v>
      </c>
      <c r="N92" s="13">
        <v>0</v>
      </c>
      <c r="O92" s="11">
        <v>0</v>
      </c>
      <c r="P92" s="11">
        <v>0</v>
      </c>
      <c r="Q92" s="13">
        <f>K92+N92</f>
        <v>0</v>
      </c>
      <c r="R92" s="11">
        <f>L92+O92</f>
        <v>0</v>
      </c>
      <c r="S92" s="11">
        <f>M92+P92</f>
        <v>0</v>
      </c>
      <c r="T92" s="8">
        <f>I92-Q92</f>
        <v>0</v>
      </c>
      <c r="U92" s="18" t="s">
        <v>1803</v>
      </c>
      <c r="V92" s="11">
        <v>0.12</v>
      </c>
      <c r="W92" s="11">
        <v>1</v>
      </c>
      <c r="X92" s="11">
        <v>7</v>
      </c>
      <c r="Y92" s="11">
        <v>0</v>
      </c>
    </row>
    <row r="93" spans="1:25" x14ac:dyDescent="0.25">
      <c r="A93" s="20" t="s">
        <v>3394</v>
      </c>
      <c r="B93" s="20" t="s">
        <v>60</v>
      </c>
      <c r="C93" s="20" t="s">
        <v>3395</v>
      </c>
      <c r="D93" s="20" t="s">
        <v>216</v>
      </c>
      <c r="E93" s="13">
        <v>3060</v>
      </c>
      <c r="F93" s="11">
        <v>0</v>
      </c>
      <c r="G93" s="13">
        <v>0</v>
      </c>
      <c r="H93" s="11">
        <v>0</v>
      </c>
      <c r="I93" s="13">
        <f>E93+G93</f>
        <v>3060</v>
      </c>
      <c r="J93" s="11">
        <f>F93+H93</f>
        <v>0</v>
      </c>
      <c r="K93" s="13">
        <v>3071.67</v>
      </c>
      <c r="L93" s="11">
        <v>0</v>
      </c>
      <c r="M93" s="11">
        <v>0</v>
      </c>
      <c r="N93" s="13">
        <v>0</v>
      </c>
      <c r="O93" s="11">
        <v>0</v>
      </c>
      <c r="P93" s="11">
        <v>0</v>
      </c>
      <c r="Q93" s="13">
        <f>K93+N93</f>
        <v>3071.67</v>
      </c>
      <c r="R93" s="11">
        <f>L93+O93</f>
        <v>0</v>
      </c>
      <c r="S93" s="11">
        <f>M93+P93</f>
        <v>0</v>
      </c>
      <c r="T93" s="8">
        <f>I93-Q93</f>
        <v>-11.670000000000073</v>
      </c>
      <c r="U93" s="18">
        <v>6.998730653769808E-2</v>
      </c>
      <c r="V93" s="11">
        <v>0</v>
      </c>
      <c r="W93" s="11">
        <v>0</v>
      </c>
      <c r="X93" s="11">
        <v>0</v>
      </c>
      <c r="Y93" s="11">
        <v>0</v>
      </c>
    </row>
    <row r="94" spans="1:25" x14ac:dyDescent="0.25">
      <c r="A94" s="20" t="s">
        <v>3559</v>
      </c>
      <c r="B94" s="20" t="s">
        <v>60</v>
      </c>
      <c r="C94" s="20" t="s">
        <v>3560</v>
      </c>
      <c r="D94" s="20" t="s">
        <v>216</v>
      </c>
      <c r="E94" s="13">
        <v>0</v>
      </c>
      <c r="F94" s="11">
        <v>0</v>
      </c>
      <c r="G94" s="13">
        <v>0</v>
      </c>
      <c r="H94" s="11">
        <v>0</v>
      </c>
      <c r="I94" s="13">
        <f>E94+G94</f>
        <v>0</v>
      </c>
      <c r="J94" s="11">
        <f>F94+H94</f>
        <v>0</v>
      </c>
      <c r="K94" s="13">
        <v>0</v>
      </c>
      <c r="L94" s="11">
        <v>0</v>
      </c>
      <c r="M94" s="11">
        <v>0</v>
      </c>
      <c r="N94" s="13">
        <v>0</v>
      </c>
      <c r="O94" s="11">
        <v>0</v>
      </c>
      <c r="P94" s="11">
        <v>0</v>
      </c>
      <c r="Q94" s="13">
        <f>K94+N94</f>
        <v>0</v>
      </c>
      <c r="R94" s="11">
        <f>L94+O94</f>
        <v>0</v>
      </c>
      <c r="S94" s="11">
        <f>M94+P94</f>
        <v>0</v>
      </c>
      <c r="T94" s="8">
        <f>I94-Q94</f>
        <v>0</v>
      </c>
      <c r="U94" s="18" t="s">
        <v>1803</v>
      </c>
      <c r="V94" s="11">
        <v>0</v>
      </c>
      <c r="W94" s="11">
        <v>0</v>
      </c>
      <c r="X94" s="11">
        <v>0</v>
      </c>
      <c r="Y94" s="11">
        <v>0</v>
      </c>
    </row>
    <row r="95" spans="1:25" x14ac:dyDescent="0.25">
      <c r="A95" s="20" t="s">
        <v>3561</v>
      </c>
      <c r="B95" s="20" t="s">
        <v>60</v>
      </c>
      <c r="C95" s="20" t="s">
        <v>3562</v>
      </c>
      <c r="D95" s="20" t="s">
        <v>216</v>
      </c>
      <c r="E95" s="13">
        <v>0</v>
      </c>
      <c r="F95" s="11">
        <v>0</v>
      </c>
      <c r="G95" s="13">
        <v>0</v>
      </c>
      <c r="H95" s="11">
        <v>0</v>
      </c>
      <c r="I95" s="13">
        <f>E95+G95</f>
        <v>0</v>
      </c>
      <c r="J95" s="11">
        <f>F95+H95</f>
        <v>0</v>
      </c>
      <c r="K95" s="13">
        <v>0</v>
      </c>
      <c r="L95" s="11">
        <v>0</v>
      </c>
      <c r="M95" s="11">
        <v>0</v>
      </c>
      <c r="N95" s="13">
        <v>0</v>
      </c>
      <c r="O95" s="11">
        <v>0</v>
      </c>
      <c r="P95" s="11">
        <v>0</v>
      </c>
      <c r="Q95" s="13">
        <f>K95+N95</f>
        <v>0</v>
      </c>
      <c r="R95" s="11">
        <f>L95+O95</f>
        <v>0</v>
      </c>
      <c r="S95" s="11">
        <f>M95+P95</f>
        <v>0</v>
      </c>
      <c r="T95" s="8">
        <f>I95-Q95</f>
        <v>0</v>
      </c>
      <c r="U95" s="18" t="s">
        <v>1803</v>
      </c>
      <c r="V95" s="11">
        <v>0</v>
      </c>
      <c r="W95" s="11">
        <v>0</v>
      </c>
      <c r="X95" s="11">
        <v>0</v>
      </c>
      <c r="Y95" s="11">
        <v>0</v>
      </c>
    </row>
    <row r="96" spans="1:25" x14ac:dyDescent="0.25">
      <c r="A96" s="20" t="s">
        <v>3424</v>
      </c>
      <c r="B96" s="20" t="s">
        <v>60</v>
      </c>
      <c r="C96" s="20" t="s">
        <v>3425</v>
      </c>
      <c r="D96" s="20" t="s">
        <v>216</v>
      </c>
      <c r="E96" s="13">
        <v>9590</v>
      </c>
      <c r="F96" s="11">
        <v>1</v>
      </c>
      <c r="G96" s="13">
        <v>0</v>
      </c>
      <c r="H96" s="11">
        <v>0</v>
      </c>
      <c r="I96" s="13">
        <f>E96+G96</f>
        <v>9590</v>
      </c>
      <c r="J96" s="11">
        <f>F96+H96</f>
        <v>1</v>
      </c>
      <c r="K96" s="13">
        <v>0</v>
      </c>
      <c r="L96" s="11">
        <v>0</v>
      </c>
      <c r="M96" s="11">
        <v>0</v>
      </c>
      <c r="N96" s="13">
        <v>0</v>
      </c>
      <c r="O96" s="11">
        <v>0</v>
      </c>
      <c r="P96" s="11">
        <v>0</v>
      </c>
      <c r="Q96" s="13">
        <f>K96+N96</f>
        <v>0</v>
      </c>
      <c r="R96" s="11">
        <f>L96+O96</f>
        <v>0</v>
      </c>
      <c r="S96" s="11">
        <f>M96+P96</f>
        <v>0</v>
      </c>
      <c r="T96" s="8">
        <f>I96-Q96</f>
        <v>9590</v>
      </c>
      <c r="U96" s="18">
        <v>0.23970856542174643</v>
      </c>
      <c r="V96" s="11">
        <v>0.25</v>
      </c>
      <c r="W96" s="11">
        <v>1</v>
      </c>
      <c r="X96" s="11">
        <v>3</v>
      </c>
      <c r="Y96" s="11">
        <v>0</v>
      </c>
    </row>
    <row r="97" spans="1:25" x14ac:dyDescent="0.25">
      <c r="A97" s="20" t="s">
        <v>3633</v>
      </c>
      <c r="B97" s="20" t="s">
        <v>60</v>
      </c>
      <c r="C97" s="20" t="s">
        <v>3634</v>
      </c>
      <c r="D97" s="20" t="s">
        <v>216</v>
      </c>
      <c r="E97" s="13">
        <v>0</v>
      </c>
      <c r="F97" s="11">
        <v>0</v>
      </c>
      <c r="G97" s="13">
        <v>0</v>
      </c>
      <c r="H97" s="11">
        <v>0</v>
      </c>
      <c r="I97" s="13">
        <f>E97+G97</f>
        <v>0</v>
      </c>
      <c r="J97" s="11">
        <f>F97+H97</f>
        <v>0</v>
      </c>
      <c r="K97" s="13">
        <v>0</v>
      </c>
      <c r="L97" s="11">
        <v>0</v>
      </c>
      <c r="M97" s="11">
        <v>0</v>
      </c>
      <c r="N97" s="13">
        <v>0</v>
      </c>
      <c r="O97" s="11">
        <v>0</v>
      </c>
      <c r="P97" s="11">
        <v>0</v>
      </c>
      <c r="Q97" s="13">
        <f>K97+N97</f>
        <v>0</v>
      </c>
      <c r="R97" s="11">
        <f>L97+O97</f>
        <v>0</v>
      </c>
      <c r="S97" s="11">
        <f>M97+P97</f>
        <v>0</v>
      </c>
      <c r="T97" s="8">
        <f>I97-Q97</f>
        <v>0</v>
      </c>
      <c r="U97" s="18" t="s">
        <v>1803</v>
      </c>
      <c r="V97" s="11">
        <v>0</v>
      </c>
      <c r="W97" s="11">
        <v>0</v>
      </c>
      <c r="X97" s="11">
        <v>0</v>
      </c>
      <c r="Y97" s="11">
        <v>0</v>
      </c>
    </row>
    <row r="98" spans="1:25" x14ac:dyDescent="0.25">
      <c r="A98" s="20" t="s">
        <v>1805</v>
      </c>
      <c r="B98" s="20"/>
      <c r="C98" s="20"/>
      <c r="D98" s="20"/>
      <c r="E98" s="13">
        <f>SUBTOTAL(109,TableLVS[YTD WP])</f>
        <v>65887.240000000005</v>
      </c>
      <c r="F98" s="11">
        <f>SUBTOTAL(109,TableLVS[YTD NB '#])</f>
        <v>2</v>
      </c>
      <c r="G98" s="13">
        <f>SUBTOTAL(109,TableLVS[[YTD WP ]])</f>
        <v>54</v>
      </c>
      <c r="H98" s="11">
        <f>SUBTOTAL(109,TableLVS[YTD NB '# ])</f>
        <v>0</v>
      </c>
      <c r="I98" s="13">
        <f>SUBTOTAL(109,TableLVS[[YTD WP  ]])</f>
        <v>65941.240000000005</v>
      </c>
      <c r="J98" s="11">
        <f>SUBTOTAL(109,TableLVS[YTD NB '#  ])</f>
        <v>2</v>
      </c>
      <c r="K98" s="13">
        <f>SUBTOTAL(109,TableLVS[PYTD WP])</f>
        <v>71465.12999999999</v>
      </c>
      <c r="L98" s="11">
        <f>SUBTOTAL(109,TableLVS[PYTD NB '#])</f>
        <v>1</v>
      </c>
      <c r="M98" s="11">
        <f>SUBTOTAL(109,TableLVS[PY Total NB '#])</f>
        <v>12</v>
      </c>
      <c r="N98" s="13">
        <f>SUBTOTAL(109,TableLVS[[PYTD WP ]])</f>
        <v>13253</v>
      </c>
      <c r="O98" s="11">
        <f>SUBTOTAL(109,TableLVS[PYTD NB '# ])</f>
        <v>1</v>
      </c>
      <c r="P98" s="11">
        <f>SUBTOTAL(109,TableLVS[PY Total NB '# ])</f>
        <v>3</v>
      </c>
      <c r="Q98" s="13">
        <f>SUBTOTAL(109,TableLVS[[PYTD WP  ]])</f>
        <v>84718.12999999999</v>
      </c>
      <c r="R98" s="11">
        <f>SUBTOTAL(109,TableLVS[PYTD NB '#  ])</f>
        <v>2</v>
      </c>
      <c r="S98" s="11">
        <f>SUBTOTAL(109,TableLVS[PY Total NB '#  ])</f>
        <v>15</v>
      </c>
      <c r="T98" s="8">
        <f>SUBTOTAL(109,TableLVS[Premium Change])</f>
        <v>-18776.89</v>
      </c>
      <c r="V98" s="11">
        <f>ROUND(SUM(TableLVS[12 Mo Bound])/SUM(TableLVS[12 Mo Quoted])+ SUM(TableLVS[12 Mo Bound]), 2)</f>
        <v>16.32</v>
      </c>
      <c r="W98" s="11">
        <f>SUBTOTAL(109,TableLVS[12 Mo Bound])</f>
        <v>16</v>
      </c>
      <c r="X98" s="11">
        <f>SUBTOTAL(109,TableLVS[12 Mo Quoted])</f>
        <v>50</v>
      </c>
      <c r="Y98" s="11">
        <f>SUBTOTAL(109,TableLVS[12 Mo Declined])</f>
        <v>9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08B29-D52B-4C27-AB50-FC4FEB2AB896}">
  <sheetPr>
    <pageSetUpPr fitToPage="1"/>
  </sheetPr>
  <dimension ref="A1:Z92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.855468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10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673</v>
      </c>
      <c r="B7" s="20" t="s">
        <v>60</v>
      </c>
      <c r="C7" s="20" t="s">
        <v>674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0</v>
      </c>
      <c r="O7" s="11">
        <v>0</v>
      </c>
      <c r="P7" s="11">
        <v>0</v>
      </c>
      <c r="Q7" s="13">
        <f>K7+N7</f>
        <v>0</v>
      </c>
      <c r="R7" s="11">
        <f>L7+O7</f>
        <v>0</v>
      </c>
      <c r="S7" s="11">
        <f>M7+P7</f>
        <v>0</v>
      </c>
      <c r="T7" s="8">
        <f>I7-Q7</f>
        <v>0</v>
      </c>
      <c r="U7" s="18">
        <v>0.23686421456698165</v>
      </c>
      <c r="V7" s="11">
        <v>0</v>
      </c>
      <c r="W7" s="11">
        <v>0</v>
      </c>
      <c r="X7" s="11">
        <v>0</v>
      </c>
      <c r="Y7" s="11">
        <v>0</v>
      </c>
    </row>
    <row r="8" spans="1:26" x14ac:dyDescent="0.25">
      <c r="A8" s="20" t="s">
        <v>682</v>
      </c>
      <c r="B8" s="20" t="s">
        <v>60</v>
      </c>
      <c r="C8" s="20" t="s">
        <v>683</v>
      </c>
      <c r="D8" s="20" t="s">
        <v>216</v>
      </c>
      <c r="E8" s="13">
        <v>58340</v>
      </c>
      <c r="F8" s="11">
        <v>0</v>
      </c>
      <c r="G8" s="13">
        <v>28239.61</v>
      </c>
      <c r="H8" s="11">
        <v>0</v>
      </c>
      <c r="I8" s="13">
        <f>E8+G8</f>
        <v>86579.61</v>
      </c>
      <c r="J8" s="11">
        <f>F8+H8</f>
        <v>0</v>
      </c>
      <c r="K8" s="13">
        <v>62755</v>
      </c>
      <c r="L8" s="11">
        <v>2</v>
      </c>
      <c r="M8" s="11">
        <v>3</v>
      </c>
      <c r="N8" s="13">
        <v>27079</v>
      </c>
      <c r="O8" s="11">
        <v>0</v>
      </c>
      <c r="P8" s="11">
        <v>1</v>
      </c>
      <c r="Q8" s="13">
        <f>K8+N8</f>
        <v>89834</v>
      </c>
      <c r="R8" s="11">
        <f>L8+O8</f>
        <v>2</v>
      </c>
      <c r="S8" s="11">
        <f>M8+P8</f>
        <v>4</v>
      </c>
      <c r="T8" s="8">
        <f>I8-Q8</f>
        <v>-3254.3899999999994</v>
      </c>
      <c r="U8" s="18">
        <v>0.14169966304462045</v>
      </c>
      <c r="V8" s="11">
        <v>0.25</v>
      </c>
      <c r="W8" s="11">
        <v>2</v>
      </c>
      <c r="X8" s="11">
        <v>6</v>
      </c>
      <c r="Y8" s="11">
        <v>0</v>
      </c>
    </row>
    <row r="9" spans="1:26" x14ac:dyDescent="0.25">
      <c r="A9" s="20" t="s">
        <v>189</v>
      </c>
      <c r="B9" s="20" t="s">
        <v>189</v>
      </c>
      <c r="C9" s="20" t="s">
        <v>684</v>
      </c>
      <c r="D9" s="20" t="s">
        <v>216</v>
      </c>
      <c r="E9" s="13">
        <v>7224</v>
      </c>
      <c r="F9" s="11">
        <v>0</v>
      </c>
      <c r="G9" s="13">
        <v>0</v>
      </c>
      <c r="H9" s="11">
        <v>0</v>
      </c>
      <c r="I9" s="13">
        <f>E9+G9</f>
        <v>7224</v>
      </c>
      <c r="J9" s="11">
        <f>F9+H9</f>
        <v>0</v>
      </c>
      <c r="K9" s="13">
        <v>17198</v>
      </c>
      <c r="L9" s="11">
        <v>0</v>
      </c>
      <c r="M9" s="11">
        <v>2</v>
      </c>
      <c r="N9" s="13">
        <v>0</v>
      </c>
      <c r="O9" s="11">
        <v>0</v>
      </c>
      <c r="P9" s="11">
        <v>2</v>
      </c>
      <c r="Q9" s="13">
        <f>K9+N9</f>
        <v>17198</v>
      </c>
      <c r="R9" s="11">
        <f>L9+O9</f>
        <v>0</v>
      </c>
      <c r="S9" s="11">
        <f>M9+P9</f>
        <v>4</v>
      </c>
      <c r="T9" s="8">
        <f>I9-Q9</f>
        <v>-9974</v>
      </c>
      <c r="U9" s="18">
        <v>0.5842095129233591</v>
      </c>
      <c r="V9" s="11">
        <v>0.33</v>
      </c>
      <c r="W9" s="11">
        <v>4</v>
      </c>
      <c r="X9" s="11">
        <v>8</v>
      </c>
      <c r="Y9" s="11">
        <v>1</v>
      </c>
    </row>
    <row r="10" spans="1:26" x14ac:dyDescent="0.25">
      <c r="A10" s="20" t="s">
        <v>685</v>
      </c>
      <c r="B10" s="20" t="s">
        <v>83</v>
      </c>
      <c r="C10" s="20" t="s">
        <v>686</v>
      </c>
      <c r="D10" s="20" t="s">
        <v>216</v>
      </c>
      <c r="E10" s="13">
        <v>12165</v>
      </c>
      <c r="F10" s="11">
        <v>0</v>
      </c>
      <c r="G10" s="13">
        <v>0</v>
      </c>
      <c r="H10" s="11">
        <v>0</v>
      </c>
      <c r="I10" s="13">
        <f>E10+G10</f>
        <v>12165</v>
      </c>
      <c r="J10" s="11">
        <f>F10+H10</f>
        <v>0</v>
      </c>
      <c r="K10" s="13">
        <v>11947</v>
      </c>
      <c r="L10" s="11">
        <v>0</v>
      </c>
      <c r="M10" s="11">
        <v>0</v>
      </c>
      <c r="N10" s="13">
        <v>0</v>
      </c>
      <c r="O10" s="11">
        <v>0</v>
      </c>
      <c r="P10" s="11">
        <v>0</v>
      </c>
      <c r="Q10" s="13">
        <f>K10+N10</f>
        <v>11947</v>
      </c>
      <c r="R10" s="11">
        <f>L10+O10</f>
        <v>0</v>
      </c>
      <c r="S10" s="11">
        <f>M10+P10</f>
        <v>0</v>
      </c>
      <c r="T10" s="8">
        <f>I10-Q10</f>
        <v>218</v>
      </c>
      <c r="U10" s="18">
        <v>1.0005175325428864E-2</v>
      </c>
      <c r="V10" s="11">
        <v>0</v>
      </c>
      <c r="W10" s="11">
        <v>0</v>
      </c>
      <c r="X10" s="11">
        <v>0</v>
      </c>
      <c r="Y10" s="11">
        <v>0</v>
      </c>
    </row>
    <row r="11" spans="1:26" x14ac:dyDescent="0.25">
      <c r="A11" s="20" t="s">
        <v>687</v>
      </c>
      <c r="B11" s="20" t="s">
        <v>60</v>
      </c>
      <c r="C11" s="20" t="s">
        <v>688</v>
      </c>
      <c r="D11" s="20" t="s">
        <v>216</v>
      </c>
      <c r="E11" s="13">
        <v>9662</v>
      </c>
      <c r="F11" s="11">
        <v>1</v>
      </c>
      <c r="G11" s="13">
        <v>0</v>
      </c>
      <c r="H11" s="11">
        <v>0</v>
      </c>
      <c r="I11" s="13">
        <f>E11+G11</f>
        <v>9662</v>
      </c>
      <c r="J11" s="11">
        <f>F11+H11</f>
        <v>1</v>
      </c>
      <c r="K11" s="13">
        <v>22119</v>
      </c>
      <c r="L11" s="11">
        <v>1</v>
      </c>
      <c r="M11" s="11">
        <v>1</v>
      </c>
      <c r="N11" s="13">
        <v>0</v>
      </c>
      <c r="O11" s="11">
        <v>0</v>
      </c>
      <c r="P11" s="11">
        <v>0</v>
      </c>
      <c r="Q11" s="13">
        <f>K11+N11</f>
        <v>22119</v>
      </c>
      <c r="R11" s="11">
        <f>L11+O11</f>
        <v>1</v>
      </c>
      <c r="S11" s="11">
        <f>M11+P11</f>
        <v>1</v>
      </c>
      <c r="T11" s="8">
        <f>I11-Q11</f>
        <v>-12457</v>
      </c>
      <c r="U11" s="18">
        <v>0.14888777642738868</v>
      </c>
      <c r="V11" s="11">
        <v>0.18</v>
      </c>
      <c r="W11" s="11">
        <v>2</v>
      </c>
      <c r="X11" s="11">
        <v>9</v>
      </c>
      <c r="Y11" s="11">
        <v>0</v>
      </c>
    </row>
    <row r="12" spans="1:26" x14ac:dyDescent="0.25">
      <c r="A12" s="20" t="s">
        <v>83</v>
      </c>
      <c r="B12" s="20" t="s">
        <v>83</v>
      </c>
      <c r="C12" s="20" t="s">
        <v>689</v>
      </c>
      <c r="D12" s="20" t="s">
        <v>216</v>
      </c>
      <c r="E12" s="13">
        <v>3012.14</v>
      </c>
      <c r="F12" s="11">
        <v>0</v>
      </c>
      <c r="G12" s="13">
        <v>29593.1</v>
      </c>
      <c r="H12" s="11">
        <v>0</v>
      </c>
      <c r="I12" s="13">
        <f>E12+G12</f>
        <v>32605.239999999998</v>
      </c>
      <c r="J12" s="11">
        <f>F12+H12</f>
        <v>0</v>
      </c>
      <c r="K12" s="13">
        <v>41666.71</v>
      </c>
      <c r="L12" s="11">
        <v>1</v>
      </c>
      <c r="M12" s="11">
        <v>6</v>
      </c>
      <c r="N12" s="13">
        <v>49318.47</v>
      </c>
      <c r="O12" s="11">
        <v>1</v>
      </c>
      <c r="P12" s="11">
        <v>3</v>
      </c>
      <c r="Q12" s="13">
        <f>K12+N12</f>
        <v>90985.18</v>
      </c>
      <c r="R12" s="11">
        <f>L12+O12</f>
        <v>2</v>
      </c>
      <c r="S12" s="11">
        <f>M12+P12</f>
        <v>9</v>
      </c>
      <c r="T12" s="8">
        <f>I12-Q12</f>
        <v>-58379.939999999995</v>
      </c>
      <c r="U12" s="18">
        <v>6.9812055100929415E-2</v>
      </c>
      <c r="V12" s="11">
        <v>0.28999999999999998</v>
      </c>
      <c r="W12" s="11">
        <v>7</v>
      </c>
      <c r="X12" s="11">
        <v>17</v>
      </c>
      <c r="Y12" s="11">
        <v>8</v>
      </c>
    </row>
    <row r="13" spans="1:26" x14ac:dyDescent="0.25">
      <c r="A13" s="20" t="s">
        <v>691</v>
      </c>
      <c r="B13" s="20" t="s">
        <v>691</v>
      </c>
      <c r="C13" s="20" t="s">
        <v>692</v>
      </c>
      <c r="D13" s="20" t="s">
        <v>216</v>
      </c>
      <c r="E13" s="13">
        <v>50793</v>
      </c>
      <c r="F13" s="11">
        <v>0</v>
      </c>
      <c r="G13" s="13">
        <v>12233.99</v>
      </c>
      <c r="H13" s="11">
        <v>1</v>
      </c>
      <c r="I13" s="13">
        <f>E13+G13</f>
        <v>63026.99</v>
      </c>
      <c r="J13" s="11">
        <f>F13+H13</f>
        <v>1</v>
      </c>
      <c r="K13" s="13">
        <v>63193</v>
      </c>
      <c r="L13" s="11">
        <v>0</v>
      </c>
      <c r="M13" s="11">
        <v>0</v>
      </c>
      <c r="N13" s="13">
        <v>8333.5</v>
      </c>
      <c r="O13" s="11">
        <v>0</v>
      </c>
      <c r="P13" s="11">
        <v>5</v>
      </c>
      <c r="Q13" s="13">
        <f>K13+N13</f>
        <v>71526.5</v>
      </c>
      <c r="R13" s="11">
        <f>L13+O13</f>
        <v>0</v>
      </c>
      <c r="S13" s="11">
        <f>M13+P13</f>
        <v>5</v>
      </c>
      <c r="T13" s="8">
        <f>I13-Q13</f>
        <v>-8499.510000000002</v>
      </c>
      <c r="U13" s="18">
        <v>0.29598540855686434</v>
      </c>
      <c r="V13" s="11">
        <v>0.28999999999999998</v>
      </c>
      <c r="W13" s="11">
        <v>6</v>
      </c>
      <c r="X13" s="11">
        <v>15</v>
      </c>
      <c r="Y13" s="11">
        <v>0</v>
      </c>
    </row>
    <row r="14" spans="1:26" x14ac:dyDescent="0.25">
      <c r="A14" s="20" t="s">
        <v>693</v>
      </c>
      <c r="B14" s="20" t="s">
        <v>3096</v>
      </c>
      <c r="C14" s="20" t="s">
        <v>694</v>
      </c>
      <c r="D14" s="20" t="s">
        <v>216</v>
      </c>
      <c r="E14" s="13">
        <v>11131</v>
      </c>
      <c r="F14" s="11">
        <v>0</v>
      </c>
      <c r="G14" s="13">
        <v>0</v>
      </c>
      <c r="H14" s="11">
        <v>0</v>
      </c>
      <c r="I14" s="13">
        <f>E14+G14</f>
        <v>11131</v>
      </c>
      <c r="J14" s="11">
        <f>F14+H14</f>
        <v>0</v>
      </c>
      <c r="K14" s="13">
        <v>11687</v>
      </c>
      <c r="L14" s="11">
        <v>0</v>
      </c>
      <c r="M14" s="11">
        <v>0</v>
      </c>
      <c r="N14" s="13">
        <v>0</v>
      </c>
      <c r="O14" s="11">
        <v>0</v>
      </c>
      <c r="P14" s="11">
        <v>0</v>
      </c>
      <c r="Q14" s="13">
        <f>K14+N14</f>
        <v>11687</v>
      </c>
      <c r="R14" s="11">
        <f>L14+O14</f>
        <v>0</v>
      </c>
      <c r="S14" s="11">
        <f>M14+P14</f>
        <v>0</v>
      </c>
      <c r="T14" s="8">
        <f>I14-Q14</f>
        <v>-556</v>
      </c>
      <c r="U14" s="18">
        <v>0.12370557348192754</v>
      </c>
      <c r="V14" s="11">
        <v>0</v>
      </c>
      <c r="W14" s="11">
        <v>0</v>
      </c>
      <c r="X14" s="11">
        <v>0</v>
      </c>
      <c r="Y14" s="11">
        <v>0</v>
      </c>
    </row>
    <row r="15" spans="1:26" x14ac:dyDescent="0.25">
      <c r="A15" s="20" t="s">
        <v>696</v>
      </c>
      <c r="B15" s="20" t="s">
        <v>81</v>
      </c>
      <c r="C15" s="20" t="s">
        <v>697</v>
      </c>
      <c r="D15" s="20" t="s">
        <v>216</v>
      </c>
      <c r="E15" s="13">
        <v>20056</v>
      </c>
      <c r="F15" s="11">
        <v>0</v>
      </c>
      <c r="G15" s="13">
        <v>5171</v>
      </c>
      <c r="H15" s="11">
        <v>0</v>
      </c>
      <c r="I15" s="13">
        <f>E15+G15</f>
        <v>25227</v>
      </c>
      <c r="J15" s="11">
        <f>F15+H15</f>
        <v>0</v>
      </c>
      <c r="K15" s="13">
        <v>21000.95</v>
      </c>
      <c r="L15" s="11">
        <v>0</v>
      </c>
      <c r="M15" s="11">
        <v>2</v>
      </c>
      <c r="N15" s="13">
        <v>34265</v>
      </c>
      <c r="O15" s="11">
        <v>0</v>
      </c>
      <c r="P15" s="11">
        <v>0</v>
      </c>
      <c r="Q15" s="13">
        <f>K15+N15</f>
        <v>55265.95</v>
      </c>
      <c r="R15" s="11">
        <f>L15+O15</f>
        <v>0</v>
      </c>
      <c r="S15" s="11">
        <f>M15+P15</f>
        <v>2</v>
      </c>
      <c r="T15" s="8">
        <f>I15-Q15</f>
        <v>-30038.949999999997</v>
      </c>
      <c r="U15" s="18">
        <v>3.0185682001628081E-2</v>
      </c>
      <c r="V15" s="11">
        <v>0.5</v>
      </c>
      <c r="W15" s="11">
        <v>2</v>
      </c>
      <c r="X15" s="11">
        <v>2</v>
      </c>
      <c r="Y15" s="11">
        <v>1</v>
      </c>
    </row>
    <row r="16" spans="1:26" x14ac:dyDescent="0.25">
      <c r="A16" s="20" t="s">
        <v>698</v>
      </c>
      <c r="B16" s="20" t="s">
        <v>698</v>
      </c>
      <c r="C16" s="20" t="s">
        <v>699</v>
      </c>
      <c r="D16" s="20" t="s">
        <v>216</v>
      </c>
      <c r="E16" s="13">
        <v>3543</v>
      </c>
      <c r="F16" s="11">
        <v>1</v>
      </c>
      <c r="G16" s="13">
        <v>0</v>
      </c>
      <c r="H16" s="11">
        <v>0</v>
      </c>
      <c r="I16" s="13">
        <f>E16+G16</f>
        <v>3543</v>
      </c>
      <c r="J16" s="11">
        <f>F16+H16</f>
        <v>1</v>
      </c>
      <c r="K16" s="13">
        <v>-14949.51</v>
      </c>
      <c r="L16" s="11">
        <v>1</v>
      </c>
      <c r="M16" s="11">
        <v>1</v>
      </c>
      <c r="N16" s="13">
        <v>0</v>
      </c>
      <c r="O16" s="11">
        <v>0</v>
      </c>
      <c r="P16" s="11">
        <v>2</v>
      </c>
      <c r="Q16" s="13">
        <f>K16+N16</f>
        <v>-14949.51</v>
      </c>
      <c r="R16" s="11">
        <f>L16+O16</f>
        <v>1</v>
      </c>
      <c r="S16" s="11">
        <f>M16+P16</f>
        <v>3</v>
      </c>
      <c r="T16" s="8">
        <f>I16-Q16</f>
        <v>18492.510000000002</v>
      </c>
      <c r="U16" s="18">
        <v>6.7193098206187546E-2</v>
      </c>
      <c r="V16" s="11">
        <v>0.33</v>
      </c>
      <c r="W16" s="11">
        <v>3</v>
      </c>
      <c r="X16" s="11">
        <v>6</v>
      </c>
      <c r="Y16" s="11">
        <v>3</v>
      </c>
    </row>
    <row r="17" spans="1:25" x14ac:dyDescent="0.25">
      <c r="A17" s="20" t="s">
        <v>703</v>
      </c>
      <c r="B17" s="20" t="s">
        <v>60</v>
      </c>
      <c r="C17" s="20" t="s">
        <v>704</v>
      </c>
      <c r="D17" s="20" t="s">
        <v>216</v>
      </c>
      <c r="E17" s="13">
        <v>0</v>
      </c>
      <c r="F17" s="11">
        <v>0</v>
      </c>
      <c r="G17" s="13">
        <v>0</v>
      </c>
      <c r="H17" s="11">
        <v>0</v>
      </c>
      <c r="I17" s="13">
        <f>E17+G17</f>
        <v>0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0</v>
      </c>
      <c r="O17" s="11">
        <v>0</v>
      </c>
      <c r="P17" s="11">
        <v>0</v>
      </c>
      <c r="Q17" s="13">
        <f>K17+N17</f>
        <v>0</v>
      </c>
      <c r="R17" s="11">
        <f>L17+O17</f>
        <v>0</v>
      </c>
      <c r="S17" s="11">
        <f>M17+P17</f>
        <v>0</v>
      </c>
      <c r="T17" s="8">
        <f>I17-Q17</f>
        <v>0</v>
      </c>
      <c r="U17" s="18">
        <v>4.776850482483333E-2</v>
      </c>
      <c r="V17" s="11">
        <v>0</v>
      </c>
      <c r="W17" s="11">
        <v>0</v>
      </c>
      <c r="X17" s="11">
        <v>0</v>
      </c>
      <c r="Y17" s="11">
        <v>0</v>
      </c>
    </row>
    <row r="18" spans="1:25" x14ac:dyDescent="0.25">
      <c r="A18" s="20" t="s">
        <v>1093</v>
      </c>
      <c r="B18" s="20" t="s">
        <v>723</v>
      </c>
      <c r="C18" s="20" t="s">
        <v>709</v>
      </c>
      <c r="D18" s="20" t="s">
        <v>215</v>
      </c>
      <c r="E18" s="13">
        <v>0</v>
      </c>
      <c r="F18" s="11">
        <v>0</v>
      </c>
      <c r="G18" s="13">
        <v>0</v>
      </c>
      <c r="H18" s="11">
        <v>0</v>
      </c>
      <c r="I18" s="13">
        <f>E18+G18</f>
        <v>0</v>
      </c>
      <c r="J18" s="11">
        <f>F18+H18</f>
        <v>0</v>
      </c>
      <c r="K18" s="13">
        <v>-3129</v>
      </c>
      <c r="L18" s="11">
        <v>0</v>
      </c>
      <c r="M18" s="11">
        <v>0</v>
      </c>
      <c r="N18" s="13">
        <v>0</v>
      </c>
      <c r="O18" s="11">
        <v>0</v>
      </c>
      <c r="P18" s="11">
        <v>0</v>
      </c>
      <c r="Q18" s="13">
        <f>K18+N18</f>
        <v>-3129</v>
      </c>
      <c r="R18" s="11">
        <f>L18+O18</f>
        <v>0</v>
      </c>
      <c r="S18" s="11">
        <f>M18+P18</f>
        <v>0</v>
      </c>
      <c r="T18" s="8">
        <f>I18-Q18</f>
        <v>3129</v>
      </c>
      <c r="U18" s="18" t="s">
        <v>1803</v>
      </c>
      <c r="V18" s="11">
        <v>0</v>
      </c>
      <c r="W18" s="11">
        <v>0</v>
      </c>
      <c r="X18" s="11">
        <v>0</v>
      </c>
      <c r="Y18" s="11">
        <v>0</v>
      </c>
    </row>
    <row r="19" spans="1:25" x14ac:dyDescent="0.25">
      <c r="A19" s="20" t="s">
        <v>706</v>
      </c>
      <c r="B19" s="20" t="s">
        <v>60</v>
      </c>
      <c r="C19" s="20" t="s">
        <v>707</v>
      </c>
      <c r="D19" s="20" t="s">
        <v>216</v>
      </c>
      <c r="E19" s="13">
        <v>11707</v>
      </c>
      <c r="F19" s="11">
        <v>0</v>
      </c>
      <c r="G19" s="13">
        <v>12986</v>
      </c>
      <c r="H19" s="11">
        <v>0</v>
      </c>
      <c r="I19" s="13">
        <f>E19+G19</f>
        <v>24693</v>
      </c>
      <c r="J19" s="11">
        <f>F19+H19</f>
        <v>0</v>
      </c>
      <c r="K19" s="13">
        <v>13103</v>
      </c>
      <c r="L19" s="11">
        <v>0</v>
      </c>
      <c r="M19" s="11">
        <v>4</v>
      </c>
      <c r="N19" s="13">
        <v>7371.64</v>
      </c>
      <c r="O19" s="11">
        <v>1</v>
      </c>
      <c r="P19" s="11">
        <v>8</v>
      </c>
      <c r="Q19" s="13">
        <f>K19+N19</f>
        <v>20474.64</v>
      </c>
      <c r="R19" s="11">
        <f>L19+O19</f>
        <v>1</v>
      </c>
      <c r="S19" s="11">
        <f>M19+P19</f>
        <v>12</v>
      </c>
      <c r="T19" s="8">
        <f>I19-Q19</f>
        <v>4218.3600000000006</v>
      </c>
      <c r="U19" s="18">
        <v>0.18981957959428153</v>
      </c>
      <c r="V19" s="11">
        <v>0.37</v>
      </c>
      <c r="W19" s="11">
        <v>13</v>
      </c>
      <c r="X19" s="11">
        <v>22</v>
      </c>
      <c r="Y19" s="11">
        <v>1</v>
      </c>
    </row>
    <row r="20" spans="1:25" x14ac:dyDescent="0.25">
      <c r="A20" s="20" t="s">
        <v>712</v>
      </c>
      <c r="B20" s="20" t="s">
        <v>91</v>
      </c>
      <c r="C20" s="20" t="s">
        <v>713</v>
      </c>
      <c r="D20" s="20" t="s">
        <v>216</v>
      </c>
      <c r="E20" s="13">
        <v>0</v>
      </c>
      <c r="F20" s="11">
        <v>0</v>
      </c>
      <c r="G20" s="13">
        <v>32305</v>
      </c>
      <c r="H20" s="11">
        <v>0</v>
      </c>
      <c r="I20" s="13">
        <f>E20+G20</f>
        <v>32305</v>
      </c>
      <c r="J20" s="11">
        <f>F20+H20</f>
        <v>0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0</v>
      </c>
      <c r="Q20" s="13">
        <f>K20+N20</f>
        <v>0</v>
      </c>
      <c r="R20" s="11">
        <f>L20+O20</f>
        <v>0</v>
      </c>
      <c r="S20" s="11">
        <f>M20+P20</f>
        <v>0</v>
      </c>
      <c r="T20" s="8">
        <f>I20-Q20</f>
        <v>32305</v>
      </c>
      <c r="U20" s="18">
        <v>0.25062237939518406</v>
      </c>
      <c r="V20" s="11">
        <v>0</v>
      </c>
      <c r="W20" s="11">
        <v>0</v>
      </c>
      <c r="X20" s="11">
        <v>0</v>
      </c>
      <c r="Y20" s="11">
        <v>0</v>
      </c>
    </row>
    <row r="21" spans="1:25" x14ac:dyDescent="0.25">
      <c r="A21" s="20" t="s">
        <v>714</v>
      </c>
      <c r="B21" s="20" t="s">
        <v>3096</v>
      </c>
      <c r="C21" s="20" t="s">
        <v>715</v>
      </c>
      <c r="D21" s="20" t="s">
        <v>216</v>
      </c>
      <c r="E21" s="13">
        <v>0</v>
      </c>
      <c r="F21" s="11">
        <v>0</v>
      </c>
      <c r="G21" s="13">
        <v>0</v>
      </c>
      <c r="H21" s="11">
        <v>0</v>
      </c>
      <c r="I21" s="13">
        <f>E21+G21</f>
        <v>0</v>
      </c>
      <c r="J21" s="11">
        <f>F21+H21</f>
        <v>0</v>
      </c>
      <c r="K21" s="13">
        <v>0</v>
      </c>
      <c r="L21" s="11">
        <v>0</v>
      </c>
      <c r="M21" s="11">
        <v>0</v>
      </c>
      <c r="N21" s="13">
        <v>0</v>
      </c>
      <c r="O21" s="11">
        <v>0</v>
      </c>
      <c r="P21" s="11">
        <v>0</v>
      </c>
      <c r="Q21" s="13">
        <f>K21+N21</f>
        <v>0</v>
      </c>
      <c r="R21" s="11">
        <f>L21+O21</f>
        <v>0</v>
      </c>
      <c r="S21" s="11">
        <f>M21+P21</f>
        <v>0</v>
      </c>
      <c r="T21" s="8">
        <f>I21-Q21</f>
        <v>0</v>
      </c>
      <c r="U21" s="18">
        <v>-0.15661425727071243</v>
      </c>
      <c r="V21" s="11">
        <v>0</v>
      </c>
      <c r="W21" s="11">
        <v>0</v>
      </c>
      <c r="X21" s="11">
        <v>0</v>
      </c>
      <c r="Y21" s="11">
        <v>0</v>
      </c>
    </row>
    <row r="22" spans="1:25" x14ac:dyDescent="0.25">
      <c r="A22" s="20" t="s">
        <v>716</v>
      </c>
      <c r="B22" s="20" t="s">
        <v>91</v>
      </c>
      <c r="C22" s="20" t="s">
        <v>717</v>
      </c>
      <c r="D22" s="20" t="s">
        <v>216</v>
      </c>
      <c r="E22" s="13">
        <v>53288</v>
      </c>
      <c r="F22" s="11">
        <v>0</v>
      </c>
      <c r="G22" s="13">
        <v>0</v>
      </c>
      <c r="H22" s="11">
        <v>0</v>
      </c>
      <c r="I22" s="13">
        <f>E22+G22</f>
        <v>53288</v>
      </c>
      <c r="J22" s="11">
        <f>F22+H22</f>
        <v>0</v>
      </c>
      <c r="K22" s="13">
        <v>52982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52982</v>
      </c>
      <c r="R22" s="11">
        <f>L22+O22</f>
        <v>0</v>
      </c>
      <c r="S22" s="11">
        <f>M22+P22</f>
        <v>0</v>
      </c>
      <c r="T22" s="8">
        <f>I22-Q22</f>
        <v>306</v>
      </c>
      <c r="U22" s="18">
        <v>3.2133215311045696E-2</v>
      </c>
      <c r="V22" s="11">
        <v>0</v>
      </c>
      <c r="W22" s="11">
        <v>0</v>
      </c>
      <c r="X22" s="11">
        <v>0</v>
      </c>
      <c r="Y22" s="11">
        <v>0</v>
      </c>
    </row>
    <row r="23" spans="1:25" x14ac:dyDescent="0.25">
      <c r="A23" s="20" t="s">
        <v>718</v>
      </c>
      <c r="B23" s="20" t="s">
        <v>3096</v>
      </c>
      <c r="C23" s="20" t="s">
        <v>719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4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4</v>
      </c>
      <c r="T23" s="8">
        <f>I23-Q23</f>
        <v>0</v>
      </c>
      <c r="U23" s="18">
        <v>6.8198193879367597E-2</v>
      </c>
      <c r="V23" s="11">
        <v>0.33</v>
      </c>
      <c r="W23" s="11">
        <v>4</v>
      </c>
      <c r="X23" s="11">
        <v>8</v>
      </c>
      <c r="Y23" s="11">
        <v>6</v>
      </c>
    </row>
    <row r="24" spans="1:25" x14ac:dyDescent="0.25">
      <c r="A24" s="20" t="s">
        <v>723</v>
      </c>
      <c r="B24" s="20" t="s">
        <v>723</v>
      </c>
      <c r="C24" s="20" t="s">
        <v>709</v>
      </c>
      <c r="D24" s="20" t="s">
        <v>216</v>
      </c>
      <c r="E24" s="13">
        <v>23761.01</v>
      </c>
      <c r="F24" s="11">
        <v>0</v>
      </c>
      <c r="G24" s="13">
        <v>83675.490000000005</v>
      </c>
      <c r="H24" s="11">
        <v>0</v>
      </c>
      <c r="I24" s="13">
        <f>E24+G24</f>
        <v>107436.5</v>
      </c>
      <c r="J24" s="11">
        <f>F24+H24</f>
        <v>0</v>
      </c>
      <c r="K24" s="13">
        <v>24813.65</v>
      </c>
      <c r="L24" s="11">
        <v>2</v>
      </c>
      <c r="M24" s="11">
        <v>7</v>
      </c>
      <c r="N24" s="13">
        <v>132367.03</v>
      </c>
      <c r="O24" s="11">
        <v>1</v>
      </c>
      <c r="P24" s="11">
        <v>4</v>
      </c>
      <c r="Q24" s="13">
        <f>K24+N24</f>
        <v>157180.68</v>
      </c>
      <c r="R24" s="11">
        <f>L24+O24</f>
        <v>3</v>
      </c>
      <c r="S24" s="11">
        <f>M24+P24</f>
        <v>11</v>
      </c>
      <c r="T24" s="8">
        <f>I24-Q24</f>
        <v>-49744.179999999993</v>
      </c>
      <c r="U24" s="18">
        <v>2.1728580393787853</v>
      </c>
      <c r="V24" s="11">
        <v>0.31</v>
      </c>
      <c r="W24" s="11">
        <v>8</v>
      </c>
      <c r="X24" s="11">
        <v>18</v>
      </c>
      <c r="Y24" s="11">
        <v>6</v>
      </c>
    </row>
    <row r="25" spans="1:25" x14ac:dyDescent="0.25">
      <c r="A25" s="20" t="s">
        <v>725</v>
      </c>
      <c r="B25" s="20" t="s">
        <v>91</v>
      </c>
      <c r="C25" s="20" t="s">
        <v>726</v>
      </c>
      <c r="D25" s="20" t="s">
        <v>216</v>
      </c>
      <c r="E25" s="13">
        <v>0</v>
      </c>
      <c r="F25" s="11">
        <v>0</v>
      </c>
      <c r="G25" s="13">
        <v>0</v>
      </c>
      <c r="H25" s="11">
        <v>0</v>
      </c>
      <c r="I25" s="13">
        <f>E25+G25</f>
        <v>0</v>
      </c>
      <c r="J25" s="11">
        <f>F25+H25</f>
        <v>0</v>
      </c>
      <c r="K25" s="13">
        <v>0</v>
      </c>
      <c r="L25" s="11">
        <v>0</v>
      </c>
      <c r="M25" s="11">
        <v>1</v>
      </c>
      <c r="N25" s="13">
        <v>0</v>
      </c>
      <c r="O25" s="11">
        <v>0</v>
      </c>
      <c r="P25" s="11">
        <v>0</v>
      </c>
      <c r="Q25" s="13">
        <f>K25+N25</f>
        <v>0</v>
      </c>
      <c r="R25" s="11">
        <f>L25+O25</f>
        <v>0</v>
      </c>
      <c r="S25" s="11">
        <f>M25+P25</f>
        <v>1</v>
      </c>
      <c r="T25" s="8">
        <f>I25-Q25</f>
        <v>0</v>
      </c>
      <c r="U25" s="18">
        <v>0.28695029646487197</v>
      </c>
      <c r="V25" s="11">
        <v>0</v>
      </c>
      <c r="W25" s="11">
        <v>1</v>
      </c>
      <c r="Y25" s="11">
        <v>0</v>
      </c>
    </row>
    <row r="26" spans="1:25" x14ac:dyDescent="0.25">
      <c r="A26" s="20" t="s">
        <v>728</v>
      </c>
      <c r="B26" s="20" t="s">
        <v>124</v>
      </c>
      <c r="C26" s="20" t="s">
        <v>729</v>
      </c>
      <c r="D26" s="20" t="s">
        <v>216</v>
      </c>
      <c r="E26" s="13">
        <v>20601.96</v>
      </c>
      <c r="F26" s="11">
        <v>0</v>
      </c>
      <c r="G26" s="13">
        <v>175457</v>
      </c>
      <c r="H26" s="11">
        <v>0</v>
      </c>
      <c r="I26" s="13">
        <f>E26+G26</f>
        <v>196058.96</v>
      </c>
      <c r="J26" s="11">
        <f>F26+H26</f>
        <v>0</v>
      </c>
      <c r="K26" s="13">
        <v>19849.98</v>
      </c>
      <c r="L26" s="11">
        <v>0</v>
      </c>
      <c r="M26" s="11">
        <v>1</v>
      </c>
      <c r="N26" s="13">
        <v>165596</v>
      </c>
      <c r="O26" s="11">
        <v>0</v>
      </c>
      <c r="P26" s="11">
        <v>1</v>
      </c>
      <c r="Q26" s="13">
        <f>K26+N26</f>
        <v>185445.98</v>
      </c>
      <c r="R26" s="11">
        <f>L26+O26</f>
        <v>0</v>
      </c>
      <c r="S26" s="11">
        <f>M26+P26</f>
        <v>2</v>
      </c>
      <c r="T26" s="8">
        <f>I26-Q26</f>
        <v>10612.979999999981</v>
      </c>
      <c r="U26" s="18">
        <v>0.21694853849094362</v>
      </c>
      <c r="V26" s="11">
        <v>0.33</v>
      </c>
      <c r="W26" s="11">
        <v>2</v>
      </c>
      <c r="X26" s="11">
        <v>4</v>
      </c>
      <c r="Y26" s="11">
        <v>3</v>
      </c>
    </row>
    <row r="27" spans="1:25" x14ac:dyDescent="0.25">
      <c r="A27" s="20" t="s">
        <v>732</v>
      </c>
      <c r="B27" s="20" t="s">
        <v>91</v>
      </c>
      <c r="C27" s="20" t="s">
        <v>733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 t="s">
        <v>1803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737</v>
      </c>
      <c r="B28" s="20" t="s">
        <v>83</v>
      </c>
      <c r="C28" s="20" t="s">
        <v>700</v>
      </c>
      <c r="D28" s="20" t="s">
        <v>216</v>
      </c>
      <c r="E28" s="13">
        <v>23863.119999999999</v>
      </c>
      <c r="F28" s="11">
        <v>0</v>
      </c>
      <c r="G28" s="13">
        <v>146669.29</v>
      </c>
      <c r="H28" s="11">
        <v>1</v>
      </c>
      <c r="I28" s="13">
        <f>E28+G28</f>
        <v>170532.41</v>
      </c>
      <c r="J28" s="11">
        <f>F28+H28</f>
        <v>1</v>
      </c>
      <c r="K28" s="13">
        <v>57954.59</v>
      </c>
      <c r="L28" s="11">
        <v>1</v>
      </c>
      <c r="M28" s="11">
        <v>6</v>
      </c>
      <c r="N28" s="13">
        <v>139885.1</v>
      </c>
      <c r="O28" s="11">
        <v>0</v>
      </c>
      <c r="P28" s="11">
        <v>3</v>
      </c>
      <c r="Q28" s="13">
        <f>K28+N28</f>
        <v>197839.69</v>
      </c>
      <c r="R28" s="11">
        <f>L28+O28</f>
        <v>1</v>
      </c>
      <c r="S28" s="11">
        <f>M28+P28</f>
        <v>9</v>
      </c>
      <c r="T28" s="8">
        <f>I28-Q28</f>
        <v>-27307.279999999999</v>
      </c>
      <c r="U28" s="18">
        <v>0.52841944112821115</v>
      </c>
      <c r="V28" s="11">
        <v>0.25</v>
      </c>
      <c r="W28" s="11">
        <v>9</v>
      </c>
      <c r="X28" s="11">
        <v>27</v>
      </c>
      <c r="Y28" s="11">
        <v>11</v>
      </c>
    </row>
    <row r="29" spans="1:25" x14ac:dyDescent="0.25">
      <c r="A29" s="20" t="s">
        <v>739</v>
      </c>
      <c r="B29" s="20" t="s">
        <v>60</v>
      </c>
      <c r="C29" s="20" t="s">
        <v>740</v>
      </c>
      <c r="D29" s="20" t="s">
        <v>216</v>
      </c>
      <c r="E29" s="13">
        <v>0</v>
      </c>
      <c r="F29" s="11">
        <v>0</v>
      </c>
      <c r="G29" s="13">
        <v>18673.5</v>
      </c>
      <c r="H29" s="11">
        <v>0</v>
      </c>
      <c r="I29" s="13">
        <f>E29+G29</f>
        <v>18673.5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17261</v>
      </c>
      <c r="O29" s="11">
        <v>0</v>
      </c>
      <c r="P29" s="11">
        <v>0</v>
      </c>
      <c r="Q29" s="13">
        <f>K29+N29</f>
        <v>17261</v>
      </c>
      <c r="R29" s="11">
        <f>L29+O29</f>
        <v>0</v>
      </c>
      <c r="S29" s="11">
        <f>M29+P29</f>
        <v>0</v>
      </c>
      <c r="T29" s="8">
        <f>I29-Q29</f>
        <v>1412.5</v>
      </c>
      <c r="U29" s="18">
        <v>5.350830665242709E-2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741</v>
      </c>
      <c r="B30" s="20" t="s">
        <v>60</v>
      </c>
      <c r="C30" s="20" t="s">
        <v>742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>
        <v>4.287658581043869E-2</v>
      </c>
      <c r="V30" s="11">
        <v>0</v>
      </c>
      <c r="W30" s="11">
        <v>0</v>
      </c>
      <c r="X30" s="11">
        <v>2</v>
      </c>
      <c r="Y30" s="11">
        <v>2</v>
      </c>
    </row>
    <row r="31" spans="1:25" x14ac:dyDescent="0.25">
      <c r="A31" s="20" t="s">
        <v>743</v>
      </c>
      <c r="B31" s="20" t="s">
        <v>91</v>
      </c>
      <c r="C31" s="20" t="s">
        <v>722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>
        <v>4.0343164700224352E-2</v>
      </c>
      <c r="V31" s="11">
        <v>0</v>
      </c>
      <c r="W31" s="11">
        <v>0</v>
      </c>
      <c r="X31" s="11">
        <v>1</v>
      </c>
      <c r="Y31" s="11">
        <v>0</v>
      </c>
    </row>
    <row r="32" spans="1:25" x14ac:dyDescent="0.25">
      <c r="A32" s="20" t="s">
        <v>744</v>
      </c>
      <c r="B32" s="20" t="s">
        <v>60</v>
      </c>
      <c r="C32" s="20" t="s">
        <v>3640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-0.31857879538614881</v>
      </c>
      <c r="V32" s="11">
        <v>0</v>
      </c>
      <c r="W32" s="11">
        <v>0</v>
      </c>
      <c r="X32" s="11">
        <v>1</v>
      </c>
      <c r="Y32" s="11">
        <v>0</v>
      </c>
    </row>
    <row r="33" spans="1:25" x14ac:dyDescent="0.25">
      <c r="A33" s="20" t="s">
        <v>745</v>
      </c>
      <c r="B33" s="20" t="s">
        <v>77</v>
      </c>
      <c r="C33" s="20" t="s">
        <v>680</v>
      </c>
      <c r="D33" s="20" t="s">
        <v>216</v>
      </c>
      <c r="E33" s="13">
        <v>23065.02</v>
      </c>
      <c r="F33" s="11">
        <v>0</v>
      </c>
      <c r="G33" s="13">
        <v>0</v>
      </c>
      <c r="H33" s="11">
        <v>0</v>
      </c>
      <c r="I33" s="13">
        <f>E33+G33</f>
        <v>23065.02</v>
      </c>
      <c r="J33" s="11">
        <f>F33+H33</f>
        <v>0</v>
      </c>
      <c r="K33" s="13">
        <v>3413</v>
      </c>
      <c r="L33" s="11">
        <v>0</v>
      </c>
      <c r="M33" s="11">
        <v>4</v>
      </c>
      <c r="N33" s="13">
        <v>0</v>
      </c>
      <c r="O33" s="11">
        <v>0</v>
      </c>
      <c r="P33" s="11">
        <v>2</v>
      </c>
      <c r="Q33" s="13">
        <f>K33+N33</f>
        <v>3413</v>
      </c>
      <c r="R33" s="11">
        <f>L33+O33</f>
        <v>0</v>
      </c>
      <c r="S33" s="11">
        <f>M33+P33</f>
        <v>6</v>
      </c>
      <c r="T33" s="8">
        <f>I33-Q33</f>
        <v>19652.02</v>
      </c>
      <c r="U33" s="18">
        <v>0.53437920833335761</v>
      </c>
      <c r="V33" s="11">
        <v>0.4</v>
      </c>
      <c r="W33" s="11">
        <v>6</v>
      </c>
      <c r="X33" s="11">
        <v>9</v>
      </c>
      <c r="Y33" s="11">
        <v>0</v>
      </c>
    </row>
    <row r="34" spans="1:25" x14ac:dyDescent="0.25">
      <c r="A34" s="20" t="s">
        <v>749</v>
      </c>
      <c r="B34" s="20" t="s">
        <v>83</v>
      </c>
      <c r="C34" s="20" t="s">
        <v>711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0</v>
      </c>
      <c r="R34" s="11">
        <f>L34+O34</f>
        <v>0</v>
      </c>
      <c r="S34" s="11">
        <f>M34+P34</f>
        <v>0</v>
      </c>
      <c r="T34" s="8">
        <f>I34-Q34</f>
        <v>0</v>
      </c>
      <c r="U34" s="18">
        <v>-0.13784109666015007</v>
      </c>
      <c r="V34" s="11">
        <v>0</v>
      </c>
      <c r="W34" s="11">
        <v>0</v>
      </c>
      <c r="X34" s="11">
        <v>0</v>
      </c>
      <c r="Y34" s="11">
        <v>0</v>
      </c>
    </row>
    <row r="35" spans="1:25" x14ac:dyDescent="0.25">
      <c r="A35" s="20" t="s">
        <v>730</v>
      </c>
      <c r="B35" s="20" t="s">
        <v>730</v>
      </c>
      <c r="C35" s="20" t="s">
        <v>731</v>
      </c>
      <c r="D35" s="20" t="s">
        <v>216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0</v>
      </c>
      <c r="O35" s="11">
        <v>0</v>
      </c>
      <c r="P35" s="11">
        <v>0</v>
      </c>
      <c r="Q35" s="13">
        <f>K35+N35</f>
        <v>0</v>
      </c>
      <c r="R35" s="11">
        <f>L35+O35</f>
        <v>0</v>
      </c>
      <c r="S35" s="11">
        <f>M35+P35</f>
        <v>0</v>
      </c>
      <c r="T35" s="8">
        <f>I35-Q35</f>
        <v>0</v>
      </c>
      <c r="U35" s="18" t="s">
        <v>1803</v>
      </c>
      <c r="V35" s="11">
        <v>0</v>
      </c>
      <c r="W35" s="11">
        <v>0</v>
      </c>
      <c r="X35" s="11">
        <v>0</v>
      </c>
      <c r="Y35" s="11">
        <v>0</v>
      </c>
    </row>
    <row r="36" spans="1:25" x14ac:dyDescent="0.25">
      <c r="A36" s="20" t="s">
        <v>755</v>
      </c>
      <c r="B36" s="20" t="s">
        <v>756</v>
      </c>
      <c r="C36" s="20" t="s">
        <v>757</v>
      </c>
      <c r="D36" s="20" t="s">
        <v>216</v>
      </c>
      <c r="E36" s="13">
        <v>15235</v>
      </c>
      <c r="F36" s="11">
        <v>0</v>
      </c>
      <c r="G36" s="13">
        <v>0</v>
      </c>
      <c r="H36" s="11">
        <v>0</v>
      </c>
      <c r="I36" s="13">
        <f>E36+G36</f>
        <v>15235</v>
      </c>
      <c r="J36" s="11">
        <f>F36+H36</f>
        <v>0</v>
      </c>
      <c r="K36" s="13">
        <v>5583.38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5583.38</v>
      </c>
      <c r="R36" s="11">
        <f>L36+O36</f>
        <v>0</v>
      </c>
      <c r="S36" s="11">
        <f>M36+P36</f>
        <v>0</v>
      </c>
      <c r="T36" s="8">
        <f>I36-Q36</f>
        <v>9651.619999999999</v>
      </c>
      <c r="U36" s="18">
        <v>8.5782430268673493E-2</v>
      </c>
      <c r="V36" s="11">
        <v>0</v>
      </c>
      <c r="W36" s="11">
        <v>0</v>
      </c>
      <c r="X36" s="11">
        <v>1</v>
      </c>
      <c r="Y36" s="11">
        <v>1</v>
      </c>
    </row>
    <row r="37" spans="1:25" x14ac:dyDescent="0.25">
      <c r="A37" s="20" t="s">
        <v>759</v>
      </c>
      <c r="B37" s="20" t="s">
        <v>172</v>
      </c>
      <c r="C37" s="20" t="s">
        <v>760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0</v>
      </c>
      <c r="R37" s="11">
        <f>L37+O37</f>
        <v>0</v>
      </c>
      <c r="S37" s="11">
        <f>M37+P37</f>
        <v>0</v>
      </c>
      <c r="T37" s="8">
        <f>I37-Q37</f>
        <v>0</v>
      </c>
      <c r="U37" s="18">
        <v>0.64995672160885853</v>
      </c>
      <c r="V37" s="11">
        <v>0</v>
      </c>
      <c r="W37" s="11">
        <v>0</v>
      </c>
      <c r="X37" s="11">
        <v>2</v>
      </c>
      <c r="Y37" s="11">
        <v>0</v>
      </c>
    </row>
    <row r="38" spans="1:25" x14ac:dyDescent="0.25">
      <c r="A38" s="20" t="s">
        <v>764</v>
      </c>
      <c r="B38" s="20" t="s">
        <v>3096</v>
      </c>
      <c r="C38" s="20" t="s">
        <v>765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0</v>
      </c>
      <c r="R38" s="11">
        <f>L38+O38</f>
        <v>0</v>
      </c>
      <c r="S38" s="11">
        <f>M38+P38</f>
        <v>0</v>
      </c>
      <c r="T38" s="8">
        <f>I38-Q38</f>
        <v>0</v>
      </c>
      <c r="U38" s="18">
        <v>1.4782558102147088</v>
      </c>
      <c r="V38" s="11">
        <v>0</v>
      </c>
      <c r="W38" s="11">
        <v>0</v>
      </c>
      <c r="X38" s="11">
        <v>0</v>
      </c>
      <c r="Y38" s="11">
        <v>0</v>
      </c>
    </row>
    <row r="39" spans="1:25" x14ac:dyDescent="0.25">
      <c r="A39" s="20" t="s">
        <v>766</v>
      </c>
      <c r="B39" s="20" t="s">
        <v>60</v>
      </c>
      <c r="C39" s="20" t="s">
        <v>767</v>
      </c>
      <c r="D39" s="20" t="s">
        <v>216</v>
      </c>
      <c r="E39" s="13">
        <v>14220</v>
      </c>
      <c r="F39" s="11">
        <v>0</v>
      </c>
      <c r="G39" s="13">
        <v>0</v>
      </c>
      <c r="H39" s="11">
        <v>0</v>
      </c>
      <c r="I39" s="13">
        <f>E39+G39</f>
        <v>14220</v>
      </c>
      <c r="J39" s="11">
        <f>F39+H39</f>
        <v>0</v>
      </c>
      <c r="K39" s="13">
        <v>14851</v>
      </c>
      <c r="L39" s="11">
        <v>0</v>
      </c>
      <c r="M39" s="11">
        <v>0</v>
      </c>
      <c r="N39" s="13">
        <v>0</v>
      </c>
      <c r="O39" s="11">
        <v>0</v>
      </c>
      <c r="P39" s="11">
        <v>0</v>
      </c>
      <c r="Q39" s="13">
        <f>K39+N39</f>
        <v>14851</v>
      </c>
      <c r="R39" s="11">
        <f>L39+O39</f>
        <v>0</v>
      </c>
      <c r="S39" s="11">
        <f>M39+P39</f>
        <v>0</v>
      </c>
      <c r="T39" s="8">
        <f>I39-Q39</f>
        <v>-631</v>
      </c>
      <c r="U39" s="18">
        <v>9.0986679233293594E-2</v>
      </c>
      <c r="V39" s="11">
        <v>0</v>
      </c>
      <c r="W39" s="11">
        <v>0</v>
      </c>
      <c r="X39" s="11">
        <v>0</v>
      </c>
      <c r="Y39" s="11">
        <v>0</v>
      </c>
    </row>
    <row r="40" spans="1:25" x14ac:dyDescent="0.25">
      <c r="A40" s="20" t="s">
        <v>3158</v>
      </c>
      <c r="B40" s="20" t="s">
        <v>60</v>
      </c>
      <c r="C40" s="20" t="s">
        <v>3159</v>
      </c>
      <c r="D40" s="20" t="s">
        <v>216</v>
      </c>
      <c r="E40" s="13">
        <v>0</v>
      </c>
      <c r="F40" s="11">
        <v>0</v>
      </c>
      <c r="G40" s="13">
        <v>2944.16</v>
      </c>
      <c r="H40" s="11">
        <v>0</v>
      </c>
      <c r="I40" s="13">
        <f>E40+G40</f>
        <v>2944.16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0</v>
      </c>
      <c r="O40" s="11">
        <v>0</v>
      </c>
      <c r="P40" s="11">
        <v>0</v>
      </c>
      <c r="Q40" s="13">
        <f>K40+N40</f>
        <v>0</v>
      </c>
      <c r="R40" s="11">
        <f>L40+O40</f>
        <v>0</v>
      </c>
      <c r="S40" s="11">
        <f>M40+P40</f>
        <v>0</v>
      </c>
      <c r="T40" s="8">
        <f>I40-Q40</f>
        <v>2944.16</v>
      </c>
      <c r="U40" s="18">
        <v>2.0091754441759899E-2</v>
      </c>
      <c r="V40" s="11">
        <v>0</v>
      </c>
      <c r="W40" s="11">
        <v>0</v>
      </c>
      <c r="X40" s="11">
        <v>7</v>
      </c>
      <c r="Y40" s="11">
        <v>0</v>
      </c>
    </row>
    <row r="41" spans="1:25" x14ac:dyDescent="0.25">
      <c r="A41" s="20" t="s">
        <v>768</v>
      </c>
      <c r="B41" s="20" t="s">
        <v>60</v>
      </c>
      <c r="C41" s="20" t="s">
        <v>769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5404.15</v>
      </c>
      <c r="O41" s="11">
        <v>0</v>
      </c>
      <c r="P41" s="11">
        <v>0</v>
      </c>
      <c r="Q41" s="13">
        <f>K41+N41</f>
        <v>5404.15</v>
      </c>
      <c r="R41" s="11">
        <f>L41+O41</f>
        <v>0</v>
      </c>
      <c r="S41" s="11">
        <f>M41+P41</f>
        <v>0</v>
      </c>
      <c r="T41" s="8">
        <f>I41-Q41</f>
        <v>-5404.15</v>
      </c>
      <c r="U41" s="18">
        <v>4.0998905226785926E-2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734</v>
      </c>
      <c r="B42" s="20" t="s">
        <v>734</v>
      </c>
      <c r="C42" s="20" t="s">
        <v>735</v>
      </c>
      <c r="D42" s="20" t="s">
        <v>216</v>
      </c>
      <c r="E42" s="13">
        <v>8852</v>
      </c>
      <c r="F42" s="11">
        <v>0</v>
      </c>
      <c r="G42" s="13">
        <v>0</v>
      </c>
      <c r="H42" s="11">
        <v>0</v>
      </c>
      <c r="I42" s="13">
        <f>E42+G42</f>
        <v>8852</v>
      </c>
      <c r="J42" s="11">
        <f>F42+H42</f>
        <v>0</v>
      </c>
      <c r="K42" s="13">
        <v>7841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7841</v>
      </c>
      <c r="R42" s="11">
        <f>L42+O42</f>
        <v>0</v>
      </c>
      <c r="S42" s="11">
        <f>M42+P42</f>
        <v>0</v>
      </c>
      <c r="T42" s="8">
        <f>I42-Q42</f>
        <v>1011</v>
      </c>
      <c r="U42" s="18">
        <v>0.13967974158891541</v>
      </c>
      <c r="V42" s="11">
        <v>0</v>
      </c>
      <c r="W42" s="11">
        <v>0</v>
      </c>
      <c r="X42" s="11">
        <v>1</v>
      </c>
      <c r="Y42" s="11">
        <v>0</v>
      </c>
    </row>
    <row r="43" spans="1:25" x14ac:dyDescent="0.25">
      <c r="A43" s="20" t="s">
        <v>774</v>
      </c>
      <c r="B43" s="20" t="s">
        <v>91</v>
      </c>
      <c r="C43" s="20" t="s">
        <v>775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0</v>
      </c>
      <c r="L43" s="11">
        <v>0</v>
      </c>
      <c r="M43" s="11">
        <v>1</v>
      </c>
      <c r="N43" s="13">
        <v>0</v>
      </c>
      <c r="O43" s="11">
        <v>0</v>
      </c>
      <c r="P43" s="11">
        <v>1</v>
      </c>
      <c r="Q43" s="13">
        <f>K43+N43</f>
        <v>0</v>
      </c>
      <c r="R43" s="11">
        <f>L43+O43</f>
        <v>0</v>
      </c>
      <c r="S43" s="11">
        <f>M43+P43</f>
        <v>2</v>
      </c>
      <c r="T43" s="8">
        <f>I43-Q43</f>
        <v>0</v>
      </c>
      <c r="U43" s="18">
        <v>2.9089222573741507E-2</v>
      </c>
      <c r="V43" s="11">
        <v>0.4</v>
      </c>
      <c r="W43" s="11">
        <v>2</v>
      </c>
      <c r="X43" s="11">
        <v>3</v>
      </c>
      <c r="Y43" s="11">
        <v>1</v>
      </c>
    </row>
    <row r="44" spans="1:25" x14ac:dyDescent="0.25">
      <c r="A44" s="20" t="s">
        <v>777</v>
      </c>
      <c r="B44" s="20" t="s">
        <v>60</v>
      </c>
      <c r="C44" s="20" t="s">
        <v>779</v>
      </c>
      <c r="D44" s="20" t="s">
        <v>216</v>
      </c>
      <c r="E44" s="13">
        <v>6641</v>
      </c>
      <c r="F44" s="11">
        <v>0</v>
      </c>
      <c r="G44" s="13">
        <v>17106</v>
      </c>
      <c r="H44" s="11">
        <v>0</v>
      </c>
      <c r="I44" s="13">
        <f>E44+G44</f>
        <v>23747</v>
      </c>
      <c r="J44" s="11">
        <f>F44+H44</f>
        <v>0</v>
      </c>
      <c r="K44" s="13">
        <v>6740</v>
      </c>
      <c r="L44" s="11">
        <v>0</v>
      </c>
      <c r="M44" s="11">
        <v>1</v>
      </c>
      <c r="N44" s="13">
        <v>0</v>
      </c>
      <c r="O44" s="11">
        <v>0</v>
      </c>
      <c r="P44" s="11">
        <v>0</v>
      </c>
      <c r="Q44" s="13">
        <f>K44+N44</f>
        <v>6740</v>
      </c>
      <c r="R44" s="11">
        <f>L44+O44</f>
        <v>0</v>
      </c>
      <c r="S44" s="11">
        <f>M44+P44</f>
        <v>1</v>
      </c>
      <c r="T44" s="8">
        <f>I44-Q44</f>
        <v>17007</v>
      </c>
      <c r="U44" s="18">
        <v>-6.7699601952735129E-3</v>
      </c>
      <c r="V44" s="11">
        <v>0</v>
      </c>
      <c r="W44" s="11">
        <v>1</v>
      </c>
      <c r="Y44" s="11">
        <v>0</v>
      </c>
    </row>
    <row r="45" spans="1:25" x14ac:dyDescent="0.25">
      <c r="A45" s="20" t="s">
        <v>780</v>
      </c>
      <c r="B45" s="20" t="s">
        <v>3096</v>
      </c>
      <c r="C45" s="20" t="s">
        <v>781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0</v>
      </c>
      <c r="L45" s="11">
        <v>0</v>
      </c>
      <c r="M45" s="11">
        <v>0</v>
      </c>
      <c r="N45" s="13">
        <v>0</v>
      </c>
      <c r="O45" s="11">
        <v>0</v>
      </c>
      <c r="P45" s="11">
        <v>0</v>
      </c>
      <c r="Q45" s="13">
        <f>K45+N45</f>
        <v>0</v>
      </c>
      <c r="R45" s="11">
        <f>L45+O45</f>
        <v>0</v>
      </c>
      <c r="S45" s="11">
        <f>M45+P45</f>
        <v>0</v>
      </c>
      <c r="T45" s="8">
        <f>I45-Q45</f>
        <v>0</v>
      </c>
      <c r="U45" s="18">
        <v>0.16042446639515687</v>
      </c>
      <c r="V45" s="11">
        <v>0</v>
      </c>
      <c r="W45" s="11">
        <v>0</v>
      </c>
      <c r="X45" s="11">
        <v>1</v>
      </c>
      <c r="Y45" s="11">
        <v>1</v>
      </c>
    </row>
    <row r="46" spans="1:25" x14ac:dyDescent="0.25">
      <c r="A46" s="20" t="s">
        <v>782</v>
      </c>
      <c r="B46" s="20" t="s">
        <v>124</v>
      </c>
      <c r="C46" s="20" t="s">
        <v>783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 t="s">
        <v>1803</v>
      </c>
      <c r="V46" s="11">
        <v>0</v>
      </c>
      <c r="W46" s="11">
        <v>0</v>
      </c>
      <c r="X46" s="11">
        <v>0</v>
      </c>
      <c r="Y46" s="11">
        <v>0</v>
      </c>
    </row>
    <row r="47" spans="1:25" x14ac:dyDescent="0.25">
      <c r="A47" s="20" t="s">
        <v>785</v>
      </c>
      <c r="B47" s="20" t="s">
        <v>3096</v>
      </c>
      <c r="C47" s="20" t="s">
        <v>786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>
        <v>0.10983101477706354</v>
      </c>
      <c r="V47" s="11">
        <v>0</v>
      </c>
      <c r="W47" s="11">
        <v>0</v>
      </c>
      <c r="X47" s="11">
        <v>2</v>
      </c>
      <c r="Y47" s="11">
        <v>0</v>
      </c>
    </row>
    <row r="48" spans="1:25" x14ac:dyDescent="0.25">
      <c r="A48" s="20" t="s">
        <v>787</v>
      </c>
      <c r="B48" s="20" t="s">
        <v>3096</v>
      </c>
      <c r="C48" s="20" t="s">
        <v>788</v>
      </c>
      <c r="D48" s="20" t="s">
        <v>216</v>
      </c>
      <c r="E48" s="13">
        <v>0</v>
      </c>
      <c r="F48" s="11">
        <v>0</v>
      </c>
      <c r="G48" s="13">
        <v>0</v>
      </c>
      <c r="H48" s="11">
        <v>0</v>
      </c>
      <c r="I48" s="13">
        <f>E48+G48</f>
        <v>0</v>
      </c>
      <c r="J48" s="11">
        <f>F48+H48</f>
        <v>0</v>
      </c>
      <c r="K48" s="13">
        <v>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0</v>
      </c>
      <c r="R48" s="11">
        <f>L48+O48</f>
        <v>0</v>
      </c>
      <c r="S48" s="11">
        <f>M48+P48</f>
        <v>0</v>
      </c>
      <c r="T48" s="8">
        <f>I48-Q48</f>
        <v>0</v>
      </c>
      <c r="U48" s="18">
        <v>5.7444283923327309E-2</v>
      </c>
      <c r="V48" s="11">
        <v>0</v>
      </c>
      <c r="W48" s="11">
        <v>0</v>
      </c>
      <c r="X48" s="11">
        <v>1</v>
      </c>
      <c r="Y48" s="11">
        <v>0</v>
      </c>
    </row>
    <row r="49" spans="1:25" x14ac:dyDescent="0.25">
      <c r="A49" s="20" t="s">
        <v>789</v>
      </c>
      <c r="B49" s="20" t="s">
        <v>3096</v>
      </c>
      <c r="C49" s="20" t="s">
        <v>790</v>
      </c>
      <c r="D49" s="20" t="s">
        <v>216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8218</v>
      </c>
      <c r="O49" s="11">
        <v>0</v>
      </c>
      <c r="P49" s="11">
        <v>0</v>
      </c>
      <c r="Q49" s="13">
        <f>K49+N49</f>
        <v>8218</v>
      </c>
      <c r="R49" s="11">
        <f>L49+O49</f>
        <v>0</v>
      </c>
      <c r="S49" s="11">
        <f>M49+P49</f>
        <v>0</v>
      </c>
      <c r="T49" s="8">
        <f>I49-Q49</f>
        <v>-8218</v>
      </c>
      <c r="U49" s="18">
        <v>4.9815285173200163E-2</v>
      </c>
      <c r="V49" s="11">
        <v>0</v>
      </c>
      <c r="W49" s="11">
        <v>0</v>
      </c>
      <c r="X49" s="11">
        <v>4</v>
      </c>
      <c r="Y49" s="11">
        <v>0</v>
      </c>
    </row>
    <row r="50" spans="1:25" x14ac:dyDescent="0.25">
      <c r="A50" s="20" t="s">
        <v>791</v>
      </c>
      <c r="B50" s="20" t="s">
        <v>3096</v>
      </c>
      <c r="C50" s="20" t="s">
        <v>792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 t="s">
        <v>1803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794</v>
      </c>
      <c r="B51" s="20" t="s">
        <v>1377</v>
      </c>
      <c r="C51" s="20" t="s">
        <v>795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0</v>
      </c>
      <c r="T51" s="8">
        <f>I51-Q51</f>
        <v>0</v>
      </c>
      <c r="U51" s="18">
        <v>-0.99325859838600483</v>
      </c>
      <c r="V51" s="11">
        <v>0</v>
      </c>
      <c r="W51" s="11">
        <v>0</v>
      </c>
      <c r="X51" s="11">
        <v>0</v>
      </c>
      <c r="Y51" s="11">
        <v>0</v>
      </c>
    </row>
    <row r="52" spans="1:25" x14ac:dyDescent="0.25">
      <c r="A52" s="20" t="s">
        <v>751</v>
      </c>
      <c r="B52" s="20" t="s">
        <v>751</v>
      </c>
      <c r="C52" s="20" t="s">
        <v>752</v>
      </c>
      <c r="D52" s="20" t="s">
        <v>216</v>
      </c>
      <c r="E52" s="13">
        <v>0</v>
      </c>
      <c r="F52" s="11">
        <v>0</v>
      </c>
      <c r="G52" s="13">
        <v>0</v>
      </c>
      <c r="H52" s="11">
        <v>0</v>
      </c>
      <c r="I52" s="13">
        <f>E52+G52</f>
        <v>0</v>
      </c>
      <c r="J52" s="11">
        <f>F52+H52</f>
        <v>0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2</v>
      </c>
      <c r="Q52" s="13">
        <f>K52+N52</f>
        <v>0</v>
      </c>
      <c r="R52" s="11">
        <f>L52+O52</f>
        <v>0</v>
      </c>
      <c r="S52" s="11">
        <f>M52+P52</f>
        <v>2</v>
      </c>
      <c r="T52" s="8">
        <f>I52-Q52</f>
        <v>0</v>
      </c>
      <c r="U52" s="18">
        <v>0.12294736909100745</v>
      </c>
      <c r="V52" s="11">
        <v>0.28999999999999998</v>
      </c>
      <c r="W52" s="11">
        <v>2</v>
      </c>
      <c r="X52" s="11">
        <v>5</v>
      </c>
      <c r="Y52" s="11">
        <v>0</v>
      </c>
    </row>
    <row r="53" spans="1:25" x14ac:dyDescent="0.25">
      <c r="A53" s="20" t="s">
        <v>796</v>
      </c>
      <c r="B53" s="20" t="s">
        <v>97</v>
      </c>
      <c r="C53" s="20" t="s">
        <v>3581</v>
      </c>
      <c r="D53" s="20" t="s">
        <v>215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30102</v>
      </c>
      <c r="L53" s="11">
        <v>0</v>
      </c>
      <c r="M53" s="11">
        <v>0</v>
      </c>
      <c r="N53" s="13">
        <v>8287.02</v>
      </c>
      <c r="O53" s="11">
        <v>1</v>
      </c>
      <c r="P53" s="11">
        <v>1</v>
      </c>
      <c r="Q53" s="13">
        <f>K53+N53</f>
        <v>38389.020000000004</v>
      </c>
      <c r="R53" s="11">
        <f>L53+O53</f>
        <v>1</v>
      </c>
      <c r="S53" s="11">
        <f>M53+P53</f>
        <v>1</v>
      </c>
      <c r="T53" s="8">
        <f>I53-Q53</f>
        <v>-38389.020000000004</v>
      </c>
      <c r="U53" s="18" t="s">
        <v>1803</v>
      </c>
      <c r="V53" s="11">
        <v>0.18</v>
      </c>
      <c r="W53" s="11">
        <v>2</v>
      </c>
      <c r="X53" s="11">
        <v>9</v>
      </c>
      <c r="Y53" s="11">
        <v>2</v>
      </c>
    </row>
    <row r="54" spans="1:25" x14ac:dyDescent="0.25">
      <c r="A54" s="20" t="s">
        <v>799</v>
      </c>
      <c r="B54" s="20" t="s">
        <v>459</v>
      </c>
      <c r="C54" s="20" t="s">
        <v>800</v>
      </c>
      <c r="D54" s="20" t="s">
        <v>216</v>
      </c>
      <c r="E54" s="13">
        <v>0</v>
      </c>
      <c r="F54" s="11">
        <v>0</v>
      </c>
      <c r="G54" s="13">
        <v>6980</v>
      </c>
      <c r="H54" s="11">
        <v>0</v>
      </c>
      <c r="I54" s="13">
        <f>E54+G54</f>
        <v>6980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6980</v>
      </c>
      <c r="O54" s="11">
        <v>0</v>
      </c>
      <c r="P54" s="11">
        <v>0</v>
      </c>
      <c r="Q54" s="13">
        <f>K54+N54</f>
        <v>6980</v>
      </c>
      <c r="R54" s="11">
        <f>L54+O54</f>
        <v>0</v>
      </c>
      <c r="S54" s="11">
        <f>M54+P54</f>
        <v>0</v>
      </c>
      <c r="T54" s="8">
        <f>I54-Q54</f>
        <v>0</v>
      </c>
      <c r="U54" s="18">
        <v>0.27848126547127744</v>
      </c>
      <c r="V54" s="11">
        <v>0</v>
      </c>
      <c r="W54" s="11">
        <v>0</v>
      </c>
      <c r="X54" s="11">
        <v>4</v>
      </c>
      <c r="Y54" s="11">
        <v>0</v>
      </c>
    </row>
    <row r="55" spans="1:25" x14ac:dyDescent="0.25">
      <c r="A55" s="20" t="s">
        <v>801</v>
      </c>
      <c r="B55" s="20" t="s">
        <v>60</v>
      </c>
      <c r="C55" s="20" t="s">
        <v>802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>
        <v>0.13490993857824912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803</v>
      </c>
      <c r="B56" s="20" t="s">
        <v>60</v>
      </c>
      <c r="C56" s="20" t="s">
        <v>804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0</v>
      </c>
      <c r="O56" s="11">
        <v>0</v>
      </c>
      <c r="P56" s="11">
        <v>0</v>
      </c>
      <c r="Q56" s="13">
        <f>K56+N56</f>
        <v>0</v>
      </c>
      <c r="R56" s="11">
        <f>L56+O56</f>
        <v>0</v>
      </c>
      <c r="S56" s="11">
        <f>M56+P56</f>
        <v>0</v>
      </c>
      <c r="T56" s="8">
        <f>I56-Q56</f>
        <v>0</v>
      </c>
      <c r="U56" s="18" t="s">
        <v>1803</v>
      </c>
      <c r="V56" s="11">
        <v>0</v>
      </c>
      <c r="W56" s="11">
        <v>0</v>
      </c>
      <c r="X56" s="11">
        <v>0</v>
      </c>
      <c r="Y56" s="11">
        <v>0</v>
      </c>
    </row>
    <row r="57" spans="1:25" x14ac:dyDescent="0.25">
      <c r="A57" s="20" t="s">
        <v>3020</v>
      </c>
      <c r="B57" s="20" t="s">
        <v>60</v>
      </c>
      <c r="C57" s="20" t="s">
        <v>3021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0</v>
      </c>
      <c r="N57" s="13">
        <v>0</v>
      </c>
      <c r="O57" s="11">
        <v>0</v>
      </c>
      <c r="P57" s="11">
        <v>0</v>
      </c>
      <c r="Q57" s="13">
        <f>K57+N57</f>
        <v>0</v>
      </c>
      <c r="R57" s="11">
        <f>L57+O57</f>
        <v>0</v>
      </c>
      <c r="S57" s="11">
        <f>M57+P57</f>
        <v>0</v>
      </c>
      <c r="T57" s="8">
        <f>I57-Q57</f>
        <v>0</v>
      </c>
      <c r="U57" s="18">
        <v>0.17798995443730856</v>
      </c>
      <c r="V57" s="11">
        <v>0</v>
      </c>
      <c r="W57" s="11">
        <v>0</v>
      </c>
      <c r="X57" s="11">
        <v>0</v>
      </c>
      <c r="Y57" s="11">
        <v>0</v>
      </c>
    </row>
    <row r="58" spans="1:25" x14ac:dyDescent="0.25">
      <c r="A58" s="20" t="s">
        <v>3033</v>
      </c>
      <c r="B58" s="20" t="s">
        <v>77</v>
      </c>
      <c r="C58" s="20" t="s">
        <v>3664</v>
      </c>
      <c r="D58" s="20" t="s">
        <v>215</v>
      </c>
      <c r="E58" s="13">
        <v>102573.58</v>
      </c>
      <c r="F58" s="11">
        <v>1</v>
      </c>
      <c r="G58" s="13">
        <v>99865.94</v>
      </c>
      <c r="H58" s="11">
        <v>0</v>
      </c>
      <c r="I58" s="13">
        <f>E58+G58</f>
        <v>202439.52000000002</v>
      </c>
      <c r="J58" s="11">
        <f>F58+H58</f>
        <v>1</v>
      </c>
      <c r="K58" s="13">
        <v>133514.78</v>
      </c>
      <c r="L58" s="11">
        <v>0</v>
      </c>
      <c r="M58" s="11">
        <v>1</v>
      </c>
      <c r="N58" s="13">
        <v>96582</v>
      </c>
      <c r="O58" s="11">
        <v>0</v>
      </c>
      <c r="P58" s="11">
        <v>1</v>
      </c>
      <c r="Q58" s="13">
        <f>K58+N58</f>
        <v>230096.78</v>
      </c>
      <c r="R58" s="11">
        <f>L58+O58</f>
        <v>0</v>
      </c>
      <c r="S58" s="11">
        <f>M58+P58</f>
        <v>2</v>
      </c>
      <c r="T58" s="8">
        <f>I58-Q58</f>
        <v>-27657.25999999998</v>
      </c>
      <c r="U58" s="18" t="s">
        <v>1803</v>
      </c>
      <c r="V58" s="11">
        <v>0.25</v>
      </c>
      <c r="W58" s="11">
        <v>3</v>
      </c>
      <c r="X58" s="11">
        <v>9</v>
      </c>
      <c r="Y58" s="11">
        <v>3</v>
      </c>
    </row>
    <row r="59" spans="1:25" x14ac:dyDescent="0.25">
      <c r="A59" s="20" t="s">
        <v>3062</v>
      </c>
      <c r="B59" s="20" t="s">
        <v>519</v>
      </c>
      <c r="C59" s="20" t="s">
        <v>221</v>
      </c>
      <c r="D59" s="20" t="s">
        <v>216</v>
      </c>
      <c r="E59" s="13">
        <v>24830</v>
      </c>
      <c r="F59" s="11">
        <v>0</v>
      </c>
      <c r="G59" s="13">
        <v>10568.5</v>
      </c>
      <c r="H59" s="11">
        <v>0</v>
      </c>
      <c r="I59" s="13">
        <f>E59+G59</f>
        <v>35398.5</v>
      </c>
      <c r="J59" s="11">
        <f>F59+H59</f>
        <v>0</v>
      </c>
      <c r="K59" s="13">
        <v>31623.55</v>
      </c>
      <c r="L59" s="11">
        <v>1</v>
      </c>
      <c r="M59" s="11">
        <v>2</v>
      </c>
      <c r="N59" s="13">
        <v>9707.5</v>
      </c>
      <c r="O59" s="11">
        <v>0</v>
      </c>
      <c r="P59" s="11">
        <v>0</v>
      </c>
      <c r="Q59" s="13">
        <f>K59+N59</f>
        <v>41331.050000000003</v>
      </c>
      <c r="R59" s="11">
        <f>L59+O59</f>
        <v>1</v>
      </c>
      <c r="S59" s="11">
        <f>M59+P59</f>
        <v>2</v>
      </c>
      <c r="T59" s="8">
        <f>I59-Q59</f>
        <v>-5932.5500000000029</v>
      </c>
      <c r="U59" s="18">
        <v>0.15704903217799765</v>
      </c>
      <c r="V59" s="11">
        <v>0.12</v>
      </c>
      <c r="W59" s="11">
        <v>1</v>
      </c>
      <c r="X59" s="11">
        <v>7</v>
      </c>
      <c r="Y59" s="11">
        <v>6</v>
      </c>
    </row>
    <row r="60" spans="1:25" x14ac:dyDescent="0.25">
      <c r="A60" s="20" t="s">
        <v>3082</v>
      </c>
      <c r="B60" s="20" t="s">
        <v>3096</v>
      </c>
      <c r="C60" s="20" t="s">
        <v>3083</v>
      </c>
      <c r="D60" s="20" t="s">
        <v>216</v>
      </c>
      <c r="E60" s="13">
        <v>0</v>
      </c>
      <c r="F60" s="11">
        <v>0</v>
      </c>
      <c r="G60" s="13">
        <v>0</v>
      </c>
      <c r="H60" s="11">
        <v>0</v>
      </c>
      <c r="I60" s="13">
        <f>E60+G60</f>
        <v>0</v>
      </c>
      <c r="J60" s="11">
        <f>F60+H60</f>
        <v>0</v>
      </c>
      <c r="K60" s="13">
        <v>0</v>
      </c>
      <c r="L60" s="11">
        <v>0</v>
      </c>
      <c r="M60" s="11">
        <v>0</v>
      </c>
      <c r="N60" s="13">
        <v>0</v>
      </c>
      <c r="O60" s="11">
        <v>0</v>
      </c>
      <c r="P60" s="11">
        <v>0</v>
      </c>
      <c r="Q60" s="13">
        <f>K60+N60</f>
        <v>0</v>
      </c>
      <c r="R60" s="11">
        <f>L60+O60</f>
        <v>0</v>
      </c>
      <c r="S60" s="11">
        <f>M60+P60</f>
        <v>0</v>
      </c>
      <c r="T60" s="8">
        <f>I60-Q60</f>
        <v>0</v>
      </c>
      <c r="U60" s="18">
        <v>9.5756983855695768E-2</v>
      </c>
      <c r="V60" s="11">
        <v>0</v>
      </c>
      <c r="W60" s="11">
        <v>0</v>
      </c>
      <c r="X60" s="11">
        <v>0</v>
      </c>
      <c r="Y60" s="11">
        <v>0</v>
      </c>
    </row>
    <row r="61" spans="1:25" x14ac:dyDescent="0.25">
      <c r="A61" s="20" t="s">
        <v>3084</v>
      </c>
      <c r="B61" s="20" t="s">
        <v>257</v>
      </c>
      <c r="C61" s="20" t="s">
        <v>3081</v>
      </c>
      <c r="D61" s="20" t="s">
        <v>216</v>
      </c>
      <c r="E61" s="13">
        <v>0</v>
      </c>
      <c r="F61" s="11">
        <v>0</v>
      </c>
      <c r="G61" s="13">
        <v>10539</v>
      </c>
      <c r="H61" s="11">
        <v>0</v>
      </c>
      <c r="I61" s="13">
        <f>E61+G61</f>
        <v>10539</v>
      </c>
      <c r="J61" s="11">
        <f>F61+H61</f>
        <v>0</v>
      </c>
      <c r="K61" s="13">
        <v>5205</v>
      </c>
      <c r="L61" s="11">
        <v>0</v>
      </c>
      <c r="M61" s="11">
        <v>0</v>
      </c>
      <c r="N61" s="13">
        <v>751</v>
      </c>
      <c r="O61" s="11">
        <v>1</v>
      </c>
      <c r="P61" s="11">
        <v>1</v>
      </c>
      <c r="Q61" s="13">
        <f>K61+N61</f>
        <v>5956</v>
      </c>
      <c r="R61" s="11">
        <f>L61+O61</f>
        <v>1</v>
      </c>
      <c r="S61" s="11">
        <f>M61+P61</f>
        <v>1</v>
      </c>
      <c r="T61" s="8">
        <f>I61-Q61</f>
        <v>4583</v>
      </c>
      <c r="U61" s="18">
        <v>4.1308887888408807E-2</v>
      </c>
      <c r="V61" s="11">
        <v>0</v>
      </c>
      <c r="W61" s="11">
        <v>0</v>
      </c>
      <c r="X61" s="11">
        <v>0</v>
      </c>
      <c r="Y61" s="11">
        <v>0</v>
      </c>
    </row>
    <row r="62" spans="1:25" x14ac:dyDescent="0.25">
      <c r="A62" s="20" t="s">
        <v>3085</v>
      </c>
      <c r="B62" s="20" t="s">
        <v>60</v>
      </c>
      <c r="C62" s="20" t="s">
        <v>3086</v>
      </c>
      <c r="D62" s="20" t="s">
        <v>216</v>
      </c>
      <c r="E62" s="13">
        <v>0</v>
      </c>
      <c r="F62" s="11">
        <v>0</v>
      </c>
      <c r="G62" s="13">
        <v>0</v>
      </c>
      <c r="H62" s="11">
        <v>0</v>
      </c>
      <c r="I62" s="13">
        <f>E62+G62</f>
        <v>0</v>
      </c>
      <c r="J62" s="11">
        <f>F62+H62</f>
        <v>0</v>
      </c>
      <c r="K62" s="13">
        <v>0</v>
      </c>
      <c r="L62" s="11">
        <v>0</v>
      </c>
      <c r="M62" s="11">
        <v>1</v>
      </c>
      <c r="N62" s="13">
        <v>0</v>
      </c>
      <c r="O62" s="11">
        <v>0</v>
      </c>
      <c r="P62" s="11">
        <v>0</v>
      </c>
      <c r="Q62" s="13">
        <f>K62+N62</f>
        <v>0</v>
      </c>
      <c r="R62" s="11">
        <f>L62+O62</f>
        <v>0</v>
      </c>
      <c r="S62" s="11">
        <f>M62+P62</f>
        <v>1</v>
      </c>
      <c r="T62" s="8">
        <f>I62-Q62</f>
        <v>0</v>
      </c>
      <c r="U62" s="18">
        <v>0.13317073480128888</v>
      </c>
      <c r="V62" s="11">
        <v>0</v>
      </c>
      <c r="W62" s="11">
        <v>1</v>
      </c>
      <c r="Y62" s="11">
        <v>0</v>
      </c>
    </row>
    <row r="63" spans="1:25" x14ac:dyDescent="0.25">
      <c r="A63" s="20" t="s">
        <v>3087</v>
      </c>
      <c r="B63" s="20" t="s">
        <v>60</v>
      </c>
      <c r="C63" s="20" t="s">
        <v>3088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0</v>
      </c>
      <c r="O63" s="11">
        <v>0</v>
      </c>
      <c r="P63" s="11">
        <v>3</v>
      </c>
      <c r="Q63" s="13">
        <f>K63+N63</f>
        <v>0</v>
      </c>
      <c r="R63" s="11">
        <f>L63+O63</f>
        <v>0</v>
      </c>
      <c r="S63" s="11">
        <f>M63+P63</f>
        <v>3</v>
      </c>
      <c r="T63" s="8">
        <f>I63-Q63</f>
        <v>0</v>
      </c>
      <c r="U63" s="18">
        <v>1.2145258845020601</v>
      </c>
      <c r="V63" s="11">
        <v>0.33</v>
      </c>
      <c r="W63" s="11">
        <v>3</v>
      </c>
      <c r="X63" s="11">
        <v>6</v>
      </c>
      <c r="Y63" s="11">
        <v>1</v>
      </c>
    </row>
    <row r="64" spans="1:25" x14ac:dyDescent="0.25">
      <c r="A64" s="20" t="s">
        <v>3116</v>
      </c>
      <c r="B64" s="20" t="s">
        <v>97</v>
      </c>
      <c r="C64" s="20" t="s">
        <v>3115</v>
      </c>
      <c r="D64" s="20" t="s">
        <v>216</v>
      </c>
      <c r="E64" s="13">
        <v>77579</v>
      </c>
      <c r="F64" s="11">
        <v>1</v>
      </c>
      <c r="G64" s="13">
        <v>55228.22</v>
      </c>
      <c r="H64" s="11">
        <v>1</v>
      </c>
      <c r="I64" s="13">
        <f>E64+G64</f>
        <v>132807.22</v>
      </c>
      <c r="J64" s="11">
        <f>F64+H64</f>
        <v>2</v>
      </c>
      <c r="K64" s="13">
        <v>83181.600000000006</v>
      </c>
      <c r="L64" s="11">
        <v>0</v>
      </c>
      <c r="M64" s="11">
        <v>1</v>
      </c>
      <c r="N64" s="13">
        <v>78302</v>
      </c>
      <c r="O64" s="11">
        <v>2</v>
      </c>
      <c r="P64" s="11">
        <v>3</v>
      </c>
      <c r="Q64" s="13">
        <f>K64+N64</f>
        <v>161483.6</v>
      </c>
      <c r="R64" s="11">
        <f>L64+O64</f>
        <v>2</v>
      </c>
      <c r="S64" s="11">
        <f>M64+P64</f>
        <v>4</v>
      </c>
      <c r="T64" s="8">
        <f>I64-Q64</f>
        <v>-28676.380000000005</v>
      </c>
      <c r="U64" s="18">
        <v>0.27200770189538148</v>
      </c>
      <c r="V64" s="11">
        <v>0.38</v>
      </c>
      <c r="W64" s="11">
        <v>5</v>
      </c>
      <c r="X64" s="11">
        <v>8</v>
      </c>
      <c r="Y64" s="11">
        <v>4</v>
      </c>
    </row>
    <row r="65" spans="1:25" x14ac:dyDescent="0.25">
      <c r="A65" s="20" t="s">
        <v>3117</v>
      </c>
      <c r="B65" s="20" t="s">
        <v>60</v>
      </c>
      <c r="C65" s="20" t="s">
        <v>3118</v>
      </c>
      <c r="D65" s="20" t="s">
        <v>216</v>
      </c>
      <c r="E65" s="13">
        <v>0</v>
      </c>
      <c r="F65" s="11">
        <v>0</v>
      </c>
      <c r="G65" s="13">
        <v>0</v>
      </c>
      <c r="H65" s="11">
        <v>0</v>
      </c>
      <c r="I65" s="13">
        <f>E65+G65</f>
        <v>0</v>
      </c>
      <c r="J65" s="11">
        <f>F65+H65</f>
        <v>0</v>
      </c>
      <c r="K65" s="13">
        <v>0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0</v>
      </c>
      <c r="R65" s="11">
        <f>L65+O65</f>
        <v>0</v>
      </c>
      <c r="S65" s="11">
        <f>M65+P65</f>
        <v>0</v>
      </c>
      <c r="T65" s="8">
        <f>I65-Q65</f>
        <v>0</v>
      </c>
      <c r="U65" s="18">
        <v>0.17335334173503061</v>
      </c>
      <c r="V65" s="11">
        <v>0</v>
      </c>
      <c r="W65" s="11">
        <v>0</v>
      </c>
      <c r="X65" s="11">
        <v>3</v>
      </c>
      <c r="Y65" s="11">
        <v>1</v>
      </c>
    </row>
    <row r="66" spans="1:25" x14ac:dyDescent="0.25">
      <c r="A66" s="20" t="s">
        <v>3129</v>
      </c>
      <c r="B66" s="20" t="s">
        <v>459</v>
      </c>
      <c r="C66" s="20" t="s">
        <v>3608</v>
      </c>
      <c r="D66" s="20" t="s">
        <v>215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26371.47</v>
      </c>
      <c r="L66" s="11">
        <v>1</v>
      </c>
      <c r="M66" s="11">
        <v>1</v>
      </c>
      <c r="N66" s="13">
        <v>0</v>
      </c>
      <c r="O66" s="11">
        <v>0</v>
      </c>
      <c r="P66" s="11">
        <v>0</v>
      </c>
      <c r="Q66" s="13">
        <f>K66+N66</f>
        <v>26371.47</v>
      </c>
      <c r="R66" s="11">
        <f>L66+O66</f>
        <v>1</v>
      </c>
      <c r="S66" s="11">
        <f>M66+P66</f>
        <v>1</v>
      </c>
      <c r="T66" s="8">
        <f>I66-Q66</f>
        <v>-26371.47</v>
      </c>
      <c r="U66" s="18" t="s">
        <v>1803</v>
      </c>
      <c r="V66" s="11">
        <v>0</v>
      </c>
      <c r="W66" s="11">
        <v>0</v>
      </c>
      <c r="X66" s="11">
        <v>1</v>
      </c>
      <c r="Y66" s="11">
        <v>3</v>
      </c>
    </row>
    <row r="67" spans="1:25" x14ac:dyDescent="0.25">
      <c r="A67" s="20" t="s">
        <v>3164</v>
      </c>
      <c r="B67" s="20" t="s">
        <v>3164</v>
      </c>
      <c r="C67" s="20" t="s">
        <v>3165</v>
      </c>
      <c r="D67" s="20" t="s">
        <v>216</v>
      </c>
      <c r="E67" s="13">
        <v>-22979.74</v>
      </c>
      <c r="F67" s="11">
        <v>0</v>
      </c>
      <c r="G67" s="13">
        <v>22628</v>
      </c>
      <c r="H67" s="11">
        <v>0</v>
      </c>
      <c r="I67" s="13">
        <f>E67+G67</f>
        <v>-351.7400000000016</v>
      </c>
      <c r="J67" s="11">
        <f>F67+H67</f>
        <v>0</v>
      </c>
      <c r="K67" s="13">
        <v>11844</v>
      </c>
      <c r="L67" s="11">
        <v>1</v>
      </c>
      <c r="M67" s="11">
        <v>9</v>
      </c>
      <c r="N67" s="13">
        <v>0</v>
      </c>
      <c r="O67" s="11">
        <v>0</v>
      </c>
      <c r="P67" s="11">
        <v>2</v>
      </c>
      <c r="Q67" s="13">
        <f>K67+N67</f>
        <v>11844</v>
      </c>
      <c r="R67" s="11">
        <f>L67+O67</f>
        <v>1</v>
      </c>
      <c r="S67" s="11">
        <f>M67+P67</f>
        <v>11</v>
      </c>
      <c r="T67" s="8">
        <f>I67-Q67</f>
        <v>-12195.740000000002</v>
      </c>
      <c r="U67" s="18">
        <v>0.46827088987469045</v>
      </c>
      <c r="V67" s="11">
        <v>0.3</v>
      </c>
      <c r="W67" s="11">
        <v>12</v>
      </c>
      <c r="X67" s="11">
        <v>28</v>
      </c>
      <c r="Y67" s="11">
        <v>4</v>
      </c>
    </row>
    <row r="68" spans="1:25" x14ac:dyDescent="0.25">
      <c r="A68" s="20" t="s">
        <v>3193</v>
      </c>
      <c r="B68" s="20" t="s">
        <v>97</v>
      </c>
      <c r="C68" s="20" t="s">
        <v>3194</v>
      </c>
      <c r="D68" s="20" t="s">
        <v>216</v>
      </c>
      <c r="E68" s="13">
        <v>7401</v>
      </c>
      <c r="F68" s="11">
        <v>0</v>
      </c>
      <c r="G68" s="13">
        <v>0</v>
      </c>
      <c r="H68" s="11">
        <v>0</v>
      </c>
      <c r="I68" s="13">
        <f>E68+G68</f>
        <v>7401</v>
      </c>
      <c r="J68" s="11">
        <f>F68+H68</f>
        <v>0</v>
      </c>
      <c r="K68" s="13">
        <v>6586</v>
      </c>
      <c r="L68" s="11">
        <v>0</v>
      </c>
      <c r="M68" s="11">
        <v>1</v>
      </c>
      <c r="N68" s="13">
        <v>0</v>
      </c>
      <c r="O68" s="11">
        <v>0</v>
      </c>
      <c r="P68" s="11">
        <v>0</v>
      </c>
      <c r="Q68" s="13">
        <f>K68+N68</f>
        <v>6586</v>
      </c>
      <c r="R68" s="11">
        <f>L68+O68</f>
        <v>0</v>
      </c>
      <c r="S68" s="11">
        <f>M68+P68</f>
        <v>1</v>
      </c>
      <c r="T68" s="8">
        <f>I68-Q68</f>
        <v>815</v>
      </c>
      <c r="U68" s="18">
        <v>2.9106526980184767E-2</v>
      </c>
      <c r="V68" s="11">
        <v>0</v>
      </c>
      <c r="W68" s="11">
        <v>1</v>
      </c>
      <c r="Y68" s="11">
        <v>0</v>
      </c>
    </row>
    <row r="69" spans="1:25" x14ac:dyDescent="0.25">
      <c r="A69" s="20" t="s">
        <v>3230</v>
      </c>
      <c r="B69" s="20" t="s">
        <v>77</v>
      </c>
      <c r="C69" s="20" t="s">
        <v>3231</v>
      </c>
      <c r="D69" s="20" t="s">
        <v>216</v>
      </c>
      <c r="E69" s="13">
        <v>6506</v>
      </c>
      <c r="F69" s="11">
        <v>1</v>
      </c>
      <c r="G69" s="13">
        <v>23240.05</v>
      </c>
      <c r="H69" s="11">
        <v>0</v>
      </c>
      <c r="I69" s="13">
        <f>E69+G69</f>
        <v>29746.05</v>
      </c>
      <c r="J69" s="11">
        <f>F69+H69</f>
        <v>1</v>
      </c>
      <c r="K69" s="13">
        <v>9640</v>
      </c>
      <c r="L69" s="11">
        <v>0</v>
      </c>
      <c r="M69" s="11">
        <v>2</v>
      </c>
      <c r="N69" s="13">
        <v>95221</v>
      </c>
      <c r="O69" s="11">
        <v>2</v>
      </c>
      <c r="P69" s="11">
        <v>3</v>
      </c>
      <c r="Q69" s="13">
        <f>K69+N69</f>
        <v>104861</v>
      </c>
      <c r="R69" s="11">
        <f>L69+O69</f>
        <v>2</v>
      </c>
      <c r="S69" s="11">
        <f>M69+P69</f>
        <v>5</v>
      </c>
      <c r="T69" s="8">
        <f>I69-Q69</f>
        <v>-75114.95</v>
      </c>
      <c r="U69" s="18">
        <v>0.31168534519808688</v>
      </c>
      <c r="V69" s="11">
        <v>0.25</v>
      </c>
      <c r="W69" s="11">
        <v>4</v>
      </c>
      <c r="X69" s="11">
        <v>12</v>
      </c>
      <c r="Y69" s="11">
        <v>2</v>
      </c>
    </row>
    <row r="70" spans="1:25" x14ac:dyDescent="0.25">
      <c r="A70" s="20" t="s">
        <v>3232</v>
      </c>
      <c r="B70" s="20" t="s">
        <v>814</v>
      </c>
      <c r="C70" s="20" t="s">
        <v>748</v>
      </c>
      <c r="D70" s="20" t="s">
        <v>216</v>
      </c>
      <c r="E70" s="13">
        <v>0</v>
      </c>
      <c r="F70" s="11">
        <v>0</v>
      </c>
      <c r="G70" s="13">
        <v>0</v>
      </c>
      <c r="H70" s="11">
        <v>0</v>
      </c>
      <c r="I70" s="13">
        <f>E70+G70</f>
        <v>0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0</v>
      </c>
      <c r="O70" s="11">
        <v>0</v>
      </c>
      <c r="P70" s="11">
        <v>0</v>
      </c>
      <c r="Q70" s="13">
        <f>K70+N70</f>
        <v>0</v>
      </c>
      <c r="R70" s="11">
        <f>L70+O70</f>
        <v>0</v>
      </c>
      <c r="S70" s="11">
        <f>M70+P70</f>
        <v>0</v>
      </c>
      <c r="T70" s="8">
        <f>I70-Q70</f>
        <v>0</v>
      </c>
      <c r="U70" s="18">
        <v>8.2055336877800825E-2</v>
      </c>
      <c r="V70" s="11">
        <v>0</v>
      </c>
      <c r="W70" s="11">
        <v>0</v>
      </c>
      <c r="X70" s="11">
        <v>0</v>
      </c>
      <c r="Y70" s="11">
        <v>0</v>
      </c>
    </row>
    <row r="71" spans="1:25" x14ac:dyDescent="0.25">
      <c r="A71" s="20" t="s">
        <v>3233</v>
      </c>
      <c r="B71" s="20" t="s">
        <v>60</v>
      </c>
      <c r="C71" s="20" t="s">
        <v>3234</v>
      </c>
      <c r="D71" s="20" t="s">
        <v>216</v>
      </c>
      <c r="E71" s="13">
        <v>0</v>
      </c>
      <c r="F71" s="11">
        <v>0</v>
      </c>
      <c r="G71" s="13">
        <v>0</v>
      </c>
      <c r="H71" s="11">
        <v>0</v>
      </c>
      <c r="I71" s="13">
        <f>E71+G71</f>
        <v>0</v>
      </c>
      <c r="J71" s="11">
        <f>F71+H71</f>
        <v>0</v>
      </c>
      <c r="K71" s="13">
        <v>0</v>
      </c>
      <c r="L71" s="11">
        <v>0</v>
      </c>
      <c r="M71" s="11">
        <v>0</v>
      </c>
      <c r="N71" s="13">
        <v>0</v>
      </c>
      <c r="O71" s="11">
        <v>0</v>
      </c>
      <c r="P71" s="11">
        <v>0</v>
      </c>
      <c r="Q71" s="13">
        <f>K71+N71</f>
        <v>0</v>
      </c>
      <c r="R71" s="11">
        <f>L71+O71</f>
        <v>0</v>
      </c>
      <c r="S71" s="11">
        <f>M71+P71</f>
        <v>0</v>
      </c>
      <c r="T71" s="8">
        <f>I71-Q71</f>
        <v>0</v>
      </c>
      <c r="U71" s="18">
        <v>9.7144200012274001E-2</v>
      </c>
      <c r="V71" s="11">
        <v>0</v>
      </c>
      <c r="W71" s="11">
        <v>0</v>
      </c>
      <c r="X71" s="11">
        <v>0</v>
      </c>
      <c r="Y71" s="11">
        <v>0</v>
      </c>
    </row>
    <row r="72" spans="1:25" x14ac:dyDescent="0.25">
      <c r="A72" s="20" t="s">
        <v>3262</v>
      </c>
      <c r="B72" s="20" t="s">
        <v>3096</v>
      </c>
      <c r="C72" s="20" t="s">
        <v>3263</v>
      </c>
      <c r="D72" s="20" t="s">
        <v>216</v>
      </c>
      <c r="E72" s="13">
        <v>0</v>
      </c>
      <c r="F72" s="11">
        <v>0</v>
      </c>
      <c r="G72" s="13">
        <v>0</v>
      </c>
      <c r="H72" s="11">
        <v>0</v>
      </c>
      <c r="I72" s="13">
        <f>E72+G72</f>
        <v>0</v>
      </c>
      <c r="J72" s="11">
        <f>F72+H72</f>
        <v>0</v>
      </c>
      <c r="K72" s="13">
        <v>0</v>
      </c>
      <c r="L72" s="11">
        <v>0</v>
      </c>
      <c r="M72" s="11">
        <v>0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0</v>
      </c>
      <c r="T72" s="8">
        <f>I72-Q72</f>
        <v>0</v>
      </c>
      <c r="U72" s="18">
        <v>0.10915263394867177</v>
      </c>
      <c r="V72" s="11">
        <v>0</v>
      </c>
      <c r="W72" s="11">
        <v>0</v>
      </c>
      <c r="X72" s="11">
        <v>1</v>
      </c>
      <c r="Y72" s="11">
        <v>0</v>
      </c>
    </row>
    <row r="73" spans="1:25" x14ac:dyDescent="0.25">
      <c r="A73" s="20" t="s">
        <v>3301</v>
      </c>
      <c r="B73" s="20" t="s">
        <v>949</v>
      </c>
      <c r="C73" s="20" t="s">
        <v>3144</v>
      </c>
      <c r="D73" s="20" t="s">
        <v>216</v>
      </c>
      <c r="E73" s="13">
        <v>1724.56</v>
      </c>
      <c r="F73" s="11">
        <v>0</v>
      </c>
      <c r="G73" s="13">
        <v>0</v>
      </c>
      <c r="H73" s="11">
        <v>0</v>
      </c>
      <c r="I73" s="13">
        <f>E73+G73</f>
        <v>1724.56</v>
      </c>
      <c r="J73" s="11">
        <f>F73+H73</f>
        <v>0</v>
      </c>
      <c r="K73" s="13">
        <v>45745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45745</v>
      </c>
      <c r="R73" s="11">
        <f>L73+O73</f>
        <v>0</v>
      </c>
      <c r="S73" s="11">
        <f>M73+P73</f>
        <v>0</v>
      </c>
      <c r="T73" s="8">
        <f>I73-Q73</f>
        <v>-44020.44</v>
      </c>
      <c r="U73" s="18">
        <v>3.9406584615867248E-2</v>
      </c>
      <c r="V73" s="11">
        <v>0</v>
      </c>
      <c r="W73" s="11">
        <v>0</v>
      </c>
      <c r="X73" s="11">
        <v>0</v>
      </c>
      <c r="Y73" s="11">
        <v>1</v>
      </c>
    </row>
    <row r="74" spans="1:25" x14ac:dyDescent="0.25">
      <c r="A74" s="20" t="s">
        <v>3299</v>
      </c>
      <c r="B74" s="20" t="s">
        <v>3299</v>
      </c>
      <c r="C74" s="20" t="s">
        <v>3300</v>
      </c>
      <c r="D74" s="20" t="s">
        <v>216</v>
      </c>
      <c r="E74" s="13">
        <v>4939</v>
      </c>
      <c r="F74" s="11">
        <v>0</v>
      </c>
      <c r="G74" s="13">
        <v>10060</v>
      </c>
      <c r="H74" s="11">
        <v>0</v>
      </c>
      <c r="I74" s="13">
        <f>E74+G74</f>
        <v>14999</v>
      </c>
      <c r="J74" s="11">
        <f>F74+H74</f>
        <v>0</v>
      </c>
      <c r="K74" s="13">
        <v>21387</v>
      </c>
      <c r="L74" s="11">
        <v>1</v>
      </c>
      <c r="M74" s="11">
        <v>2</v>
      </c>
      <c r="N74" s="13">
        <v>9638</v>
      </c>
      <c r="O74" s="11">
        <v>0</v>
      </c>
      <c r="P74" s="11">
        <v>3</v>
      </c>
      <c r="Q74" s="13">
        <f>K74+N74</f>
        <v>31025</v>
      </c>
      <c r="R74" s="11">
        <f>L74+O74</f>
        <v>1</v>
      </c>
      <c r="S74" s="11">
        <f>M74+P74</f>
        <v>5</v>
      </c>
      <c r="T74" s="8">
        <f>I74-Q74</f>
        <v>-16026</v>
      </c>
      <c r="U74" s="18">
        <v>0.15486491136630198</v>
      </c>
      <c r="V74" s="11">
        <v>0.44</v>
      </c>
      <c r="W74" s="11">
        <v>4</v>
      </c>
      <c r="X74" s="11">
        <v>5</v>
      </c>
      <c r="Y74" s="11">
        <v>0</v>
      </c>
    </row>
    <row r="75" spans="1:25" x14ac:dyDescent="0.25">
      <c r="A75" s="20" t="s">
        <v>3302</v>
      </c>
      <c r="B75" s="20" t="s">
        <v>3203</v>
      </c>
      <c r="C75" s="20" t="s">
        <v>3011</v>
      </c>
      <c r="D75" s="20" t="s">
        <v>216</v>
      </c>
      <c r="E75" s="13">
        <v>13838</v>
      </c>
      <c r="F75" s="11">
        <v>0</v>
      </c>
      <c r="G75" s="13">
        <v>48203.48</v>
      </c>
      <c r="H75" s="11">
        <v>0</v>
      </c>
      <c r="I75" s="13">
        <f>E75+G75</f>
        <v>62041.48</v>
      </c>
      <c r="J75" s="11">
        <f>F75+H75</f>
        <v>0</v>
      </c>
      <c r="K75" s="13">
        <v>22485</v>
      </c>
      <c r="L75" s="11">
        <v>0</v>
      </c>
      <c r="M75" s="11">
        <v>0</v>
      </c>
      <c r="N75" s="13">
        <v>45148</v>
      </c>
      <c r="O75" s="11">
        <v>0</v>
      </c>
      <c r="P75" s="11">
        <v>4</v>
      </c>
      <c r="Q75" s="13">
        <f>K75+N75</f>
        <v>67633</v>
      </c>
      <c r="R75" s="11">
        <f>L75+O75</f>
        <v>0</v>
      </c>
      <c r="S75" s="11">
        <f>M75+P75</f>
        <v>4</v>
      </c>
      <c r="T75" s="8">
        <f>I75-Q75</f>
        <v>-5591.5199999999968</v>
      </c>
      <c r="U75" s="18">
        <v>0.15749505822633142</v>
      </c>
      <c r="V75" s="11">
        <v>0.36</v>
      </c>
      <c r="W75" s="11">
        <v>4</v>
      </c>
      <c r="X75" s="11">
        <v>7</v>
      </c>
      <c r="Y75" s="11">
        <v>0</v>
      </c>
    </row>
    <row r="76" spans="1:25" x14ac:dyDescent="0.25">
      <c r="A76" s="20" t="s">
        <v>3303</v>
      </c>
      <c r="B76" s="20" t="s">
        <v>3203</v>
      </c>
      <c r="C76" s="20" t="s">
        <v>3011</v>
      </c>
      <c r="D76" s="20" t="s">
        <v>216</v>
      </c>
      <c r="E76" s="13">
        <v>250</v>
      </c>
      <c r="F76" s="11">
        <v>0</v>
      </c>
      <c r="G76" s="13">
        <v>10279</v>
      </c>
      <c r="H76" s="11">
        <v>0</v>
      </c>
      <c r="I76" s="13">
        <f>E76+G76</f>
        <v>10529</v>
      </c>
      <c r="J76" s="11">
        <f>F76+H76</f>
        <v>0</v>
      </c>
      <c r="K76" s="13">
        <v>250</v>
      </c>
      <c r="L76" s="11">
        <v>0</v>
      </c>
      <c r="M76" s="11">
        <v>0</v>
      </c>
      <c r="N76" s="13">
        <v>9756</v>
      </c>
      <c r="O76" s="11">
        <v>0</v>
      </c>
      <c r="P76" s="11">
        <v>0</v>
      </c>
      <c r="Q76" s="13">
        <f>K76+N76</f>
        <v>10006</v>
      </c>
      <c r="R76" s="11">
        <f>L76+O76</f>
        <v>0</v>
      </c>
      <c r="S76" s="11">
        <f>M76+P76</f>
        <v>0</v>
      </c>
      <c r="T76" s="8">
        <f>I76-Q76</f>
        <v>523</v>
      </c>
      <c r="U76" s="18">
        <v>-2.5786763005992461E-2</v>
      </c>
      <c r="V76" s="11">
        <v>0</v>
      </c>
      <c r="W76" s="11">
        <v>0</v>
      </c>
      <c r="X76" s="11">
        <v>0</v>
      </c>
      <c r="Y76" s="11">
        <v>0</v>
      </c>
    </row>
    <row r="77" spans="1:25" x14ac:dyDescent="0.25">
      <c r="A77" s="20" t="s">
        <v>3341</v>
      </c>
      <c r="B77" s="20" t="s">
        <v>3340</v>
      </c>
      <c r="C77" s="20" t="s">
        <v>3223</v>
      </c>
      <c r="D77" s="20" t="s">
        <v>216</v>
      </c>
      <c r="E77" s="13">
        <v>-1919.53</v>
      </c>
      <c r="F77" s="11">
        <v>0</v>
      </c>
      <c r="G77" s="13">
        <v>0</v>
      </c>
      <c r="H77" s="11">
        <v>0</v>
      </c>
      <c r="I77" s="13">
        <f>E77+G77</f>
        <v>-1919.53</v>
      </c>
      <c r="J77" s="11">
        <f>F77+H77</f>
        <v>0</v>
      </c>
      <c r="K77" s="13">
        <v>3021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3021</v>
      </c>
      <c r="R77" s="11">
        <f>L77+O77</f>
        <v>0</v>
      </c>
      <c r="S77" s="11">
        <f>M77+P77</f>
        <v>0</v>
      </c>
      <c r="T77" s="8">
        <f>I77-Q77</f>
        <v>-4940.53</v>
      </c>
      <c r="U77" s="18">
        <v>2.6507300842403596E-2</v>
      </c>
      <c r="V77" s="11">
        <v>0</v>
      </c>
      <c r="W77" s="11">
        <v>0</v>
      </c>
      <c r="X77" s="11">
        <v>0</v>
      </c>
      <c r="Y77" s="11">
        <v>0</v>
      </c>
    </row>
    <row r="78" spans="1:25" x14ac:dyDescent="0.25">
      <c r="A78" s="20" t="s">
        <v>3384</v>
      </c>
      <c r="B78" s="20" t="s">
        <v>60</v>
      </c>
      <c r="C78" s="20" t="s">
        <v>3385</v>
      </c>
      <c r="D78" s="20" t="s">
        <v>216</v>
      </c>
      <c r="E78" s="13">
        <v>0</v>
      </c>
      <c r="F78" s="11">
        <v>0</v>
      </c>
      <c r="G78" s="13">
        <v>0</v>
      </c>
      <c r="H78" s="11">
        <v>0</v>
      </c>
      <c r="I78" s="13">
        <f>E78+G78</f>
        <v>0</v>
      </c>
      <c r="J78" s="11">
        <f>F78+H78</f>
        <v>0</v>
      </c>
      <c r="K78" s="13">
        <v>0</v>
      </c>
      <c r="L78" s="11">
        <v>0</v>
      </c>
      <c r="M78" s="11">
        <v>0</v>
      </c>
      <c r="N78" s="13">
        <v>0</v>
      </c>
      <c r="O78" s="11">
        <v>0</v>
      </c>
      <c r="P78" s="11">
        <v>0</v>
      </c>
      <c r="Q78" s="13">
        <f>K78+N78</f>
        <v>0</v>
      </c>
      <c r="R78" s="11">
        <f>L78+O78</f>
        <v>0</v>
      </c>
      <c r="S78" s="11">
        <f>M78+P78</f>
        <v>0</v>
      </c>
      <c r="T78" s="8">
        <f>I78-Q78</f>
        <v>0</v>
      </c>
      <c r="U78" s="18">
        <v>9.5518710153591438E-2</v>
      </c>
      <c r="V78" s="11">
        <v>0</v>
      </c>
      <c r="W78" s="11">
        <v>0</v>
      </c>
      <c r="X78" s="11">
        <v>0</v>
      </c>
      <c r="Y78" s="11">
        <v>1</v>
      </c>
    </row>
    <row r="79" spans="1:25" x14ac:dyDescent="0.25">
      <c r="A79" s="20" t="s">
        <v>3399</v>
      </c>
      <c r="B79" s="20" t="s">
        <v>723</v>
      </c>
      <c r="C79" s="20" t="s">
        <v>709</v>
      </c>
      <c r="D79" s="20" t="s">
        <v>216</v>
      </c>
      <c r="E79" s="13">
        <v>2289</v>
      </c>
      <c r="F79" s="11">
        <v>0</v>
      </c>
      <c r="G79" s="13">
        <v>0</v>
      </c>
      <c r="H79" s="11">
        <v>0</v>
      </c>
      <c r="I79" s="13">
        <f>E79+G79</f>
        <v>2289</v>
      </c>
      <c r="J79" s="11">
        <f>F79+H79</f>
        <v>0</v>
      </c>
      <c r="K79" s="13">
        <v>2311.14</v>
      </c>
      <c r="L79" s="11">
        <v>0</v>
      </c>
      <c r="M79" s="11">
        <v>0</v>
      </c>
      <c r="N79" s="13">
        <v>0</v>
      </c>
      <c r="O79" s="11">
        <v>0</v>
      </c>
      <c r="P79" s="11">
        <v>0</v>
      </c>
      <c r="Q79" s="13">
        <f>K79+N79</f>
        <v>2311.14</v>
      </c>
      <c r="R79" s="11">
        <f>L79+O79</f>
        <v>0</v>
      </c>
      <c r="S79" s="11">
        <f>M79+P79</f>
        <v>0</v>
      </c>
      <c r="T79" s="8">
        <f>I79-Q79</f>
        <v>-22.139999999999873</v>
      </c>
      <c r="U79" s="18">
        <v>4.3574548297792851E-2</v>
      </c>
      <c r="V79" s="11">
        <v>0</v>
      </c>
      <c r="W79" s="11">
        <v>0</v>
      </c>
      <c r="X79" s="11">
        <v>1</v>
      </c>
      <c r="Y79" s="11">
        <v>0</v>
      </c>
    </row>
    <row r="80" spans="1:25" x14ac:dyDescent="0.25">
      <c r="A80" s="20" t="s">
        <v>3400</v>
      </c>
      <c r="B80" s="20" t="s">
        <v>295</v>
      </c>
      <c r="C80" s="20" t="s">
        <v>964</v>
      </c>
      <c r="D80" s="20" t="s">
        <v>216</v>
      </c>
      <c r="E80" s="13">
        <v>1612</v>
      </c>
      <c r="F80" s="11">
        <v>0</v>
      </c>
      <c r="G80" s="13">
        <v>1310</v>
      </c>
      <c r="H80" s="11">
        <v>0</v>
      </c>
      <c r="I80" s="13">
        <f>E80+G80</f>
        <v>2922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1310</v>
      </c>
      <c r="O80" s="11">
        <v>0</v>
      </c>
      <c r="P80" s="11">
        <v>1</v>
      </c>
      <c r="Q80" s="13">
        <f>K80+N80</f>
        <v>1310</v>
      </c>
      <c r="R80" s="11">
        <f>L80+O80</f>
        <v>0</v>
      </c>
      <c r="S80" s="11">
        <f>M80+P80</f>
        <v>1</v>
      </c>
      <c r="T80" s="8">
        <f>I80-Q80</f>
        <v>1612</v>
      </c>
      <c r="U80" s="18">
        <v>0.17601822788520272</v>
      </c>
      <c r="V80" s="11">
        <v>0.5</v>
      </c>
      <c r="W80" s="11">
        <v>1</v>
      </c>
      <c r="X80" s="11">
        <v>1</v>
      </c>
      <c r="Y80" s="11">
        <v>0</v>
      </c>
    </row>
    <row r="81" spans="1:25" x14ac:dyDescent="0.25">
      <c r="A81" s="20" t="s">
        <v>3401</v>
      </c>
      <c r="B81" s="20" t="s">
        <v>60</v>
      </c>
      <c r="C81" s="20" t="s">
        <v>3402</v>
      </c>
      <c r="D81" s="20" t="s">
        <v>216</v>
      </c>
      <c r="E81" s="13">
        <v>37706</v>
      </c>
      <c r="F81" s="11">
        <v>2</v>
      </c>
      <c r="G81" s="13">
        <v>11119</v>
      </c>
      <c r="H81" s="11">
        <v>0</v>
      </c>
      <c r="I81" s="13">
        <f>E81+G81</f>
        <v>48825</v>
      </c>
      <c r="J81" s="11">
        <f>F81+H81</f>
        <v>2</v>
      </c>
      <c r="K81" s="13">
        <v>6608</v>
      </c>
      <c r="L81" s="11">
        <v>0</v>
      </c>
      <c r="M81" s="11">
        <v>1</v>
      </c>
      <c r="N81" s="13">
        <v>10448</v>
      </c>
      <c r="O81" s="11">
        <v>0</v>
      </c>
      <c r="P81" s="11">
        <v>0</v>
      </c>
      <c r="Q81" s="13">
        <f>K81+N81</f>
        <v>17056</v>
      </c>
      <c r="R81" s="11">
        <f>L81+O81</f>
        <v>0</v>
      </c>
      <c r="S81" s="11">
        <f>M81+P81</f>
        <v>1</v>
      </c>
      <c r="T81" s="8">
        <f>I81-Q81</f>
        <v>31769</v>
      </c>
      <c r="U81" s="18">
        <v>0.22099147234350572</v>
      </c>
      <c r="V81" s="11">
        <v>0.25</v>
      </c>
      <c r="W81" s="11">
        <v>3</v>
      </c>
      <c r="X81" s="11">
        <v>9</v>
      </c>
      <c r="Y81" s="11">
        <v>2</v>
      </c>
    </row>
    <row r="82" spans="1:25" x14ac:dyDescent="0.25">
      <c r="A82" s="20" t="s">
        <v>3582</v>
      </c>
      <c r="B82" s="20" t="s">
        <v>97</v>
      </c>
      <c r="C82" s="20" t="s">
        <v>797</v>
      </c>
      <c r="D82" s="20" t="s">
        <v>216</v>
      </c>
      <c r="E82" s="13">
        <v>35357</v>
      </c>
      <c r="F82" s="11">
        <v>0</v>
      </c>
      <c r="G82" s="13">
        <v>10051</v>
      </c>
      <c r="H82" s="11">
        <v>0</v>
      </c>
      <c r="I82" s="13">
        <f>E82+G82</f>
        <v>45408</v>
      </c>
      <c r="J82" s="11">
        <f>F82+H82</f>
        <v>0</v>
      </c>
      <c r="K82" s="13">
        <v>0</v>
      </c>
      <c r="L82" s="11">
        <v>0</v>
      </c>
      <c r="M82" s="11">
        <v>2</v>
      </c>
      <c r="N82" s="13">
        <v>0</v>
      </c>
      <c r="O82" s="11">
        <v>1</v>
      </c>
      <c r="P82" s="11">
        <v>4</v>
      </c>
      <c r="Q82" s="13">
        <f>K82+N82</f>
        <v>0</v>
      </c>
      <c r="R82" s="11">
        <f>L82+O82</f>
        <v>1</v>
      </c>
      <c r="S82" s="11">
        <f>M82+P82</f>
        <v>6</v>
      </c>
      <c r="T82" s="8">
        <f>I82-Q82</f>
        <v>45408</v>
      </c>
      <c r="U82" s="18">
        <v>0.69448557929283639</v>
      </c>
      <c r="V82" s="11">
        <v>0.26</v>
      </c>
      <c r="W82" s="11">
        <v>5</v>
      </c>
      <c r="X82" s="11">
        <v>14</v>
      </c>
      <c r="Y82" s="11">
        <v>3</v>
      </c>
    </row>
    <row r="83" spans="1:25" x14ac:dyDescent="0.25">
      <c r="A83" s="20" t="s">
        <v>3609</v>
      </c>
      <c r="B83" s="20" t="s">
        <v>58</v>
      </c>
      <c r="C83" s="20" t="s">
        <v>3607</v>
      </c>
      <c r="D83" s="20" t="s">
        <v>216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0</v>
      </c>
      <c r="L83" s="11">
        <v>0</v>
      </c>
      <c r="M83" s="11">
        <v>0</v>
      </c>
      <c r="N83" s="13">
        <v>0</v>
      </c>
      <c r="O83" s="11">
        <v>0</v>
      </c>
      <c r="P83" s="11">
        <v>0</v>
      </c>
      <c r="Q83" s="13">
        <f>K83+N83</f>
        <v>0</v>
      </c>
      <c r="R83" s="11">
        <f>L83+O83</f>
        <v>0</v>
      </c>
      <c r="S83" s="11">
        <f>M83+P83</f>
        <v>0</v>
      </c>
      <c r="T83" s="8">
        <f>I83-Q83</f>
        <v>0</v>
      </c>
      <c r="U83" s="18">
        <v>7.1348688747142577E-2</v>
      </c>
      <c r="V83" s="11">
        <v>0</v>
      </c>
      <c r="W83" s="11">
        <v>0</v>
      </c>
      <c r="X83" s="11">
        <v>0</v>
      </c>
      <c r="Y83" s="11">
        <v>0</v>
      </c>
    </row>
    <row r="84" spans="1:25" x14ac:dyDescent="0.25">
      <c r="A84" s="20" t="s">
        <v>3610</v>
      </c>
      <c r="B84" s="20" t="s">
        <v>459</v>
      </c>
      <c r="C84" s="20" t="s">
        <v>3608</v>
      </c>
      <c r="D84" s="20" t="s">
        <v>216</v>
      </c>
      <c r="E84" s="13">
        <v>0</v>
      </c>
      <c r="F84" s="11">
        <v>0</v>
      </c>
      <c r="G84" s="13">
        <v>0</v>
      </c>
      <c r="H84" s="11">
        <v>0</v>
      </c>
      <c r="I84" s="13">
        <f>E84+G84</f>
        <v>0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0</v>
      </c>
      <c r="U84" s="18">
        <v>0.22616684967202955</v>
      </c>
      <c r="V84" s="11">
        <v>0</v>
      </c>
      <c r="W84" s="11">
        <v>0</v>
      </c>
      <c r="X84" s="11">
        <v>0</v>
      </c>
      <c r="Y84" s="11">
        <v>0</v>
      </c>
    </row>
    <row r="85" spans="1:25" x14ac:dyDescent="0.25">
      <c r="A85" s="20" t="s">
        <v>3619</v>
      </c>
      <c r="B85" s="20" t="s">
        <v>3096</v>
      </c>
      <c r="C85" s="20" t="s">
        <v>3620</v>
      </c>
      <c r="D85" s="20" t="s">
        <v>216</v>
      </c>
      <c r="E85" s="13">
        <v>6116</v>
      </c>
      <c r="F85" s="11">
        <v>1</v>
      </c>
      <c r="G85" s="13">
        <v>0</v>
      </c>
      <c r="H85" s="11">
        <v>0</v>
      </c>
      <c r="I85" s="13">
        <f>E85+G85</f>
        <v>6116</v>
      </c>
      <c r="J85" s="11">
        <f>F85+H85</f>
        <v>1</v>
      </c>
      <c r="K85" s="13">
        <v>0</v>
      </c>
      <c r="L85" s="11">
        <v>0</v>
      </c>
      <c r="M85" s="11">
        <v>2</v>
      </c>
      <c r="N85" s="13">
        <v>0</v>
      </c>
      <c r="O85" s="11">
        <v>0</v>
      </c>
      <c r="P85" s="11">
        <v>0</v>
      </c>
      <c r="Q85" s="13">
        <f>K85+N85</f>
        <v>0</v>
      </c>
      <c r="R85" s="11">
        <f>L85+O85</f>
        <v>0</v>
      </c>
      <c r="S85" s="11">
        <f>M85+P85</f>
        <v>2</v>
      </c>
      <c r="T85" s="8">
        <f>I85-Q85</f>
        <v>6116</v>
      </c>
      <c r="U85" s="18">
        <v>0.25682467651565799</v>
      </c>
      <c r="V85" s="11">
        <v>0.25</v>
      </c>
      <c r="W85" s="11">
        <v>2</v>
      </c>
      <c r="X85" s="11">
        <v>6</v>
      </c>
      <c r="Y85" s="11">
        <v>0</v>
      </c>
    </row>
    <row r="86" spans="1:25" x14ac:dyDescent="0.25">
      <c r="A86" s="20" t="s">
        <v>3641</v>
      </c>
      <c r="B86" s="20" t="s">
        <v>60</v>
      </c>
      <c r="C86" s="20" t="s">
        <v>3642</v>
      </c>
      <c r="D86" s="20" t="s">
        <v>216</v>
      </c>
      <c r="E86" s="13">
        <v>14424</v>
      </c>
      <c r="F86" s="11">
        <v>0</v>
      </c>
      <c r="G86" s="13">
        <v>0</v>
      </c>
      <c r="H86" s="11">
        <v>0</v>
      </c>
      <c r="I86" s="13">
        <f>E86+G86</f>
        <v>14424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14424</v>
      </c>
      <c r="U86" s="18">
        <v>0.12276155257257665</v>
      </c>
      <c r="V86" s="11">
        <v>0</v>
      </c>
      <c r="W86" s="11">
        <v>0</v>
      </c>
      <c r="X86" s="11">
        <v>0</v>
      </c>
      <c r="Y86" s="11">
        <v>0</v>
      </c>
    </row>
    <row r="87" spans="1:25" x14ac:dyDescent="0.25">
      <c r="A87" s="20" t="s">
        <v>3643</v>
      </c>
      <c r="B87" s="20" t="s">
        <v>60</v>
      </c>
      <c r="C87" s="20" t="s">
        <v>3644</v>
      </c>
      <c r="D87" s="20" t="s">
        <v>216</v>
      </c>
      <c r="E87" s="13">
        <v>0</v>
      </c>
      <c r="F87" s="11">
        <v>0</v>
      </c>
      <c r="G87" s="13">
        <v>0</v>
      </c>
      <c r="H87" s="11">
        <v>0</v>
      </c>
      <c r="I87" s="13">
        <f>E87+G87</f>
        <v>0</v>
      </c>
      <c r="J87" s="11">
        <f>F87+H87</f>
        <v>0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0</v>
      </c>
      <c r="U87" s="18">
        <v>0.16291321250193089</v>
      </c>
      <c r="V87" s="11">
        <v>0</v>
      </c>
      <c r="W87" s="11">
        <v>0</v>
      </c>
      <c r="X87" s="11">
        <v>0</v>
      </c>
      <c r="Y87" s="11">
        <v>0</v>
      </c>
    </row>
    <row r="88" spans="1:25" x14ac:dyDescent="0.25">
      <c r="A88" s="20" t="s">
        <v>3645</v>
      </c>
      <c r="B88" s="20" t="s">
        <v>60</v>
      </c>
      <c r="C88" s="20" t="s">
        <v>3646</v>
      </c>
      <c r="D88" s="20" t="s">
        <v>216</v>
      </c>
      <c r="E88" s="13">
        <v>28518.74</v>
      </c>
      <c r="F88" s="11">
        <v>0</v>
      </c>
      <c r="G88" s="13">
        <v>0</v>
      </c>
      <c r="H88" s="11">
        <v>0</v>
      </c>
      <c r="I88" s="13">
        <f>E88+G88</f>
        <v>28518.74</v>
      </c>
      <c r="J88" s="11">
        <f>F88+H88</f>
        <v>0</v>
      </c>
      <c r="K88" s="13">
        <v>0</v>
      </c>
      <c r="L88" s="11">
        <v>0</v>
      </c>
      <c r="M88" s="11">
        <v>0</v>
      </c>
      <c r="N88" s="13">
        <v>0</v>
      </c>
      <c r="O88" s="11">
        <v>0</v>
      </c>
      <c r="P88" s="11">
        <v>0</v>
      </c>
      <c r="Q88" s="13">
        <f>K88+N88</f>
        <v>0</v>
      </c>
      <c r="R88" s="11">
        <f>L88+O88</f>
        <v>0</v>
      </c>
      <c r="S88" s="11">
        <f>M88+P88</f>
        <v>0</v>
      </c>
      <c r="T88" s="8">
        <f>I88-Q88</f>
        <v>28518.74</v>
      </c>
      <c r="U88" s="18">
        <v>0.19235281079883018</v>
      </c>
      <c r="V88" s="11">
        <v>0</v>
      </c>
      <c r="W88" s="11">
        <v>0</v>
      </c>
      <c r="X88" s="11">
        <v>0</v>
      </c>
      <c r="Y88" s="11">
        <v>0</v>
      </c>
    </row>
    <row r="89" spans="1:25" x14ac:dyDescent="0.25">
      <c r="A89" s="20" t="s">
        <v>3665</v>
      </c>
      <c r="B89" s="20" t="s">
        <v>77</v>
      </c>
      <c r="C89" s="20" t="s">
        <v>705</v>
      </c>
      <c r="D89" s="20" t="s">
        <v>216</v>
      </c>
      <c r="E89" s="13">
        <v>0</v>
      </c>
      <c r="F89" s="11">
        <v>0</v>
      </c>
      <c r="G89" s="13">
        <v>0</v>
      </c>
      <c r="H89" s="11">
        <v>0</v>
      </c>
      <c r="I89" s="13">
        <f>E89+G89</f>
        <v>0</v>
      </c>
      <c r="J89" s="11">
        <f>F89+H89</f>
        <v>0</v>
      </c>
      <c r="K89" s="13">
        <v>0</v>
      </c>
      <c r="L89" s="11">
        <v>0</v>
      </c>
      <c r="M89" s="11">
        <v>0</v>
      </c>
      <c r="N89" s="13">
        <v>0</v>
      </c>
      <c r="O89" s="11">
        <v>0</v>
      </c>
      <c r="P89" s="11">
        <v>0</v>
      </c>
      <c r="Q89" s="13">
        <f>K89+N89</f>
        <v>0</v>
      </c>
      <c r="R89" s="11">
        <f>L89+O89</f>
        <v>0</v>
      </c>
      <c r="S89" s="11">
        <f>M89+P89</f>
        <v>0</v>
      </c>
      <c r="T89" s="8">
        <f>I89-Q89</f>
        <v>0</v>
      </c>
      <c r="U89" s="18">
        <v>1.4370575004362354</v>
      </c>
      <c r="V89" s="11">
        <v>0</v>
      </c>
      <c r="W89" s="11">
        <v>0</v>
      </c>
      <c r="X89" s="11">
        <v>0</v>
      </c>
      <c r="Y89" s="11">
        <v>0</v>
      </c>
    </row>
    <row r="90" spans="1:25" x14ac:dyDescent="0.25">
      <c r="A90" s="20" t="s">
        <v>3666</v>
      </c>
      <c r="B90" s="20" t="s">
        <v>77</v>
      </c>
      <c r="C90" s="20" t="s">
        <v>678</v>
      </c>
      <c r="D90" s="20" t="s">
        <v>216</v>
      </c>
      <c r="E90" s="13">
        <v>7500</v>
      </c>
      <c r="F90" s="11">
        <v>0</v>
      </c>
      <c r="G90" s="13">
        <v>16500</v>
      </c>
      <c r="H90" s="11">
        <v>0</v>
      </c>
      <c r="I90" s="13">
        <f>E90+G90</f>
        <v>24000</v>
      </c>
      <c r="J90" s="11">
        <f>F90+H90</f>
        <v>0</v>
      </c>
      <c r="K90" s="13">
        <v>0</v>
      </c>
      <c r="L90" s="11">
        <v>0</v>
      </c>
      <c r="M90" s="11">
        <v>0</v>
      </c>
      <c r="N90" s="13">
        <v>0</v>
      </c>
      <c r="O90" s="11">
        <v>0</v>
      </c>
      <c r="P90" s="11">
        <v>1</v>
      </c>
      <c r="Q90" s="13">
        <f>K90+N90</f>
        <v>0</v>
      </c>
      <c r="R90" s="11">
        <f>L90+O90</f>
        <v>0</v>
      </c>
      <c r="S90" s="11">
        <f>M90+P90</f>
        <v>1</v>
      </c>
      <c r="T90" s="8">
        <f>I90-Q90</f>
        <v>24000</v>
      </c>
      <c r="U90" s="18">
        <v>0.36207929974844538</v>
      </c>
      <c r="V90" s="11">
        <v>0</v>
      </c>
      <c r="W90" s="11">
        <v>0</v>
      </c>
      <c r="X90" s="11">
        <v>0</v>
      </c>
      <c r="Y90" s="11">
        <v>0</v>
      </c>
    </row>
    <row r="91" spans="1:25" x14ac:dyDescent="0.25">
      <c r="A91" s="20" t="s">
        <v>805</v>
      </c>
      <c r="B91" s="20" t="s">
        <v>60</v>
      </c>
      <c r="C91" s="20" t="s">
        <v>806</v>
      </c>
      <c r="D91" s="20" t="s">
        <v>216</v>
      </c>
      <c r="E91" s="13">
        <v>10208</v>
      </c>
      <c r="F91" s="11">
        <v>0</v>
      </c>
      <c r="G91" s="13">
        <v>0</v>
      </c>
      <c r="H91" s="11">
        <v>0</v>
      </c>
      <c r="I91" s="13">
        <f>E91+G91</f>
        <v>10208</v>
      </c>
      <c r="J91" s="11">
        <f>F91+H91</f>
        <v>0</v>
      </c>
      <c r="K91" s="13">
        <v>10615</v>
      </c>
      <c r="L91" s="11">
        <v>0</v>
      </c>
      <c r="M91" s="11">
        <v>0</v>
      </c>
      <c r="N91" s="13">
        <v>0</v>
      </c>
      <c r="O91" s="11">
        <v>0</v>
      </c>
      <c r="P91" s="11">
        <v>0</v>
      </c>
      <c r="Q91" s="13">
        <f>K91+N91</f>
        <v>10615</v>
      </c>
      <c r="R91" s="11">
        <f>L91+O91</f>
        <v>0</v>
      </c>
      <c r="S91" s="11">
        <f>M91+P91</f>
        <v>0</v>
      </c>
      <c r="T91" s="8">
        <f>I91-Q91</f>
        <v>-407</v>
      </c>
      <c r="U91" s="18">
        <v>4.5634854972481174E-2</v>
      </c>
      <c r="V91" s="11">
        <v>0</v>
      </c>
      <c r="W91" s="11">
        <v>0</v>
      </c>
      <c r="X91" s="11">
        <v>0</v>
      </c>
      <c r="Y91" s="11">
        <v>0</v>
      </c>
    </row>
    <row r="92" spans="1:25" x14ac:dyDescent="0.25">
      <c r="A92" s="20" t="s">
        <v>1805</v>
      </c>
      <c r="B92" s="20"/>
      <c r="C92" s="20"/>
      <c r="D92" s="20"/>
      <c r="E92" s="13">
        <f>SUBTOTAL(109,TableMHL[YTD WP])</f>
        <v>735632.8600000001</v>
      </c>
      <c r="F92" s="11">
        <f>SUBTOTAL(109,TableMHL[YTD NB '#])</f>
        <v>8</v>
      </c>
      <c r="G92" s="13">
        <f>SUBTOTAL(109,TableMHL[[YTD WP ]])</f>
        <v>901626.33000000007</v>
      </c>
      <c r="H92" s="11">
        <f>SUBTOTAL(109,TableMHL[YTD NB '# ])</f>
        <v>3</v>
      </c>
      <c r="I92" s="13">
        <f>SUBTOTAL(109,TableMHL[[YTD WP  ]])</f>
        <v>1637259.1900000002</v>
      </c>
      <c r="J92" s="11">
        <f>SUBTOTAL(109,TableMHL[YTD NB '#  ])</f>
        <v>11</v>
      </c>
      <c r="K92" s="13">
        <f>SUBTOTAL(109,TableMHL[PYTD WP])</f>
        <v>891110.29</v>
      </c>
      <c r="L92" s="11">
        <f>SUBTOTAL(109,TableMHL[PYTD NB '#])</f>
        <v>12</v>
      </c>
      <c r="M92" s="11">
        <f>SUBTOTAL(109,TableMHL[PY Total NB '#])</f>
        <v>69</v>
      </c>
      <c r="N92" s="13">
        <f>SUBTOTAL(109,TableMHL[[PYTD WP ]])</f>
        <v>967229.41</v>
      </c>
      <c r="O92" s="11">
        <f>SUBTOTAL(109,TableMHL[PYTD NB '# ])</f>
        <v>10</v>
      </c>
      <c r="P92" s="11">
        <f>SUBTOTAL(109,TableMHL[PY Total NB '# ])</f>
        <v>61</v>
      </c>
      <c r="Q92" s="13">
        <f>SUBTOTAL(109,TableMHL[[PYTD WP  ]])</f>
        <v>1858339.7</v>
      </c>
      <c r="R92" s="11">
        <f>SUBTOTAL(109,TableMHL[PYTD NB '#  ])</f>
        <v>22</v>
      </c>
      <c r="S92" s="11">
        <f>SUBTOTAL(109,TableMHL[PY Total NB '#  ])</f>
        <v>130</v>
      </c>
      <c r="T92" s="8">
        <f>SUBTOTAL(109,TableMHL[Premium Change])</f>
        <v>-221080.51000000007</v>
      </c>
      <c r="V92" s="11">
        <f>ROUND(SUM(TableMHL[12 Mo Bound])/SUM(TableMHL[12 Mo Quoted])+ SUM(TableMHL[12 Mo Bound]), 2)</f>
        <v>125.4</v>
      </c>
      <c r="W92" s="11">
        <f>SUBTOTAL(109,TableMHL[12 Mo Bound])</f>
        <v>125</v>
      </c>
      <c r="X92" s="11">
        <f>SUBTOTAL(109,TableMHL[12 Mo Quoted])</f>
        <v>313</v>
      </c>
      <c r="Y92" s="11">
        <f>SUBTOTAL(109,TableMHL[12 Mo Declined])</f>
        <v>78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DE68B-3501-44BB-B79F-09A584FE1A55}">
  <sheetPr>
    <pageSetUpPr fitToPage="1"/>
  </sheetPr>
  <dimension ref="A1:Z39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42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808</v>
      </c>
      <c r="B7" s="20" t="s">
        <v>60</v>
      </c>
      <c r="C7" s="20" t="s">
        <v>809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0</v>
      </c>
      <c r="O7" s="11">
        <v>0</v>
      </c>
      <c r="P7" s="11">
        <v>0</v>
      </c>
      <c r="Q7" s="13">
        <f>K7+N7</f>
        <v>0</v>
      </c>
      <c r="R7" s="11">
        <f>L7+O7</f>
        <v>0</v>
      </c>
      <c r="S7" s="11">
        <f>M7+P7</f>
        <v>0</v>
      </c>
      <c r="T7" s="8">
        <f>I7-Q7</f>
        <v>0</v>
      </c>
      <c r="U7" s="18" t="s">
        <v>1803</v>
      </c>
      <c r="V7" s="11">
        <v>0</v>
      </c>
      <c r="W7" s="11">
        <v>0</v>
      </c>
      <c r="X7" s="11">
        <v>0</v>
      </c>
      <c r="Y7" s="11">
        <v>0</v>
      </c>
    </row>
    <row r="8" spans="1:26" x14ac:dyDescent="0.25">
      <c r="A8" s="20" t="s">
        <v>810</v>
      </c>
      <c r="B8" s="20" t="s">
        <v>60</v>
      </c>
      <c r="C8" s="20" t="s">
        <v>811</v>
      </c>
      <c r="D8" s="20" t="s">
        <v>216</v>
      </c>
      <c r="E8" s="13">
        <v>0</v>
      </c>
      <c r="F8" s="11">
        <v>0</v>
      </c>
      <c r="G8" s="13">
        <v>0</v>
      </c>
      <c r="H8" s="11">
        <v>0</v>
      </c>
      <c r="I8" s="13">
        <f>E8+G8</f>
        <v>0</v>
      </c>
      <c r="J8" s="11">
        <f>F8+H8</f>
        <v>0</v>
      </c>
      <c r="K8" s="13">
        <v>0</v>
      </c>
      <c r="L8" s="11">
        <v>0</v>
      </c>
      <c r="M8" s="11">
        <v>0</v>
      </c>
      <c r="N8" s="13">
        <v>0</v>
      </c>
      <c r="O8" s="11">
        <v>0</v>
      </c>
      <c r="P8" s="11">
        <v>0</v>
      </c>
      <c r="Q8" s="13">
        <f>K8+N8</f>
        <v>0</v>
      </c>
      <c r="R8" s="11">
        <f>L8+O8</f>
        <v>0</v>
      </c>
      <c r="S8" s="11">
        <f>M8+P8</f>
        <v>0</v>
      </c>
      <c r="T8" s="8">
        <f>I8-Q8</f>
        <v>0</v>
      </c>
      <c r="U8" s="18" t="s">
        <v>1803</v>
      </c>
      <c r="V8" s="11">
        <v>0</v>
      </c>
      <c r="W8" s="11">
        <v>0</v>
      </c>
      <c r="X8" s="11">
        <v>0</v>
      </c>
      <c r="Y8" s="11">
        <v>0</v>
      </c>
    </row>
    <row r="9" spans="1:26" x14ac:dyDescent="0.25">
      <c r="A9" s="20" t="s">
        <v>812</v>
      </c>
      <c r="B9" s="20" t="s">
        <v>60</v>
      </c>
      <c r="C9" s="20" t="s">
        <v>813</v>
      </c>
      <c r="D9" s="20" t="s">
        <v>216</v>
      </c>
      <c r="E9" s="13">
        <v>0</v>
      </c>
      <c r="F9" s="11">
        <v>0</v>
      </c>
      <c r="G9" s="13">
        <v>0</v>
      </c>
      <c r="H9" s="11">
        <v>0</v>
      </c>
      <c r="I9" s="13">
        <f>E9+G9</f>
        <v>0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0</v>
      </c>
      <c r="O9" s="11">
        <v>0</v>
      </c>
      <c r="P9" s="11">
        <v>0</v>
      </c>
      <c r="Q9" s="13">
        <f>K9+N9</f>
        <v>0</v>
      </c>
      <c r="R9" s="11">
        <f>L9+O9</f>
        <v>0</v>
      </c>
      <c r="S9" s="11">
        <f>M9+P9</f>
        <v>0</v>
      </c>
      <c r="T9" s="8">
        <f>I9-Q9</f>
        <v>0</v>
      </c>
      <c r="U9" s="18" t="s">
        <v>1803</v>
      </c>
      <c r="V9" s="11">
        <v>0</v>
      </c>
      <c r="W9" s="11">
        <v>0</v>
      </c>
      <c r="X9" s="11">
        <v>0</v>
      </c>
      <c r="Y9" s="11">
        <v>0</v>
      </c>
    </row>
    <row r="10" spans="1:26" x14ac:dyDescent="0.25">
      <c r="A10" s="20" t="s">
        <v>814</v>
      </c>
      <c r="B10" s="20" t="s">
        <v>814</v>
      </c>
      <c r="C10" s="20" t="s">
        <v>815</v>
      </c>
      <c r="D10" s="20" t="s">
        <v>216</v>
      </c>
      <c r="E10" s="13">
        <v>630.29</v>
      </c>
      <c r="F10" s="11">
        <v>0</v>
      </c>
      <c r="G10" s="13">
        <v>0</v>
      </c>
      <c r="H10" s="11">
        <v>0</v>
      </c>
      <c r="I10" s="13">
        <f>E10+G10</f>
        <v>630.29</v>
      </c>
      <c r="J10" s="11">
        <f>F10+H10</f>
        <v>0</v>
      </c>
      <c r="K10" s="13">
        <v>1349</v>
      </c>
      <c r="L10" s="11">
        <v>1</v>
      </c>
      <c r="M10" s="11">
        <v>1</v>
      </c>
      <c r="N10" s="13">
        <v>0</v>
      </c>
      <c r="O10" s="11">
        <v>0</v>
      </c>
      <c r="P10" s="11">
        <v>0</v>
      </c>
      <c r="Q10" s="13">
        <f>K10+N10</f>
        <v>1349</v>
      </c>
      <c r="R10" s="11">
        <f>L10+O10</f>
        <v>1</v>
      </c>
      <c r="S10" s="11">
        <f>M10+P10</f>
        <v>1</v>
      </c>
      <c r="T10" s="8">
        <f>I10-Q10</f>
        <v>-718.71</v>
      </c>
      <c r="U10" s="18">
        <v>-0.26188372808013832</v>
      </c>
      <c r="V10" s="11">
        <v>0</v>
      </c>
      <c r="W10" s="11">
        <v>0</v>
      </c>
      <c r="X10" s="11">
        <v>17</v>
      </c>
      <c r="Y10" s="11">
        <v>1</v>
      </c>
    </row>
    <row r="11" spans="1:26" x14ac:dyDescent="0.25">
      <c r="A11" s="20" t="s">
        <v>818</v>
      </c>
      <c r="B11" s="20" t="s">
        <v>60</v>
      </c>
      <c r="C11" s="20" t="s">
        <v>819</v>
      </c>
      <c r="D11" s="20" t="s">
        <v>216</v>
      </c>
      <c r="E11" s="13">
        <v>2885.63</v>
      </c>
      <c r="F11" s="11">
        <v>0</v>
      </c>
      <c r="G11" s="13">
        <v>0</v>
      </c>
      <c r="H11" s="11">
        <v>0</v>
      </c>
      <c r="I11" s="13">
        <f>E11+G11</f>
        <v>2885.63</v>
      </c>
      <c r="J11" s="11">
        <f>F11+H11</f>
        <v>0</v>
      </c>
      <c r="K11" s="13">
        <v>4477</v>
      </c>
      <c r="L11" s="11">
        <v>0</v>
      </c>
      <c r="M11" s="11">
        <v>0</v>
      </c>
      <c r="N11" s="13">
        <v>0</v>
      </c>
      <c r="O11" s="11">
        <v>0</v>
      </c>
      <c r="P11" s="11">
        <v>0</v>
      </c>
      <c r="Q11" s="13">
        <f>K11+N11</f>
        <v>4477</v>
      </c>
      <c r="R11" s="11">
        <f>L11+O11</f>
        <v>0</v>
      </c>
      <c r="S11" s="11">
        <f>M11+P11</f>
        <v>0</v>
      </c>
      <c r="T11" s="8">
        <f>I11-Q11</f>
        <v>-1591.37</v>
      </c>
      <c r="U11" s="18">
        <v>-0.39927121037550262</v>
      </c>
      <c r="V11" s="11">
        <v>0</v>
      </c>
      <c r="W11" s="11">
        <v>0</v>
      </c>
      <c r="X11" s="11">
        <v>0</v>
      </c>
      <c r="Y11" s="11">
        <v>0</v>
      </c>
    </row>
    <row r="12" spans="1:26" x14ac:dyDescent="0.25">
      <c r="A12" s="20" t="s">
        <v>820</v>
      </c>
      <c r="B12" s="20" t="s">
        <v>60</v>
      </c>
      <c r="C12" s="20" t="s">
        <v>821</v>
      </c>
      <c r="D12" s="20" t="s">
        <v>216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0</v>
      </c>
      <c r="R12" s="11">
        <f>L12+O12</f>
        <v>0</v>
      </c>
      <c r="S12" s="11">
        <f>M12+P12</f>
        <v>0</v>
      </c>
      <c r="T12" s="8">
        <f>I12-Q12</f>
        <v>0</v>
      </c>
      <c r="U12" s="18">
        <v>-1.4357903450351808</v>
      </c>
      <c r="V12" s="11">
        <v>0</v>
      </c>
      <c r="W12" s="11">
        <v>0</v>
      </c>
      <c r="X12" s="11">
        <v>0</v>
      </c>
      <c r="Y12" s="11">
        <v>0</v>
      </c>
    </row>
    <row r="13" spans="1:26" x14ac:dyDescent="0.25">
      <c r="A13" s="20" t="s">
        <v>822</v>
      </c>
      <c r="B13" s="20" t="s">
        <v>60</v>
      </c>
      <c r="C13" s="20" t="s">
        <v>823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0</v>
      </c>
      <c r="R13" s="11">
        <f>L13+O13</f>
        <v>0</v>
      </c>
      <c r="S13" s="11">
        <f>M13+P13</f>
        <v>0</v>
      </c>
      <c r="T13" s="8">
        <f>I13-Q13</f>
        <v>0</v>
      </c>
      <c r="U13" s="18">
        <v>4.5604835701991711</v>
      </c>
      <c r="V13" s="11">
        <v>0</v>
      </c>
      <c r="W13" s="11">
        <v>0</v>
      </c>
      <c r="X13" s="11">
        <v>0</v>
      </c>
      <c r="Y13" s="11">
        <v>0</v>
      </c>
    </row>
    <row r="14" spans="1:26" x14ac:dyDescent="0.25">
      <c r="A14" s="20" t="s">
        <v>824</v>
      </c>
      <c r="B14" s="20" t="s">
        <v>60</v>
      </c>
      <c r="C14" s="20" t="s">
        <v>825</v>
      </c>
      <c r="D14" s="20" t="s">
        <v>216</v>
      </c>
      <c r="E14" s="13">
        <v>0</v>
      </c>
      <c r="F14" s="11">
        <v>0</v>
      </c>
      <c r="G14" s="13">
        <v>0</v>
      </c>
      <c r="H14" s="11">
        <v>0</v>
      </c>
      <c r="I14" s="13">
        <f>E14+G14</f>
        <v>0</v>
      </c>
      <c r="J14" s="11">
        <f>F14+H14</f>
        <v>0</v>
      </c>
      <c r="K14" s="13">
        <v>0</v>
      </c>
      <c r="L14" s="11">
        <v>0</v>
      </c>
      <c r="M14" s="11">
        <v>0</v>
      </c>
      <c r="N14" s="13">
        <v>0</v>
      </c>
      <c r="O14" s="11">
        <v>0</v>
      </c>
      <c r="P14" s="11">
        <v>0</v>
      </c>
      <c r="Q14" s="13">
        <f>K14+N14</f>
        <v>0</v>
      </c>
      <c r="R14" s="11">
        <f>L14+O14</f>
        <v>0</v>
      </c>
      <c r="S14" s="11">
        <f>M14+P14</f>
        <v>0</v>
      </c>
      <c r="T14" s="8">
        <f>I14-Q14</f>
        <v>0</v>
      </c>
      <c r="U14" s="18" t="s">
        <v>1803</v>
      </c>
      <c r="V14" s="11">
        <v>0</v>
      </c>
      <c r="W14" s="11">
        <v>0</v>
      </c>
      <c r="X14" s="11">
        <v>0</v>
      </c>
      <c r="Y14" s="11">
        <v>0</v>
      </c>
    </row>
    <row r="15" spans="1:26" x14ac:dyDescent="0.25">
      <c r="A15" s="20" t="s">
        <v>826</v>
      </c>
      <c r="B15" s="20" t="s">
        <v>60</v>
      </c>
      <c r="C15" s="20" t="s">
        <v>827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>
        <v>-1.3260002658513892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828</v>
      </c>
      <c r="B16" s="20" t="s">
        <v>60</v>
      </c>
      <c r="C16" s="20" t="s">
        <v>829</v>
      </c>
      <c r="D16" s="20" t="s">
        <v>216</v>
      </c>
      <c r="E16" s="13">
        <v>0</v>
      </c>
      <c r="F16" s="11">
        <v>0</v>
      </c>
      <c r="G16" s="13">
        <v>0</v>
      </c>
      <c r="H16" s="11">
        <v>0</v>
      </c>
      <c r="I16" s="13">
        <f>E16+G16</f>
        <v>0</v>
      </c>
      <c r="J16" s="11">
        <f>F16+H16</f>
        <v>0</v>
      </c>
      <c r="K16" s="13">
        <v>0</v>
      </c>
      <c r="L16" s="11">
        <v>0</v>
      </c>
      <c r="M16" s="11">
        <v>0</v>
      </c>
      <c r="N16" s="13">
        <v>0</v>
      </c>
      <c r="O16" s="11">
        <v>0</v>
      </c>
      <c r="P16" s="11">
        <v>0</v>
      </c>
      <c r="Q16" s="13">
        <f>K16+N16</f>
        <v>0</v>
      </c>
      <c r="R16" s="11">
        <f>L16+O16</f>
        <v>0</v>
      </c>
      <c r="S16" s="11">
        <f>M16+P16</f>
        <v>0</v>
      </c>
      <c r="T16" s="8">
        <f>I16-Q16</f>
        <v>0</v>
      </c>
      <c r="U16" s="18" t="s">
        <v>1803</v>
      </c>
      <c r="V16" s="11">
        <v>0</v>
      </c>
      <c r="W16" s="11">
        <v>0</v>
      </c>
      <c r="X16" s="11">
        <v>0</v>
      </c>
      <c r="Y16" s="11">
        <v>0</v>
      </c>
    </row>
    <row r="17" spans="1:25" x14ac:dyDescent="0.25">
      <c r="A17" s="20" t="s">
        <v>830</v>
      </c>
      <c r="B17" s="20" t="s">
        <v>60</v>
      </c>
      <c r="C17" s="20" t="s">
        <v>831</v>
      </c>
      <c r="D17" s="20" t="s">
        <v>216</v>
      </c>
      <c r="E17" s="13">
        <v>0</v>
      </c>
      <c r="F17" s="11">
        <v>0</v>
      </c>
      <c r="G17" s="13">
        <v>0</v>
      </c>
      <c r="H17" s="11">
        <v>0</v>
      </c>
      <c r="I17" s="13">
        <f>E17+G17</f>
        <v>0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0</v>
      </c>
      <c r="O17" s="11">
        <v>0</v>
      </c>
      <c r="P17" s="11">
        <v>0</v>
      </c>
      <c r="Q17" s="13">
        <f>K17+N17</f>
        <v>0</v>
      </c>
      <c r="R17" s="11">
        <f>L17+O17</f>
        <v>0</v>
      </c>
      <c r="S17" s="11">
        <f>M17+P17</f>
        <v>0</v>
      </c>
      <c r="T17" s="8">
        <f>I17-Q17</f>
        <v>0</v>
      </c>
      <c r="U17" s="18" t="s">
        <v>1803</v>
      </c>
      <c r="V17" s="11">
        <v>0</v>
      </c>
      <c r="W17" s="11">
        <v>0</v>
      </c>
      <c r="X17" s="11">
        <v>0</v>
      </c>
      <c r="Y17" s="11">
        <v>0</v>
      </c>
    </row>
    <row r="18" spans="1:25" x14ac:dyDescent="0.25">
      <c r="A18" s="20" t="s">
        <v>832</v>
      </c>
      <c r="B18" s="20" t="s">
        <v>60</v>
      </c>
      <c r="C18" s="20" t="s">
        <v>833</v>
      </c>
      <c r="D18" s="20" t="s">
        <v>216</v>
      </c>
      <c r="E18" s="13">
        <v>0</v>
      </c>
      <c r="F18" s="11">
        <v>0</v>
      </c>
      <c r="G18" s="13">
        <v>0</v>
      </c>
      <c r="H18" s="11">
        <v>0</v>
      </c>
      <c r="I18" s="13">
        <f>E18+G18</f>
        <v>0</v>
      </c>
      <c r="J18" s="11">
        <f>F18+H18</f>
        <v>0</v>
      </c>
      <c r="K18" s="13">
        <v>0</v>
      </c>
      <c r="L18" s="11">
        <v>0</v>
      </c>
      <c r="M18" s="11">
        <v>0</v>
      </c>
      <c r="N18" s="13">
        <v>0</v>
      </c>
      <c r="O18" s="11">
        <v>0</v>
      </c>
      <c r="P18" s="11">
        <v>0</v>
      </c>
      <c r="Q18" s="13">
        <f>K18+N18</f>
        <v>0</v>
      </c>
      <c r="R18" s="11">
        <f>L18+O18</f>
        <v>0</v>
      </c>
      <c r="S18" s="11">
        <f>M18+P18</f>
        <v>0</v>
      </c>
      <c r="T18" s="8">
        <f>I18-Q18</f>
        <v>0</v>
      </c>
      <c r="U18" s="18">
        <v>-4.757990427548104</v>
      </c>
      <c r="V18" s="11">
        <v>0</v>
      </c>
      <c r="W18" s="11">
        <v>0</v>
      </c>
      <c r="X18" s="11">
        <v>0</v>
      </c>
      <c r="Y18" s="11">
        <v>0</v>
      </c>
    </row>
    <row r="19" spans="1:25" x14ac:dyDescent="0.25">
      <c r="A19" s="20" t="s">
        <v>834</v>
      </c>
      <c r="B19" s="20" t="s">
        <v>60</v>
      </c>
      <c r="C19" s="20" t="s">
        <v>835</v>
      </c>
      <c r="D19" s="20" t="s">
        <v>216</v>
      </c>
      <c r="E19" s="13">
        <v>36160</v>
      </c>
      <c r="F19" s="11">
        <v>0</v>
      </c>
      <c r="G19" s="13">
        <v>0</v>
      </c>
      <c r="H19" s="11">
        <v>0</v>
      </c>
      <c r="I19" s="13">
        <f>E19+G19</f>
        <v>36160</v>
      </c>
      <c r="J19" s="11">
        <f>F19+H19</f>
        <v>0</v>
      </c>
      <c r="K19" s="13">
        <v>34559</v>
      </c>
      <c r="L19" s="11">
        <v>0</v>
      </c>
      <c r="M19" s="11">
        <v>0</v>
      </c>
      <c r="N19" s="13">
        <v>0</v>
      </c>
      <c r="O19" s="11">
        <v>0</v>
      </c>
      <c r="P19" s="11">
        <v>1</v>
      </c>
      <c r="Q19" s="13">
        <f>K19+N19</f>
        <v>34559</v>
      </c>
      <c r="R19" s="11">
        <f>L19+O19</f>
        <v>0</v>
      </c>
      <c r="S19" s="11">
        <f>M19+P19</f>
        <v>1</v>
      </c>
      <c r="T19" s="8">
        <f>I19-Q19</f>
        <v>1601</v>
      </c>
      <c r="U19" s="18">
        <v>-0.43365132144472224</v>
      </c>
      <c r="V19" s="11">
        <v>0.17</v>
      </c>
      <c r="W19" s="11">
        <v>1</v>
      </c>
      <c r="X19" s="11">
        <v>5</v>
      </c>
      <c r="Y19" s="11">
        <v>0</v>
      </c>
    </row>
    <row r="20" spans="1:25" x14ac:dyDescent="0.25">
      <c r="A20" s="20" t="s">
        <v>836</v>
      </c>
      <c r="B20" s="20" t="s">
        <v>77</v>
      </c>
      <c r="C20" s="20" t="s">
        <v>837</v>
      </c>
      <c r="D20" s="20" t="s">
        <v>216</v>
      </c>
      <c r="E20" s="13">
        <v>7920.57</v>
      </c>
      <c r="F20" s="11">
        <v>2</v>
      </c>
      <c r="G20" s="13">
        <v>0</v>
      </c>
      <c r="H20" s="11">
        <v>0</v>
      </c>
      <c r="I20" s="13">
        <f>E20+G20</f>
        <v>7920.57</v>
      </c>
      <c r="J20" s="11">
        <f>F20+H20</f>
        <v>2</v>
      </c>
      <c r="K20" s="13">
        <v>0</v>
      </c>
      <c r="L20" s="11">
        <v>0</v>
      </c>
      <c r="M20" s="11">
        <v>3</v>
      </c>
      <c r="N20" s="13">
        <v>0</v>
      </c>
      <c r="O20" s="11">
        <v>0</v>
      </c>
      <c r="P20" s="11">
        <v>1</v>
      </c>
      <c r="Q20" s="13">
        <f>K20+N20</f>
        <v>0</v>
      </c>
      <c r="R20" s="11">
        <f>L20+O20</f>
        <v>0</v>
      </c>
      <c r="S20" s="11">
        <f>M20+P20</f>
        <v>4</v>
      </c>
      <c r="T20" s="8">
        <f>I20-Q20</f>
        <v>7920.57</v>
      </c>
      <c r="U20" s="18">
        <v>-2.9829466150784831E-3</v>
      </c>
      <c r="V20" s="11">
        <v>0.4</v>
      </c>
      <c r="W20" s="11">
        <v>6</v>
      </c>
      <c r="X20" s="11">
        <v>9</v>
      </c>
      <c r="Y20" s="11">
        <v>0</v>
      </c>
    </row>
    <row r="21" spans="1:25" x14ac:dyDescent="0.25">
      <c r="A21" s="20" t="s">
        <v>839</v>
      </c>
      <c r="B21" s="20" t="s">
        <v>60</v>
      </c>
      <c r="C21" s="20" t="s">
        <v>840</v>
      </c>
      <c r="D21" s="20" t="s">
        <v>216</v>
      </c>
      <c r="E21" s="13">
        <v>0</v>
      </c>
      <c r="F21" s="11">
        <v>0</v>
      </c>
      <c r="G21" s="13">
        <v>4187.5200000000004</v>
      </c>
      <c r="H21" s="11">
        <v>0</v>
      </c>
      <c r="I21" s="13">
        <f>E21+G21</f>
        <v>4187.5200000000004</v>
      </c>
      <c r="J21" s="11">
        <f>F21+H21</f>
        <v>0</v>
      </c>
      <c r="K21" s="13">
        <v>0</v>
      </c>
      <c r="L21" s="11">
        <v>0</v>
      </c>
      <c r="M21" s="11">
        <v>0</v>
      </c>
      <c r="N21" s="13">
        <v>11404.5</v>
      </c>
      <c r="O21" s="11">
        <v>1</v>
      </c>
      <c r="P21" s="11">
        <v>1</v>
      </c>
      <c r="Q21" s="13">
        <f>K21+N21</f>
        <v>11404.5</v>
      </c>
      <c r="R21" s="11">
        <f>L21+O21</f>
        <v>1</v>
      </c>
      <c r="S21" s="11">
        <f>M21+P21</f>
        <v>1</v>
      </c>
      <c r="T21" s="8">
        <f>I21-Q21</f>
        <v>-7216.98</v>
      </c>
      <c r="U21" s="18">
        <v>0.15054174923143965</v>
      </c>
      <c r="V21" s="11">
        <v>0</v>
      </c>
      <c r="W21" s="11">
        <v>0</v>
      </c>
      <c r="X21" s="11">
        <v>1</v>
      </c>
      <c r="Y21" s="11">
        <v>0</v>
      </c>
    </row>
    <row r="22" spans="1:25" x14ac:dyDescent="0.25">
      <c r="A22" s="20" t="s">
        <v>1790</v>
      </c>
      <c r="B22" s="20" t="s">
        <v>60</v>
      </c>
      <c r="C22" s="20" t="s">
        <v>1808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0</v>
      </c>
      <c r="R22" s="11">
        <f>L22+O22</f>
        <v>0</v>
      </c>
      <c r="S22" s="11">
        <f>M22+P22</f>
        <v>0</v>
      </c>
      <c r="T22" s="8">
        <f>I22-Q22</f>
        <v>0</v>
      </c>
      <c r="U22" s="18">
        <v>4.3038096299322766E-2</v>
      </c>
      <c r="V22" s="11">
        <v>0</v>
      </c>
      <c r="W22" s="11">
        <v>0</v>
      </c>
      <c r="X22" s="11">
        <v>0</v>
      </c>
      <c r="Y22" s="11">
        <v>0</v>
      </c>
    </row>
    <row r="23" spans="1:25" x14ac:dyDescent="0.25">
      <c r="A23" s="20" t="s">
        <v>842</v>
      </c>
      <c r="B23" s="20" t="s">
        <v>60</v>
      </c>
      <c r="C23" s="20" t="s">
        <v>843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0</v>
      </c>
      <c r="T23" s="8">
        <f>I23-Q23</f>
        <v>0</v>
      </c>
      <c r="U23" s="18">
        <v>1.5134975521489338</v>
      </c>
      <c r="V23" s="11">
        <v>0</v>
      </c>
      <c r="W23" s="11">
        <v>0</v>
      </c>
      <c r="X23" s="11">
        <v>1</v>
      </c>
      <c r="Y23" s="11">
        <v>0</v>
      </c>
    </row>
    <row r="24" spans="1:25" x14ac:dyDescent="0.25">
      <c r="A24" s="20" t="s">
        <v>3034</v>
      </c>
      <c r="B24" s="20" t="s">
        <v>3034</v>
      </c>
      <c r="C24" s="20" t="s">
        <v>817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>
        <v>-1.0953456056428064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3035</v>
      </c>
      <c r="B25" s="20" t="s">
        <v>60</v>
      </c>
      <c r="C25" s="20" t="s">
        <v>3036</v>
      </c>
      <c r="D25" s="20" t="s">
        <v>216</v>
      </c>
      <c r="E25" s="13">
        <v>0</v>
      </c>
      <c r="F25" s="11">
        <v>0</v>
      </c>
      <c r="G25" s="13">
        <v>31552</v>
      </c>
      <c r="H25" s="11">
        <v>0</v>
      </c>
      <c r="I25" s="13">
        <f>E25+G25</f>
        <v>31552</v>
      </c>
      <c r="J25" s="11">
        <f>F25+H25</f>
        <v>0</v>
      </c>
      <c r="K25" s="13">
        <v>0</v>
      </c>
      <c r="L25" s="11">
        <v>0</v>
      </c>
      <c r="M25" s="11">
        <v>0</v>
      </c>
      <c r="N25" s="13">
        <v>28672</v>
      </c>
      <c r="O25" s="11">
        <v>0</v>
      </c>
      <c r="P25" s="11">
        <v>0</v>
      </c>
      <c r="Q25" s="13">
        <f>K25+N25</f>
        <v>28672</v>
      </c>
      <c r="R25" s="11">
        <f>L25+O25</f>
        <v>0</v>
      </c>
      <c r="S25" s="11">
        <f>M25+P25</f>
        <v>0</v>
      </c>
      <c r="T25" s="8">
        <f>I25-Q25</f>
        <v>2880</v>
      </c>
      <c r="U25" s="18">
        <v>9.7795452755801399E-2</v>
      </c>
      <c r="V25" s="11">
        <v>0</v>
      </c>
      <c r="W25" s="11">
        <v>0</v>
      </c>
      <c r="X25" s="11">
        <v>0</v>
      </c>
      <c r="Y25" s="11">
        <v>0</v>
      </c>
    </row>
    <row r="26" spans="1:25" x14ac:dyDescent="0.25">
      <c r="A26" s="20" t="s">
        <v>3073</v>
      </c>
      <c r="B26" s="20" t="s">
        <v>60</v>
      </c>
      <c r="C26" s="20" t="s">
        <v>3074</v>
      </c>
      <c r="D26" s="20" t="s">
        <v>216</v>
      </c>
      <c r="E26" s="13">
        <v>0</v>
      </c>
      <c r="F26" s="11">
        <v>0</v>
      </c>
      <c r="G26" s="13">
        <v>0</v>
      </c>
      <c r="H26" s="11">
        <v>0</v>
      </c>
      <c r="I26" s="13">
        <f>E26+G26</f>
        <v>0</v>
      </c>
      <c r="J26" s="11">
        <f>F26+H26</f>
        <v>0</v>
      </c>
      <c r="K26" s="13">
        <v>6858</v>
      </c>
      <c r="L26" s="11">
        <v>0</v>
      </c>
      <c r="M26" s="11">
        <v>0</v>
      </c>
      <c r="N26" s="13">
        <v>6527.75</v>
      </c>
      <c r="O26" s="11">
        <v>1</v>
      </c>
      <c r="P26" s="11">
        <v>1</v>
      </c>
      <c r="Q26" s="13">
        <f>K26+N26</f>
        <v>13385.75</v>
      </c>
      <c r="R26" s="11">
        <f>L26+O26</f>
        <v>1</v>
      </c>
      <c r="S26" s="11">
        <f>M26+P26</f>
        <v>1</v>
      </c>
      <c r="T26" s="8">
        <f>I26-Q26</f>
        <v>-13385.75</v>
      </c>
      <c r="U26" s="18">
        <v>0.13181811891756251</v>
      </c>
      <c r="V26" s="11">
        <v>0</v>
      </c>
      <c r="W26" s="11">
        <v>0</v>
      </c>
      <c r="X26" s="11">
        <v>0</v>
      </c>
      <c r="Y26" s="11">
        <v>0</v>
      </c>
    </row>
    <row r="27" spans="1:25" x14ac:dyDescent="0.25">
      <c r="A27" s="20" t="s">
        <v>3130</v>
      </c>
      <c r="B27" s="20" t="s">
        <v>60</v>
      </c>
      <c r="C27" s="20" t="s">
        <v>3131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>
        <v>0.11219113692664921</v>
      </c>
      <c r="V27" s="11">
        <v>0</v>
      </c>
      <c r="W27" s="11">
        <v>0</v>
      </c>
      <c r="X27" s="11">
        <v>1</v>
      </c>
      <c r="Y27" s="11">
        <v>0</v>
      </c>
    </row>
    <row r="28" spans="1:25" x14ac:dyDescent="0.25">
      <c r="A28" s="20" t="s">
        <v>3140</v>
      </c>
      <c r="B28" s="20" t="s">
        <v>60</v>
      </c>
      <c r="C28" s="20" t="s">
        <v>3141</v>
      </c>
      <c r="D28" s="20" t="s">
        <v>216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0</v>
      </c>
      <c r="O28" s="11">
        <v>0</v>
      </c>
      <c r="P28" s="11">
        <v>0</v>
      </c>
      <c r="Q28" s="13">
        <f>K28+N28</f>
        <v>0</v>
      </c>
      <c r="R28" s="11">
        <f>L28+O28</f>
        <v>0</v>
      </c>
      <c r="S28" s="11">
        <f>M28+P28</f>
        <v>0</v>
      </c>
      <c r="T28" s="8">
        <f>I28-Q28</f>
        <v>0</v>
      </c>
      <c r="U28" s="18" t="s">
        <v>1803</v>
      </c>
      <c r="V28" s="11">
        <v>0</v>
      </c>
      <c r="W28" s="11">
        <v>0</v>
      </c>
      <c r="X28" s="11">
        <v>0</v>
      </c>
      <c r="Y28" s="11">
        <v>0</v>
      </c>
    </row>
    <row r="29" spans="1:25" x14ac:dyDescent="0.25">
      <c r="A29" s="20" t="s">
        <v>3196</v>
      </c>
      <c r="B29" s="20" t="s">
        <v>83</v>
      </c>
      <c r="C29" s="20" t="s">
        <v>266</v>
      </c>
      <c r="D29" s="20" t="s">
        <v>216</v>
      </c>
      <c r="E29" s="13">
        <v>0</v>
      </c>
      <c r="F29" s="11">
        <v>0</v>
      </c>
      <c r="G29" s="13">
        <v>-472.39</v>
      </c>
      <c r="H29" s="11">
        <v>0</v>
      </c>
      <c r="I29" s="13">
        <f>E29+G29</f>
        <v>-472.39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-472.39</v>
      </c>
      <c r="U29" s="18">
        <v>1.7199291758351477E-2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3215</v>
      </c>
      <c r="B30" s="20" t="s">
        <v>60</v>
      </c>
      <c r="C30" s="20" t="s">
        <v>3216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 t="s">
        <v>1803</v>
      </c>
      <c r="V30" s="11">
        <v>0</v>
      </c>
      <c r="W30" s="11">
        <v>0</v>
      </c>
      <c r="X30" s="11">
        <v>0</v>
      </c>
      <c r="Y30" s="11">
        <v>0</v>
      </c>
    </row>
    <row r="31" spans="1:25" x14ac:dyDescent="0.25">
      <c r="A31" s="20" t="s">
        <v>3218</v>
      </c>
      <c r="B31" s="20" t="s">
        <v>295</v>
      </c>
      <c r="C31" s="20" t="s">
        <v>3219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 t="s">
        <v>1803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3235</v>
      </c>
      <c r="B32" s="20" t="s">
        <v>60</v>
      </c>
      <c r="C32" s="20" t="s">
        <v>3236</v>
      </c>
      <c r="D32" s="20" t="s">
        <v>216</v>
      </c>
      <c r="E32" s="13">
        <v>0</v>
      </c>
      <c r="F32" s="11">
        <v>0</v>
      </c>
      <c r="G32" s="13">
        <v>500.25</v>
      </c>
      <c r="H32" s="11">
        <v>1</v>
      </c>
      <c r="I32" s="13">
        <f>E32+G32</f>
        <v>500.25</v>
      </c>
      <c r="J32" s="11">
        <f>F32+H32</f>
        <v>1</v>
      </c>
      <c r="K32" s="13">
        <v>785.16</v>
      </c>
      <c r="L32" s="11">
        <v>0</v>
      </c>
      <c r="M32" s="11">
        <v>1</v>
      </c>
      <c r="N32" s="13">
        <v>0</v>
      </c>
      <c r="O32" s="11">
        <v>0</v>
      </c>
      <c r="P32" s="11">
        <v>1</v>
      </c>
      <c r="Q32" s="13">
        <f>K32+N32</f>
        <v>785.16</v>
      </c>
      <c r="R32" s="11">
        <f>L32+O32</f>
        <v>0</v>
      </c>
      <c r="S32" s="11">
        <f>M32+P32</f>
        <v>2</v>
      </c>
      <c r="T32" s="8">
        <f>I32-Q32</f>
        <v>-284.90999999999997</v>
      </c>
      <c r="U32" s="18">
        <v>5.7661315481507746E-3</v>
      </c>
      <c r="V32" s="11">
        <v>0.43</v>
      </c>
      <c r="W32" s="11">
        <v>3</v>
      </c>
      <c r="X32" s="11">
        <v>4</v>
      </c>
      <c r="Y32" s="11">
        <v>0</v>
      </c>
    </row>
    <row r="33" spans="1:25" x14ac:dyDescent="0.25">
      <c r="A33" s="20" t="s">
        <v>3304</v>
      </c>
      <c r="B33" s="20" t="s">
        <v>3304</v>
      </c>
      <c r="C33" s="20" t="s">
        <v>3305</v>
      </c>
      <c r="D33" s="20" t="s">
        <v>216</v>
      </c>
      <c r="E33" s="13">
        <v>0</v>
      </c>
      <c r="F33" s="11">
        <v>0</v>
      </c>
      <c r="G33" s="13">
        <v>78310</v>
      </c>
      <c r="H33" s="11">
        <v>1</v>
      </c>
      <c r="I33" s="13">
        <f>E33+G33</f>
        <v>78310</v>
      </c>
      <c r="J33" s="11">
        <f>F33+H33</f>
        <v>1</v>
      </c>
      <c r="K33" s="13">
        <v>9316</v>
      </c>
      <c r="L33" s="11">
        <v>0</v>
      </c>
      <c r="M33" s="11">
        <v>0</v>
      </c>
      <c r="N33" s="13">
        <v>78730.17</v>
      </c>
      <c r="O33" s="11">
        <v>0</v>
      </c>
      <c r="P33" s="11">
        <v>4</v>
      </c>
      <c r="Q33" s="13">
        <f>K33+N33</f>
        <v>88046.17</v>
      </c>
      <c r="R33" s="11">
        <f>L33+O33</f>
        <v>0</v>
      </c>
      <c r="S33" s="11">
        <f>M33+P33</f>
        <v>4</v>
      </c>
      <c r="T33" s="8">
        <f>I33-Q33</f>
        <v>-9736.1699999999983</v>
      </c>
      <c r="U33" s="18">
        <v>0.19088339396149334</v>
      </c>
      <c r="V33" s="11">
        <v>0.31</v>
      </c>
      <c r="W33" s="11">
        <v>5</v>
      </c>
      <c r="X33" s="11">
        <v>11</v>
      </c>
      <c r="Y33" s="11">
        <v>0</v>
      </c>
    </row>
    <row r="34" spans="1:25" x14ac:dyDescent="0.25">
      <c r="A34" s="20" t="s">
        <v>3353</v>
      </c>
      <c r="B34" s="20" t="s">
        <v>60</v>
      </c>
      <c r="C34" s="20" t="s">
        <v>3354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1</v>
      </c>
      <c r="N34" s="13">
        <v>0</v>
      </c>
      <c r="O34" s="11">
        <v>0</v>
      </c>
      <c r="P34" s="11">
        <v>0</v>
      </c>
      <c r="Q34" s="13">
        <f>K34+N34</f>
        <v>0</v>
      </c>
      <c r="R34" s="11">
        <f>L34+O34</f>
        <v>0</v>
      </c>
      <c r="S34" s="11">
        <f>M34+P34</f>
        <v>1</v>
      </c>
      <c r="T34" s="8">
        <f>I34-Q34</f>
        <v>0</v>
      </c>
      <c r="U34" s="18">
        <v>4.0507706525951762E-3</v>
      </c>
      <c r="V34" s="11">
        <v>0.5</v>
      </c>
      <c r="W34" s="11">
        <v>1</v>
      </c>
      <c r="X34" s="11">
        <v>1</v>
      </c>
      <c r="Y34" s="11">
        <v>0</v>
      </c>
    </row>
    <row r="35" spans="1:25" x14ac:dyDescent="0.25">
      <c r="A35" s="20" t="s">
        <v>3415</v>
      </c>
      <c r="B35" s="20" t="s">
        <v>60</v>
      </c>
      <c r="C35" s="20" t="s">
        <v>3416</v>
      </c>
      <c r="D35" s="20" t="s">
        <v>216</v>
      </c>
      <c r="E35" s="13">
        <v>0</v>
      </c>
      <c r="F35" s="11">
        <v>0</v>
      </c>
      <c r="G35" s="13">
        <v>1999.5</v>
      </c>
      <c r="H35" s="11">
        <v>1</v>
      </c>
      <c r="I35" s="13">
        <f>E35+G35</f>
        <v>1999.5</v>
      </c>
      <c r="J35" s="11">
        <f>F35+H35</f>
        <v>1</v>
      </c>
      <c r="K35" s="13">
        <v>0</v>
      </c>
      <c r="L35" s="11">
        <v>0</v>
      </c>
      <c r="M35" s="11">
        <v>0</v>
      </c>
      <c r="N35" s="13">
        <v>0</v>
      </c>
      <c r="O35" s="11">
        <v>0</v>
      </c>
      <c r="P35" s="11">
        <v>0</v>
      </c>
      <c r="Q35" s="13">
        <f>K35+N35</f>
        <v>0</v>
      </c>
      <c r="R35" s="11">
        <f>L35+O35</f>
        <v>0</v>
      </c>
      <c r="S35" s="11">
        <f>M35+P35</f>
        <v>0</v>
      </c>
      <c r="T35" s="8">
        <f>I35-Q35</f>
        <v>1999.5</v>
      </c>
      <c r="U35" s="18">
        <v>0.20301852444094567</v>
      </c>
      <c r="V35" s="11">
        <v>0.2</v>
      </c>
      <c r="W35" s="11">
        <v>1</v>
      </c>
      <c r="X35" s="11">
        <v>4</v>
      </c>
      <c r="Y35" s="11">
        <v>1</v>
      </c>
    </row>
    <row r="36" spans="1:25" x14ac:dyDescent="0.25">
      <c r="A36" s="20" t="s">
        <v>3583</v>
      </c>
      <c r="B36" s="20" t="s">
        <v>60</v>
      </c>
      <c r="C36" s="20" t="s">
        <v>3584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>
        <v>0.25225074999502811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3589</v>
      </c>
      <c r="B37" s="20" t="s">
        <v>3552</v>
      </c>
      <c r="C37" s="20" t="s">
        <v>3590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0</v>
      </c>
      <c r="R37" s="11">
        <f>L37+O37</f>
        <v>0</v>
      </c>
      <c r="S37" s="11">
        <f>M37+P37</f>
        <v>0</v>
      </c>
      <c r="T37" s="8">
        <f>I37-Q37</f>
        <v>0</v>
      </c>
      <c r="U37" s="18">
        <v>-0.25924157632113715</v>
      </c>
      <c r="V37" s="11">
        <v>0</v>
      </c>
      <c r="W37" s="11">
        <v>0</v>
      </c>
      <c r="X37" s="11">
        <v>0</v>
      </c>
      <c r="Y37" s="11">
        <v>0</v>
      </c>
    </row>
    <row r="38" spans="1:25" x14ac:dyDescent="0.25">
      <c r="A38" s="20" t="s">
        <v>2973</v>
      </c>
      <c r="B38" s="20" t="s">
        <v>60</v>
      </c>
      <c r="C38" s="20" t="s">
        <v>3197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0</v>
      </c>
      <c r="R38" s="11">
        <f>L38+O38</f>
        <v>0</v>
      </c>
      <c r="S38" s="11">
        <f>M38+P38</f>
        <v>0</v>
      </c>
      <c r="T38" s="8">
        <f>I38-Q38</f>
        <v>0</v>
      </c>
      <c r="U38" s="18">
        <v>5.4475692541215162E-2</v>
      </c>
      <c r="V38" s="11">
        <v>0</v>
      </c>
      <c r="W38" s="11">
        <v>0</v>
      </c>
      <c r="X38" s="11">
        <v>0</v>
      </c>
      <c r="Y38" s="11">
        <v>0</v>
      </c>
    </row>
    <row r="39" spans="1:25" x14ac:dyDescent="0.25">
      <c r="A39" s="20" t="s">
        <v>1805</v>
      </c>
      <c r="B39" s="20"/>
      <c r="C39" s="20"/>
      <c r="D39" s="20"/>
      <c r="E39" s="13">
        <f>SUBTOTAL(109,TableMID[YTD WP])</f>
        <v>47596.49</v>
      </c>
      <c r="F39" s="11">
        <f>SUBTOTAL(109,TableMID[YTD NB '#])</f>
        <v>2</v>
      </c>
      <c r="G39" s="13">
        <f>SUBTOTAL(109,TableMID[[YTD WP ]])</f>
        <v>116076.88</v>
      </c>
      <c r="H39" s="11">
        <f>SUBTOTAL(109,TableMID[YTD NB '# ])</f>
        <v>3</v>
      </c>
      <c r="I39" s="13">
        <f>SUBTOTAL(109,TableMID[[YTD WP  ]])</f>
        <v>163673.37</v>
      </c>
      <c r="J39" s="11">
        <f>SUBTOTAL(109,TableMID[YTD NB '#  ])</f>
        <v>5</v>
      </c>
      <c r="K39" s="13">
        <f>SUBTOTAL(109,TableMID[PYTD WP])</f>
        <v>57344.160000000003</v>
      </c>
      <c r="L39" s="11">
        <f>SUBTOTAL(109,TableMID[PYTD NB '#])</f>
        <v>1</v>
      </c>
      <c r="M39" s="11">
        <f>SUBTOTAL(109,TableMID[PY Total NB '#])</f>
        <v>6</v>
      </c>
      <c r="N39" s="13">
        <f>SUBTOTAL(109,TableMID[[PYTD WP ]])</f>
        <v>125334.42</v>
      </c>
      <c r="O39" s="11">
        <f>SUBTOTAL(109,TableMID[PYTD NB '# ])</f>
        <v>2</v>
      </c>
      <c r="P39" s="11">
        <f>SUBTOTAL(109,TableMID[PY Total NB '# ])</f>
        <v>9</v>
      </c>
      <c r="Q39" s="13">
        <f>SUBTOTAL(109,TableMID[[PYTD WP  ]])</f>
        <v>182678.58000000002</v>
      </c>
      <c r="R39" s="11">
        <f>SUBTOTAL(109,TableMID[PYTD NB '#  ])</f>
        <v>3</v>
      </c>
      <c r="S39" s="11">
        <f>SUBTOTAL(109,TableMID[PY Total NB '#  ])</f>
        <v>15</v>
      </c>
      <c r="T39" s="8">
        <f>SUBTOTAL(109,TableMID[Premium Change])</f>
        <v>-19005.21</v>
      </c>
      <c r="V39" s="11">
        <f>ROUND(SUM(TableMID[12 Mo Bound])/SUM(TableMID[12 Mo Quoted])+ SUM(TableMID[12 Mo Bound]), 2)</f>
        <v>17.309999999999999</v>
      </c>
      <c r="W39" s="11">
        <f>SUBTOTAL(109,TableMID[12 Mo Bound])</f>
        <v>17</v>
      </c>
      <c r="X39" s="11">
        <f>SUBTOTAL(109,TableMID[12 Mo Quoted])</f>
        <v>54</v>
      </c>
      <c r="Y39" s="11">
        <f>SUBTOTAL(109,TableMID[12 Mo Declined])</f>
        <v>2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orientation="landscape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A3BB-C225-42C6-8C71-D412410C2576}">
  <sheetPr>
    <pageSetUpPr fitToPage="1"/>
  </sheetPr>
  <dimension ref="A1:Z92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11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848</v>
      </c>
      <c r="B7" s="20" t="s">
        <v>848</v>
      </c>
      <c r="C7" s="20" t="s">
        <v>849</v>
      </c>
      <c r="D7" s="20" t="s">
        <v>216</v>
      </c>
      <c r="E7" s="13">
        <v>28715</v>
      </c>
      <c r="F7" s="11">
        <v>0</v>
      </c>
      <c r="G7" s="13">
        <v>11638</v>
      </c>
      <c r="H7" s="11">
        <v>0</v>
      </c>
      <c r="I7" s="13">
        <f>E7+G7</f>
        <v>40353</v>
      </c>
      <c r="J7" s="11">
        <f>F7+H7</f>
        <v>0</v>
      </c>
      <c r="K7" s="13">
        <v>31380</v>
      </c>
      <c r="L7" s="11">
        <v>0</v>
      </c>
      <c r="M7" s="11">
        <v>0</v>
      </c>
      <c r="N7" s="13">
        <v>11235</v>
      </c>
      <c r="O7" s="11">
        <v>0</v>
      </c>
      <c r="P7" s="11">
        <v>0</v>
      </c>
      <c r="Q7" s="13">
        <f>K7+N7</f>
        <v>42615</v>
      </c>
      <c r="R7" s="11">
        <f>L7+O7</f>
        <v>0</v>
      </c>
      <c r="S7" s="11">
        <f>M7+P7</f>
        <v>0</v>
      </c>
      <c r="T7" s="8">
        <f>I7-Q7</f>
        <v>-2262</v>
      </c>
      <c r="U7" s="18">
        <v>0.14374994243303896</v>
      </c>
      <c r="V7" s="11">
        <v>0</v>
      </c>
      <c r="W7" s="11">
        <v>0</v>
      </c>
      <c r="X7" s="11">
        <v>6</v>
      </c>
      <c r="Y7" s="11">
        <v>0</v>
      </c>
    </row>
    <row r="8" spans="1:26" x14ac:dyDescent="0.25">
      <c r="A8" s="20" t="s">
        <v>851</v>
      </c>
      <c r="B8" s="20" t="s">
        <v>851</v>
      </c>
      <c r="C8" s="20" t="s">
        <v>852</v>
      </c>
      <c r="D8" s="20" t="s">
        <v>216</v>
      </c>
      <c r="E8" s="13">
        <v>270195.53999999998</v>
      </c>
      <c r="F8" s="11">
        <v>5</v>
      </c>
      <c r="G8" s="13">
        <v>36512.14</v>
      </c>
      <c r="H8" s="11">
        <v>2</v>
      </c>
      <c r="I8" s="13">
        <f>E8+G8</f>
        <v>306707.68</v>
      </c>
      <c r="J8" s="11">
        <f>F8+H8</f>
        <v>7</v>
      </c>
      <c r="K8" s="13">
        <v>300950.83</v>
      </c>
      <c r="L8" s="11">
        <v>0</v>
      </c>
      <c r="M8" s="11">
        <v>19</v>
      </c>
      <c r="N8" s="13">
        <v>38803.019999999997</v>
      </c>
      <c r="O8" s="11">
        <v>0</v>
      </c>
      <c r="P8" s="11">
        <v>10</v>
      </c>
      <c r="Q8" s="13">
        <f>K8+N8</f>
        <v>339753.85000000003</v>
      </c>
      <c r="R8" s="11">
        <f>L8+O8</f>
        <v>0</v>
      </c>
      <c r="S8" s="11">
        <f>M8+P8</f>
        <v>29</v>
      </c>
      <c r="T8" s="8">
        <f>I8-Q8</f>
        <v>-33046.170000000042</v>
      </c>
      <c r="U8" s="18">
        <v>0.4970475224006059</v>
      </c>
      <c r="V8" s="11">
        <v>0.54</v>
      </c>
      <c r="W8" s="11">
        <v>38</v>
      </c>
      <c r="X8" s="11">
        <v>33</v>
      </c>
      <c r="Y8" s="11">
        <v>2</v>
      </c>
    </row>
    <row r="9" spans="1:26" x14ac:dyDescent="0.25">
      <c r="A9" s="20" t="s">
        <v>853</v>
      </c>
      <c r="B9" s="20" t="s">
        <v>60</v>
      </c>
      <c r="C9" s="20" t="s">
        <v>854</v>
      </c>
      <c r="D9" s="20" t="s">
        <v>216</v>
      </c>
      <c r="E9" s="13">
        <v>-1352.61</v>
      </c>
      <c r="F9" s="11">
        <v>0</v>
      </c>
      <c r="G9" s="13">
        <v>31883.4</v>
      </c>
      <c r="H9" s="11">
        <v>0</v>
      </c>
      <c r="I9" s="13">
        <f>E9+G9</f>
        <v>30530.79</v>
      </c>
      <c r="J9" s="11">
        <f>F9+H9</f>
        <v>0</v>
      </c>
      <c r="K9" s="13">
        <v>7591.8</v>
      </c>
      <c r="L9" s="11">
        <v>5</v>
      </c>
      <c r="M9" s="11">
        <v>25</v>
      </c>
      <c r="N9" s="13">
        <v>33380.26</v>
      </c>
      <c r="O9" s="11">
        <v>5</v>
      </c>
      <c r="P9" s="11">
        <v>8</v>
      </c>
      <c r="Q9" s="13">
        <f>K9+N9</f>
        <v>40972.060000000005</v>
      </c>
      <c r="R9" s="11">
        <f>L9+O9</f>
        <v>10</v>
      </c>
      <c r="S9" s="11">
        <f>M9+P9</f>
        <v>33</v>
      </c>
      <c r="T9" s="8">
        <f>I9-Q9</f>
        <v>-10441.270000000004</v>
      </c>
      <c r="U9" s="18">
        <v>0.17430266426235982</v>
      </c>
      <c r="V9" s="11">
        <v>0.38</v>
      </c>
      <c r="W9" s="11">
        <v>23</v>
      </c>
      <c r="X9" s="11">
        <v>37</v>
      </c>
      <c r="Y9" s="11">
        <v>3</v>
      </c>
    </row>
    <row r="10" spans="1:26" x14ac:dyDescent="0.25">
      <c r="A10" s="20" t="s">
        <v>855</v>
      </c>
      <c r="B10" s="20" t="s">
        <v>60</v>
      </c>
      <c r="C10" s="20" t="s">
        <v>856</v>
      </c>
      <c r="D10" s="20" t="s">
        <v>216</v>
      </c>
      <c r="E10" s="13">
        <v>10472</v>
      </c>
      <c r="F10" s="11">
        <v>0</v>
      </c>
      <c r="G10" s="13">
        <v>0</v>
      </c>
      <c r="H10" s="11">
        <v>0</v>
      </c>
      <c r="I10" s="13">
        <f>E10+G10</f>
        <v>10472</v>
      </c>
      <c r="J10" s="11">
        <f>F10+H10</f>
        <v>0</v>
      </c>
      <c r="K10" s="13">
        <v>15889</v>
      </c>
      <c r="L10" s="11">
        <v>0</v>
      </c>
      <c r="M10" s="11">
        <v>1</v>
      </c>
      <c r="N10" s="13">
        <v>0</v>
      </c>
      <c r="O10" s="11">
        <v>0</v>
      </c>
      <c r="P10" s="11">
        <v>0</v>
      </c>
      <c r="Q10" s="13">
        <f>K10+N10</f>
        <v>15889</v>
      </c>
      <c r="R10" s="11">
        <f>L10+O10</f>
        <v>0</v>
      </c>
      <c r="S10" s="11">
        <f>M10+P10</f>
        <v>1</v>
      </c>
      <c r="T10" s="8">
        <f>I10-Q10</f>
        <v>-5417</v>
      </c>
      <c r="U10" s="18">
        <v>0.14248779067993514</v>
      </c>
      <c r="V10" s="11">
        <v>0</v>
      </c>
      <c r="W10" s="11">
        <v>1</v>
      </c>
      <c r="Y10" s="11">
        <v>0</v>
      </c>
    </row>
    <row r="11" spans="1:26" x14ac:dyDescent="0.25">
      <c r="A11" s="20" t="s">
        <v>858</v>
      </c>
      <c r="B11" s="20" t="s">
        <v>60</v>
      </c>
      <c r="C11" s="20" t="s">
        <v>859</v>
      </c>
      <c r="D11" s="20" t="s">
        <v>216</v>
      </c>
      <c r="E11" s="13">
        <v>9053</v>
      </c>
      <c r="F11" s="11">
        <v>0</v>
      </c>
      <c r="G11" s="13">
        <v>0</v>
      </c>
      <c r="H11" s="11">
        <v>0</v>
      </c>
      <c r="I11" s="13">
        <f>E11+G11</f>
        <v>9053</v>
      </c>
      <c r="J11" s="11">
        <f>F11+H11</f>
        <v>0</v>
      </c>
      <c r="K11" s="13">
        <v>8840</v>
      </c>
      <c r="L11" s="11">
        <v>0</v>
      </c>
      <c r="M11" s="11">
        <v>0</v>
      </c>
      <c r="N11" s="13">
        <v>0</v>
      </c>
      <c r="O11" s="11">
        <v>0</v>
      </c>
      <c r="P11" s="11">
        <v>0</v>
      </c>
      <c r="Q11" s="13">
        <f>K11+N11</f>
        <v>8840</v>
      </c>
      <c r="R11" s="11">
        <f>L11+O11</f>
        <v>0</v>
      </c>
      <c r="S11" s="11">
        <f>M11+P11</f>
        <v>0</v>
      </c>
      <c r="T11" s="8">
        <f>I11-Q11</f>
        <v>213</v>
      </c>
      <c r="U11" s="18">
        <v>-9.6889983821943609E-2</v>
      </c>
      <c r="V11" s="11">
        <v>0</v>
      </c>
      <c r="W11" s="11">
        <v>0</v>
      </c>
      <c r="X11" s="11">
        <v>0</v>
      </c>
      <c r="Y11" s="11">
        <v>0</v>
      </c>
    </row>
    <row r="12" spans="1:26" x14ac:dyDescent="0.25">
      <c r="A12" s="20" t="s">
        <v>863</v>
      </c>
      <c r="B12" s="20" t="s">
        <v>863</v>
      </c>
      <c r="C12" s="20" t="s">
        <v>3635</v>
      </c>
      <c r="D12" s="20" t="s">
        <v>216</v>
      </c>
      <c r="E12" s="13">
        <v>7442</v>
      </c>
      <c r="F12" s="11">
        <v>1</v>
      </c>
      <c r="G12" s="13">
        <v>0</v>
      </c>
      <c r="H12" s="11">
        <v>0</v>
      </c>
      <c r="I12" s="13">
        <f>E12+G12</f>
        <v>7442</v>
      </c>
      <c r="J12" s="11">
        <f>F12+H12</f>
        <v>1</v>
      </c>
      <c r="K12" s="13">
        <v>0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0</v>
      </c>
      <c r="R12" s="11">
        <f>L12+O12</f>
        <v>0</v>
      </c>
      <c r="S12" s="11">
        <f>M12+P12</f>
        <v>0</v>
      </c>
      <c r="T12" s="8">
        <f>I12-Q12</f>
        <v>7442</v>
      </c>
      <c r="U12" s="18">
        <v>2.5704314309187928E-2</v>
      </c>
      <c r="V12" s="11">
        <v>0.25</v>
      </c>
      <c r="W12" s="11">
        <v>1</v>
      </c>
      <c r="X12" s="11">
        <v>3</v>
      </c>
      <c r="Y12" s="11">
        <v>0</v>
      </c>
    </row>
    <row r="13" spans="1:26" x14ac:dyDescent="0.25">
      <c r="A13" s="20" t="s">
        <v>867</v>
      </c>
      <c r="B13" s="20" t="s">
        <v>60</v>
      </c>
      <c r="C13" s="20" t="s">
        <v>868</v>
      </c>
      <c r="D13" s="20" t="s">
        <v>216</v>
      </c>
      <c r="E13" s="13">
        <v>42273</v>
      </c>
      <c r="F13" s="11">
        <v>1</v>
      </c>
      <c r="G13" s="13">
        <v>18066</v>
      </c>
      <c r="H13" s="11">
        <v>0</v>
      </c>
      <c r="I13" s="13">
        <f>E13+G13</f>
        <v>60339</v>
      </c>
      <c r="J13" s="11">
        <f>F13+H13</f>
        <v>1</v>
      </c>
      <c r="K13" s="13">
        <v>5305</v>
      </c>
      <c r="L13" s="11">
        <v>0</v>
      </c>
      <c r="M13" s="11">
        <v>1</v>
      </c>
      <c r="N13" s="13">
        <v>34668.5</v>
      </c>
      <c r="O13" s="11">
        <v>2</v>
      </c>
      <c r="P13" s="11">
        <v>16</v>
      </c>
      <c r="Q13" s="13">
        <f>K13+N13</f>
        <v>39973.5</v>
      </c>
      <c r="R13" s="11">
        <f>L13+O13</f>
        <v>2</v>
      </c>
      <c r="S13" s="11">
        <f>M13+P13</f>
        <v>17</v>
      </c>
      <c r="T13" s="8">
        <f>I13-Q13</f>
        <v>20365.5</v>
      </c>
      <c r="U13" s="18">
        <v>0.12226178996424258</v>
      </c>
      <c r="V13" s="11">
        <v>0.38</v>
      </c>
      <c r="W13" s="11">
        <v>16</v>
      </c>
      <c r="X13" s="11">
        <v>26</v>
      </c>
      <c r="Y13" s="11">
        <v>0</v>
      </c>
    </row>
    <row r="14" spans="1:26" x14ac:dyDescent="0.25">
      <c r="A14" s="20" t="s">
        <v>869</v>
      </c>
      <c r="B14" s="20" t="s">
        <v>869</v>
      </c>
      <c r="C14" s="20" t="s">
        <v>870</v>
      </c>
      <c r="D14" s="20" t="s">
        <v>216</v>
      </c>
      <c r="E14" s="13">
        <v>5891</v>
      </c>
      <c r="F14" s="11">
        <v>0</v>
      </c>
      <c r="G14" s="13">
        <v>0</v>
      </c>
      <c r="H14" s="11">
        <v>0</v>
      </c>
      <c r="I14" s="13">
        <f>E14+G14</f>
        <v>5891</v>
      </c>
      <c r="J14" s="11">
        <f>F14+H14</f>
        <v>0</v>
      </c>
      <c r="K14" s="13">
        <v>5062</v>
      </c>
      <c r="L14" s="11">
        <v>0</v>
      </c>
      <c r="M14" s="11">
        <v>0</v>
      </c>
      <c r="N14" s="13">
        <v>2577</v>
      </c>
      <c r="O14" s="11">
        <v>0</v>
      </c>
      <c r="P14" s="11">
        <v>0</v>
      </c>
      <c r="Q14" s="13">
        <f>K14+N14</f>
        <v>7639</v>
      </c>
      <c r="R14" s="11">
        <f>L14+O14</f>
        <v>0</v>
      </c>
      <c r="S14" s="11">
        <f>M14+P14</f>
        <v>0</v>
      </c>
      <c r="T14" s="8">
        <f>I14-Q14</f>
        <v>-1748</v>
      </c>
      <c r="U14" s="18">
        <v>1.3376181555853527E-2</v>
      </c>
      <c r="V14" s="11">
        <v>0</v>
      </c>
      <c r="W14" s="11">
        <v>0</v>
      </c>
      <c r="X14" s="11">
        <v>0</v>
      </c>
      <c r="Y14" s="11">
        <v>0</v>
      </c>
    </row>
    <row r="15" spans="1:26" x14ac:dyDescent="0.25">
      <c r="A15" s="20" t="s">
        <v>1549</v>
      </c>
      <c r="B15" s="20" t="s">
        <v>91</v>
      </c>
      <c r="C15" s="20" t="s">
        <v>3022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>
        <v>-2.9269220235154988E-2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877</v>
      </c>
      <c r="B16" s="20" t="s">
        <v>60</v>
      </c>
      <c r="C16" s="20" t="s">
        <v>878</v>
      </c>
      <c r="D16" s="20" t="s">
        <v>216</v>
      </c>
      <c r="E16" s="13">
        <v>24371.03</v>
      </c>
      <c r="F16" s="11">
        <v>1</v>
      </c>
      <c r="G16" s="13">
        <v>12821</v>
      </c>
      <c r="H16" s="11">
        <v>0</v>
      </c>
      <c r="I16" s="13">
        <f>E16+G16</f>
        <v>37192.03</v>
      </c>
      <c r="J16" s="11">
        <f>F16+H16</f>
        <v>1</v>
      </c>
      <c r="K16" s="13">
        <v>19835.25</v>
      </c>
      <c r="L16" s="11">
        <v>1</v>
      </c>
      <c r="M16" s="11">
        <v>2</v>
      </c>
      <c r="N16" s="13">
        <v>7543.11</v>
      </c>
      <c r="O16" s="11">
        <v>0</v>
      </c>
      <c r="P16" s="11">
        <v>2</v>
      </c>
      <c r="Q16" s="13">
        <f>K16+N16</f>
        <v>27378.36</v>
      </c>
      <c r="R16" s="11">
        <f>L16+O16</f>
        <v>1</v>
      </c>
      <c r="S16" s="11">
        <f>M16+P16</f>
        <v>4</v>
      </c>
      <c r="T16" s="8">
        <f>I16-Q16</f>
        <v>9813.6699999999983</v>
      </c>
      <c r="U16" s="18">
        <v>6.3657762818966915E-2</v>
      </c>
      <c r="V16" s="11">
        <v>0.33</v>
      </c>
      <c r="W16" s="11">
        <v>4</v>
      </c>
      <c r="X16" s="11">
        <v>8</v>
      </c>
      <c r="Y16" s="11">
        <v>2</v>
      </c>
    </row>
    <row r="17" spans="1:25" x14ac:dyDescent="0.25">
      <c r="A17" s="20" t="s">
        <v>880</v>
      </c>
      <c r="B17" s="20" t="s">
        <v>3203</v>
      </c>
      <c r="C17" s="20" t="s">
        <v>881</v>
      </c>
      <c r="D17" s="20" t="s">
        <v>215</v>
      </c>
      <c r="E17" s="13">
        <v>0</v>
      </c>
      <c r="F17" s="11">
        <v>0</v>
      </c>
      <c r="G17" s="13">
        <v>0</v>
      </c>
      <c r="H17" s="11">
        <v>0</v>
      </c>
      <c r="I17" s="13">
        <f>E17+G17</f>
        <v>0</v>
      </c>
      <c r="J17" s="11">
        <f>F17+H17</f>
        <v>0</v>
      </c>
      <c r="K17" s="13">
        <v>-201.59</v>
      </c>
      <c r="L17" s="11">
        <v>0</v>
      </c>
      <c r="M17" s="11">
        <v>0</v>
      </c>
      <c r="N17" s="13">
        <v>0</v>
      </c>
      <c r="O17" s="11">
        <v>0</v>
      </c>
      <c r="P17" s="11">
        <v>0</v>
      </c>
      <c r="Q17" s="13">
        <f>K17+N17</f>
        <v>-201.59</v>
      </c>
      <c r="R17" s="11">
        <f>L17+O17</f>
        <v>0</v>
      </c>
      <c r="S17" s="11">
        <f>M17+P17</f>
        <v>0</v>
      </c>
      <c r="T17" s="8">
        <f>I17-Q17</f>
        <v>201.59</v>
      </c>
      <c r="U17" s="18" t="s">
        <v>1803</v>
      </c>
      <c r="V17" s="11">
        <v>0</v>
      </c>
      <c r="W17" s="11">
        <v>0</v>
      </c>
      <c r="X17" s="11">
        <v>0</v>
      </c>
      <c r="Y17" s="11">
        <v>0</v>
      </c>
    </row>
    <row r="18" spans="1:25" x14ac:dyDescent="0.25">
      <c r="A18" s="20" t="s">
        <v>882</v>
      </c>
      <c r="B18" s="20" t="s">
        <v>60</v>
      </c>
      <c r="C18" s="20" t="s">
        <v>883</v>
      </c>
      <c r="D18" s="20" t="s">
        <v>216</v>
      </c>
      <c r="E18" s="13">
        <v>2396</v>
      </c>
      <c r="F18" s="11">
        <v>0</v>
      </c>
      <c r="G18" s="13">
        <v>0</v>
      </c>
      <c r="H18" s="11">
        <v>0</v>
      </c>
      <c r="I18" s="13">
        <f>E18+G18</f>
        <v>2396</v>
      </c>
      <c r="J18" s="11">
        <f>F18+H18</f>
        <v>0</v>
      </c>
      <c r="K18" s="13">
        <v>2180</v>
      </c>
      <c r="L18" s="11">
        <v>0</v>
      </c>
      <c r="M18" s="11">
        <v>0</v>
      </c>
      <c r="N18" s="13">
        <v>9959</v>
      </c>
      <c r="O18" s="11">
        <v>0</v>
      </c>
      <c r="P18" s="11">
        <v>0</v>
      </c>
      <c r="Q18" s="13">
        <f>K18+N18</f>
        <v>12139</v>
      </c>
      <c r="R18" s="11">
        <f>L18+O18</f>
        <v>0</v>
      </c>
      <c r="S18" s="11">
        <f>M18+P18</f>
        <v>0</v>
      </c>
      <c r="T18" s="8">
        <f>I18-Q18</f>
        <v>-9743</v>
      </c>
      <c r="U18" s="18">
        <v>6.8433570132294244E-2</v>
      </c>
      <c r="V18" s="11">
        <v>0</v>
      </c>
      <c r="W18" s="11">
        <v>0</v>
      </c>
      <c r="X18" s="11">
        <v>1</v>
      </c>
      <c r="Y18" s="11">
        <v>1</v>
      </c>
    </row>
    <row r="19" spans="1:25" x14ac:dyDescent="0.25">
      <c r="A19" s="20" t="s">
        <v>884</v>
      </c>
      <c r="B19" s="20" t="s">
        <v>60</v>
      </c>
      <c r="C19" s="20" t="s">
        <v>885</v>
      </c>
      <c r="D19" s="20" t="s">
        <v>216</v>
      </c>
      <c r="E19" s="13">
        <v>30242</v>
      </c>
      <c r="F19" s="11">
        <v>0</v>
      </c>
      <c r="G19" s="13">
        <v>7617</v>
      </c>
      <c r="H19" s="11">
        <v>1</v>
      </c>
      <c r="I19" s="13">
        <f>E19+G19</f>
        <v>37859</v>
      </c>
      <c r="J19" s="11">
        <f>F19+H19</f>
        <v>1</v>
      </c>
      <c r="K19" s="13">
        <v>25229</v>
      </c>
      <c r="L19" s="11">
        <v>0</v>
      </c>
      <c r="M19" s="11">
        <v>0</v>
      </c>
      <c r="N19" s="13">
        <v>1639.5</v>
      </c>
      <c r="O19" s="11">
        <v>0</v>
      </c>
      <c r="P19" s="11">
        <v>3</v>
      </c>
      <c r="Q19" s="13">
        <f>K19+N19</f>
        <v>26868.5</v>
      </c>
      <c r="R19" s="11">
        <f>L19+O19</f>
        <v>0</v>
      </c>
      <c r="S19" s="11">
        <f>M19+P19</f>
        <v>3</v>
      </c>
      <c r="T19" s="8">
        <f>I19-Q19</f>
        <v>10990.5</v>
      </c>
      <c r="U19" s="18">
        <v>0.4991521666995225</v>
      </c>
      <c r="V19" s="11">
        <v>0.5</v>
      </c>
      <c r="W19" s="11">
        <v>4</v>
      </c>
      <c r="X19" s="11">
        <v>4</v>
      </c>
      <c r="Y19" s="11">
        <v>0</v>
      </c>
    </row>
    <row r="20" spans="1:25" x14ac:dyDescent="0.25">
      <c r="A20" s="20" t="s">
        <v>886</v>
      </c>
      <c r="B20" s="20" t="s">
        <v>60</v>
      </c>
      <c r="C20" s="20" t="s">
        <v>887</v>
      </c>
      <c r="D20" s="20" t="s">
        <v>216</v>
      </c>
      <c r="E20" s="13">
        <v>24149</v>
      </c>
      <c r="F20" s="11">
        <v>0</v>
      </c>
      <c r="G20" s="13">
        <v>1937</v>
      </c>
      <c r="H20" s="11">
        <v>0</v>
      </c>
      <c r="I20" s="13">
        <f>E20+G20</f>
        <v>26086</v>
      </c>
      <c r="J20" s="11">
        <f>F20+H20</f>
        <v>0</v>
      </c>
      <c r="K20" s="13">
        <v>42701.93</v>
      </c>
      <c r="L20" s="11">
        <v>2</v>
      </c>
      <c r="M20" s="11">
        <v>3</v>
      </c>
      <c r="N20" s="13">
        <v>1862</v>
      </c>
      <c r="O20" s="11">
        <v>0</v>
      </c>
      <c r="P20" s="11">
        <v>0</v>
      </c>
      <c r="Q20" s="13">
        <f>K20+N20</f>
        <v>44563.93</v>
      </c>
      <c r="R20" s="11">
        <f>L20+O20</f>
        <v>2</v>
      </c>
      <c r="S20" s="11">
        <f>M20+P20</f>
        <v>3</v>
      </c>
      <c r="T20" s="8">
        <f>I20-Q20</f>
        <v>-18477.93</v>
      </c>
      <c r="U20" s="18">
        <v>7.7820252025828915E-2</v>
      </c>
      <c r="V20" s="11">
        <v>0</v>
      </c>
      <c r="W20" s="11">
        <v>1</v>
      </c>
      <c r="Y20" s="11">
        <v>0</v>
      </c>
    </row>
    <row r="21" spans="1:25" x14ac:dyDescent="0.25">
      <c r="A21" s="20" t="s">
        <v>86</v>
      </c>
      <c r="B21" s="20" t="s">
        <v>86</v>
      </c>
      <c r="C21" s="20" t="s">
        <v>888</v>
      </c>
      <c r="D21" s="20" t="s">
        <v>216</v>
      </c>
      <c r="E21" s="13">
        <v>0</v>
      </c>
      <c r="F21" s="11">
        <v>0</v>
      </c>
      <c r="G21" s="13">
        <v>0</v>
      </c>
      <c r="H21" s="11">
        <v>0</v>
      </c>
      <c r="I21" s="13">
        <f>E21+G21</f>
        <v>0</v>
      </c>
      <c r="J21" s="11">
        <f>F21+H21</f>
        <v>0</v>
      </c>
      <c r="K21" s="13">
        <v>0</v>
      </c>
      <c r="L21" s="11">
        <v>0</v>
      </c>
      <c r="M21" s="11">
        <v>1</v>
      </c>
      <c r="N21" s="13">
        <v>0</v>
      </c>
      <c r="O21" s="11">
        <v>0</v>
      </c>
      <c r="P21" s="11">
        <v>0</v>
      </c>
      <c r="Q21" s="13">
        <f>K21+N21</f>
        <v>0</v>
      </c>
      <c r="R21" s="11">
        <f>L21+O21</f>
        <v>0</v>
      </c>
      <c r="S21" s="11">
        <f>M21+P21</f>
        <v>1</v>
      </c>
      <c r="T21" s="8">
        <f>I21-Q21</f>
        <v>0</v>
      </c>
      <c r="U21" s="18">
        <v>0.38852881907189368</v>
      </c>
      <c r="V21" s="11">
        <v>0.33</v>
      </c>
      <c r="W21" s="11">
        <v>1</v>
      </c>
      <c r="X21" s="11">
        <v>2</v>
      </c>
      <c r="Y21" s="11">
        <v>0</v>
      </c>
    </row>
    <row r="22" spans="1:25" x14ac:dyDescent="0.25">
      <c r="A22" s="20" t="s">
        <v>355</v>
      </c>
      <c r="B22" s="20" t="s">
        <v>355</v>
      </c>
      <c r="C22" s="20" t="s">
        <v>889</v>
      </c>
      <c r="D22" s="20" t="s">
        <v>216</v>
      </c>
      <c r="E22" s="13">
        <v>57015.02</v>
      </c>
      <c r="F22" s="11">
        <v>1</v>
      </c>
      <c r="G22" s="13">
        <v>11126</v>
      </c>
      <c r="H22" s="11">
        <v>1</v>
      </c>
      <c r="I22" s="13">
        <f>E22+G22</f>
        <v>68141.01999999999</v>
      </c>
      <c r="J22" s="11">
        <f>F22+H22</f>
        <v>2</v>
      </c>
      <c r="K22" s="13">
        <v>56191.94</v>
      </c>
      <c r="L22" s="11">
        <v>1</v>
      </c>
      <c r="M22" s="11">
        <v>3</v>
      </c>
      <c r="N22" s="13">
        <v>12801.24</v>
      </c>
      <c r="O22" s="11">
        <v>0</v>
      </c>
      <c r="P22" s="11">
        <v>2</v>
      </c>
      <c r="Q22" s="13">
        <f>K22+N22</f>
        <v>68993.180000000008</v>
      </c>
      <c r="R22" s="11">
        <f>L22+O22</f>
        <v>1</v>
      </c>
      <c r="S22" s="11">
        <f>M22+P22</f>
        <v>5</v>
      </c>
      <c r="T22" s="8">
        <f>I22-Q22</f>
        <v>-852.16000000001804</v>
      </c>
      <c r="U22" s="18">
        <v>3.9171756376386875</v>
      </c>
      <c r="V22" s="11">
        <v>0.27</v>
      </c>
      <c r="W22" s="11">
        <v>6</v>
      </c>
      <c r="X22" s="11">
        <v>16</v>
      </c>
      <c r="Y22" s="11">
        <v>2</v>
      </c>
    </row>
    <row r="23" spans="1:25" x14ac:dyDescent="0.25">
      <c r="A23" s="20" t="s">
        <v>2985</v>
      </c>
      <c r="B23" s="20" t="s">
        <v>2985</v>
      </c>
      <c r="C23" s="20" t="s">
        <v>3007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0</v>
      </c>
      <c r="T23" s="8">
        <f>I23-Q23</f>
        <v>0</v>
      </c>
      <c r="U23" s="18">
        <v>-0.1544318865962454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890</v>
      </c>
      <c r="B24" s="20" t="s">
        <v>890</v>
      </c>
      <c r="C24" s="20" t="s">
        <v>891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>
        <v>2.6106710322299321E-2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892</v>
      </c>
      <c r="B25" s="20" t="s">
        <v>124</v>
      </c>
      <c r="C25" s="20" t="s">
        <v>893</v>
      </c>
      <c r="D25" s="20" t="s">
        <v>216</v>
      </c>
      <c r="E25" s="13">
        <v>5411.86</v>
      </c>
      <c r="F25" s="11">
        <v>0</v>
      </c>
      <c r="G25" s="13">
        <v>0</v>
      </c>
      <c r="H25" s="11">
        <v>0</v>
      </c>
      <c r="I25" s="13">
        <f>E25+G25</f>
        <v>5411.86</v>
      </c>
      <c r="J25" s="11">
        <f>F25+H25</f>
        <v>0</v>
      </c>
      <c r="K25" s="13">
        <v>6637</v>
      </c>
      <c r="L25" s="11">
        <v>0</v>
      </c>
      <c r="M25" s="11">
        <v>0</v>
      </c>
      <c r="N25" s="13">
        <v>0</v>
      </c>
      <c r="O25" s="11">
        <v>0</v>
      </c>
      <c r="P25" s="11">
        <v>0</v>
      </c>
      <c r="Q25" s="13">
        <f>K25+N25</f>
        <v>6637</v>
      </c>
      <c r="R25" s="11">
        <f>L25+O25</f>
        <v>0</v>
      </c>
      <c r="S25" s="11">
        <f>M25+P25</f>
        <v>0</v>
      </c>
      <c r="T25" s="8">
        <f>I25-Q25</f>
        <v>-1225.1400000000003</v>
      </c>
      <c r="U25" s="18">
        <v>2.0923997167595697E-3</v>
      </c>
      <c r="V25" s="11">
        <v>0</v>
      </c>
      <c r="W25" s="11">
        <v>0</v>
      </c>
      <c r="X25" s="11">
        <v>0</v>
      </c>
      <c r="Y25" s="11">
        <v>0</v>
      </c>
    </row>
    <row r="26" spans="1:25" x14ac:dyDescent="0.25">
      <c r="A26" s="20" t="s">
        <v>894</v>
      </c>
      <c r="B26" s="20" t="s">
        <v>124</v>
      </c>
      <c r="C26" s="20" t="s">
        <v>895</v>
      </c>
      <c r="D26" s="20" t="s">
        <v>216</v>
      </c>
      <c r="E26" s="13">
        <v>24428</v>
      </c>
      <c r="F26" s="11">
        <v>0</v>
      </c>
      <c r="G26" s="13">
        <v>0</v>
      </c>
      <c r="H26" s="11">
        <v>0</v>
      </c>
      <c r="I26" s="13">
        <f>E26+G26</f>
        <v>24428</v>
      </c>
      <c r="J26" s="11">
        <f>F26+H26</f>
        <v>0</v>
      </c>
      <c r="K26" s="13">
        <v>23606</v>
      </c>
      <c r="L26" s="11">
        <v>0</v>
      </c>
      <c r="M26" s="11">
        <v>1</v>
      </c>
      <c r="N26" s="13">
        <v>0</v>
      </c>
      <c r="O26" s="11">
        <v>0</v>
      </c>
      <c r="P26" s="11">
        <v>0</v>
      </c>
      <c r="Q26" s="13">
        <f>K26+N26</f>
        <v>23606</v>
      </c>
      <c r="R26" s="11">
        <f>L26+O26</f>
        <v>0</v>
      </c>
      <c r="S26" s="11">
        <f>M26+P26</f>
        <v>1</v>
      </c>
      <c r="T26" s="8">
        <f>I26-Q26</f>
        <v>822</v>
      </c>
      <c r="U26" s="18">
        <v>7.6579353521261703E-2</v>
      </c>
      <c r="V26" s="11">
        <v>0.33</v>
      </c>
      <c r="W26" s="11">
        <v>1</v>
      </c>
      <c r="X26" s="11">
        <v>2</v>
      </c>
      <c r="Y26" s="11">
        <v>0</v>
      </c>
    </row>
    <row r="27" spans="1:25" x14ac:dyDescent="0.25">
      <c r="A27" s="20" t="s">
        <v>896</v>
      </c>
      <c r="B27" s="20" t="s">
        <v>60</v>
      </c>
      <c r="C27" s="20" t="s">
        <v>897</v>
      </c>
      <c r="D27" s="20" t="s">
        <v>216</v>
      </c>
      <c r="E27" s="13">
        <v>15677</v>
      </c>
      <c r="F27" s="11">
        <v>0</v>
      </c>
      <c r="G27" s="13">
        <v>0</v>
      </c>
      <c r="H27" s="11">
        <v>0</v>
      </c>
      <c r="I27" s="13">
        <f>E27+G27</f>
        <v>15677</v>
      </c>
      <c r="J27" s="11">
        <f>F27+H27</f>
        <v>0</v>
      </c>
      <c r="K27" s="13">
        <v>36071.47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36071.47</v>
      </c>
      <c r="R27" s="11">
        <f>L27+O27</f>
        <v>0</v>
      </c>
      <c r="S27" s="11">
        <f>M27+P27</f>
        <v>0</v>
      </c>
      <c r="T27" s="8">
        <f>I27-Q27</f>
        <v>-20394.47</v>
      </c>
      <c r="U27" s="18">
        <v>-2.7037540062548389E-2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903</v>
      </c>
      <c r="B28" s="20" t="s">
        <v>60</v>
      </c>
      <c r="C28" s="20" t="s">
        <v>904</v>
      </c>
      <c r="D28" s="20" t="s">
        <v>216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0</v>
      </c>
      <c r="O28" s="11">
        <v>0</v>
      </c>
      <c r="P28" s="11">
        <v>0</v>
      </c>
      <c r="Q28" s="13">
        <f>K28+N28</f>
        <v>0</v>
      </c>
      <c r="R28" s="11">
        <f>L28+O28</f>
        <v>0</v>
      </c>
      <c r="S28" s="11">
        <f>M28+P28</f>
        <v>0</v>
      </c>
      <c r="T28" s="8">
        <f>I28-Q28</f>
        <v>0</v>
      </c>
      <c r="U28" s="18">
        <v>7.1433016624338277E-2</v>
      </c>
      <c r="V28" s="11">
        <v>0</v>
      </c>
      <c r="W28" s="11">
        <v>0</v>
      </c>
      <c r="X28" s="11">
        <v>0</v>
      </c>
      <c r="Y28" s="11">
        <v>0</v>
      </c>
    </row>
    <row r="29" spans="1:25" x14ac:dyDescent="0.25">
      <c r="A29" s="20" t="s">
        <v>905</v>
      </c>
      <c r="B29" s="20" t="s">
        <v>60</v>
      </c>
      <c r="C29" s="20" t="s">
        <v>906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0</v>
      </c>
      <c r="U29" s="18">
        <v>-7.7892638666815402E-3</v>
      </c>
      <c r="V29" s="11">
        <v>0</v>
      </c>
      <c r="W29" s="11">
        <v>0</v>
      </c>
      <c r="X29" s="11">
        <v>1</v>
      </c>
      <c r="Y29" s="11">
        <v>0</v>
      </c>
    </row>
    <row r="30" spans="1:25" x14ac:dyDescent="0.25">
      <c r="A30" s="20" t="s">
        <v>907</v>
      </c>
      <c r="B30" s="20" t="s">
        <v>60</v>
      </c>
      <c r="C30" s="20" t="s">
        <v>908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-2474.21</v>
      </c>
      <c r="L30" s="11">
        <v>0</v>
      </c>
      <c r="M30" s="11">
        <v>1</v>
      </c>
      <c r="N30" s="13">
        <v>0</v>
      </c>
      <c r="O30" s="11">
        <v>0</v>
      </c>
      <c r="P30" s="11">
        <v>0</v>
      </c>
      <c r="Q30" s="13">
        <f>K30+N30</f>
        <v>-2474.21</v>
      </c>
      <c r="R30" s="11">
        <f>L30+O30</f>
        <v>0</v>
      </c>
      <c r="S30" s="11">
        <f>M30+P30</f>
        <v>1</v>
      </c>
      <c r="T30" s="8">
        <f>I30-Q30</f>
        <v>2474.21</v>
      </c>
      <c r="U30" s="18">
        <v>-5.1855075406796416E-2</v>
      </c>
      <c r="V30" s="11">
        <v>0.5</v>
      </c>
      <c r="W30" s="11">
        <v>1</v>
      </c>
      <c r="X30" s="11">
        <v>1</v>
      </c>
      <c r="Y30" s="11">
        <v>0</v>
      </c>
    </row>
    <row r="31" spans="1:25" x14ac:dyDescent="0.25">
      <c r="A31" s="20" t="s">
        <v>909</v>
      </c>
      <c r="B31" s="20" t="s">
        <v>86</v>
      </c>
      <c r="C31" s="20" t="s">
        <v>910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 t="s">
        <v>1803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914</v>
      </c>
      <c r="B32" s="20" t="s">
        <v>91</v>
      </c>
      <c r="C32" s="20" t="s">
        <v>915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8.0267174176060774E-2</v>
      </c>
      <c r="V32" s="11">
        <v>0</v>
      </c>
      <c r="W32" s="11">
        <v>0</v>
      </c>
      <c r="X32" s="11">
        <v>1</v>
      </c>
      <c r="Y32" s="11">
        <v>0</v>
      </c>
    </row>
    <row r="33" spans="1:25" x14ac:dyDescent="0.25">
      <c r="A33" s="20" t="s">
        <v>917</v>
      </c>
      <c r="B33" s="20" t="s">
        <v>124</v>
      </c>
      <c r="C33" s="20" t="s">
        <v>918</v>
      </c>
      <c r="D33" s="20" t="s">
        <v>216</v>
      </c>
      <c r="E33" s="13">
        <v>6516</v>
      </c>
      <c r="F33" s="11">
        <v>1</v>
      </c>
      <c r="G33" s="13">
        <v>7319</v>
      </c>
      <c r="H33" s="11">
        <v>0</v>
      </c>
      <c r="I33" s="13">
        <f>E33+G33</f>
        <v>13835</v>
      </c>
      <c r="J33" s="11">
        <f>F33+H33</f>
        <v>1</v>
      </c>
      <c r="K33" s="13">
        <v>696.25</v>
      </c>
      <c r="L33" s="11">
        <v>0</v>
      </c>
      <c r="M33" s="11">
        <v>0</v>
      </c>
      <c r="N33" s="13">
        <v>8370</v>
      </c>
      <c r="O33" s="11">
        <v>0</v>
      </c>
      <c r="P33" s="11">
        <v>2</v>
      </c>
      <c r="Q33" s="13">
        <f>K33+N33</f>
        <v>9066.25</v>
      </c>
      <c r="R33" s="11">
        <f>L33+O33</f>
        <v>0</v>
      </c>
      <c r="S33" s="11">
        <f>M33+P33</f>
        <v>2</v>
      </c>
      <c r="T33" s="8">
        <f>I33-Q33</f>
        <v>4768.75</v>
      </c>
      <c r="U33" s="18">
        <v>11.703093966473997</v>
      </c>
      <c r="V33" s="11">
        <v>0.19</v>
      </c>
      <c r="W33" s="11">
        <v>3</v>
      </c>
      <c r="X33" s="11">
        <v>13</v>
      </c>
      <c r="Y33" s="11">
        <v>1</v>
      </c>
    </row>
    <row r="34" spans="1:25" x14ac:dyDescent="0.25">
      <c r="A34" s="20" t="s">
        <v>922</v>
      </c>
      <c r="B34" s="20" t="s">
        <v>91</v>
      </c>
      <c r="C34" s="20" t="s">
        <v>923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0</v>
      </c>
      <c r="R34" s="11">
        <f>L34+O34</f>
        <v>0</v>
      </c>
      <c r="S34" s="11">
        <f>M34+P34</f>
        <v>0</v>
      </c>
      <c r="T34" s="8">
        <f>I34-Q34</f>
        <v>0</v>
      </c>
      <c r="U34" s="18">
        <v>-6.686876686535774E-2</v>
      </c>
      <c r="V34" s="11">
        <v>0</v>
      </c>
      <c r="W34" s="11">
        <v>0</v>
      </c>
      <c r="X34" s="11">
        <v>0</v>
      </c>
      <c r="Y34" s="11">
        <v>0</v>
      </c>
    </row>
    <row r="35" spans="1:25" x14ac:dyDescent="0.25">
      <c r="A35" s="20" t="s">
        <v>924</v>
      </c>
      <c r="B35" s="20" t="s">
        <v>91</v>
      </c>
      <c r="C35" s="20" t="s">
        <v>925</v>
      </c>
      <c r="D35" s="20" t="s">
        <v>216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-5729.97</v>
      </c>
      <c r="L35" s="11">
        <v>0</v>
      </c>
      <c r="M35" s="11">
        <v>0</v>
      </c>
      <c r="N35" s="13">
        <v>17752</v>
      </c>
      <c r="O35" s="11">
        <v>0</v>
      </c>
      <c r="P35" s="11">
        <v>0</v>
      </c>
      <c r="Q35" s="13">
        <f>K35+N35</f>
        <v>12022.029999999999</v>
      </c>
      <c r="R35" s="11">
        <f>L35+O35</f>
        <v>0</v>
      </c>
      <c r="S35" s="11">
        <f>M35+P35</f>
        <v>0</v>
      </c>
      <c r="T35" s="8">
        <f>I35-Q35</f>
        <v>-12022.029999999999</v>
      </c>
      <c r="U35" s="18">
        <v>0.11174052158802061</v>
      </c>
      <c r="V35" s="11">
        <v>0</v>
      </c>
      <c r="W35" s="11">
        <v>0</v>
      </c>
      <c r="X35" s="11">
        <v>0</v>
      </c>
      <c r="Y35" s="11">
        <v>0</v>
      </c>
    </row>
    <row r="36" spans="1:25" x14ac:dyDescent="0.25">
      <c r="A36" s="20" t="s">
        <v>926</v>
      </c>
      <c r="B36" s="20" t="s">
        <v>848</v>
      </c>
      <c r="C36" s="20" t="s">
        <v>927</v>
      </c>
      <c r="D36" s="20" t="s">
        <v>216</v>
      </c>
      <c r="E36" s="13">
        <v>0</v>
      </c>
      <c r="F36" s="11">
        <v>0</v>
      </c>
      <c r="G36" s="13">
        <v>1263</v>
      </c>
      <c r="H36" s="11">
        <v>0</v>
      </c>
      <c r="I36" s="13">
        <f>E36+G36</f>
        <v>1263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1184</v>
      </c>
      <c r="O36" s="11">
        <v>0</v>
      </c>
      <c r="P36" s="11">
        <v>1</v>
      </c>
      <c r="Q36" s="13">
        <f>K36+N36</f>
        <v>1184</v>
      </c>
      <c r="R36" s="11">
        <f>L36+O36</f>
        <v>0</v>
      </c>
      <c r="S36" s="11">
        <f>M36+P36</f>
        <v>1</v>
      </c>
      <c r="T36" s="8">
        <f>I36-Q36</f>
        <v>79</v>
      </c>
      <c r="U36" s="18">
        <v>-0.19627465815874359</v>
      </c>
      <c r="V36" s="11">
        <v>0.5</v>
      </c>
      <c r="W36" s="11">
        <v>1</v>
      </c>
      <c r="X36" s="11">
        <v>1</v>
      </c>
      <c r="Y36" s="11">
        <v>1</v>
      </c>
    </row>
    <row r="37" spans="1:25" x14ac:dyDescent="0.25">
      <c r="A37" s="20" t="s">
        <v>928</v>
      </c>
      <c r="B37" s="20" t="s">
        <v>1377</v>
      </c>
      <c r="C37" s="20" t="s">
        <v>929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1</v>
      </c>
      <c r="Q37" s="13">
        <f>K37+N37</f>
        <v>0</v>
      </c>
      <c r="R37" s="11">
        <f>L37+O37</f>
        <v>0</v>
      </c>
      <c r="S37" s="11">
        <f>M37+P37</f>
        <v>1</v>
      </c>
      <c r="T37" s="8">
        <f>I37-Q37</f>
        <v>0</v>
      </c>
      <c r="U37" s="18">
        <v>-0.1289467565409268</v>
      </c>
      <c r="V37" s="11">
        <v>0.5</v>
      </c>
      <c r="W37" s="11">
        <v>1</v>
      </c>
      <c r="X37" s="11">
        <v>1</v>
      </c>
      <c r="Y37" s="11">
        <v>0</v>
      </c>
    </row>
    <row r="38" spans="1:25" x14ac:dyDescent="0.25">
      <c r="A38" s="20" t="s">
        <v>930</v>
      </c>
      <c r="B38" s="20" t="s">
        <v>60</v>
      </c>
      <c r="C38" s="20" t="s">
        <v>931</v>
      </c>
      <c r="D38" s="20" t="s">
        <v>216</v>
      </c>
      <c r="E38" s="13">
        <v>0</v>
      </c>
      <c r="F38" s="11">
        <v>0</v>
      </c>
      <c r="G38" s="13">
        <v>6772</v>
      </c>
      <c r="H38" s="11">
        <v>0</v>
      </c>
      <c r="I38" s="13">
        <f>E38+G38</f>
        <v>6772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6428</v>
      </c>
      <c r="O38" s="11">
        <v>0</v>
      </c>
      <c r="P38" s="11">
        <v>0</v>
      </c>
      <c r="Q38" s="13">
        <f>K38+N38</f>
        <v>6428</v>
      </c>
      <c r="R38" s="11">
        <f>L38+O38</f>
        <v>0</v>
      </c>
      <c r="S38" s="11">
        <f>M38+P38</f>
        <v>0</v>
      </c>
      <c r="T38" s="8">
        <f>I38-Q38</f>
        <v>344</v>
      </c>
      <c r="U38" s="18">
        <v>1.2661206308867612</v>
      </c>
      <c r="V38" s="11">
        <v>0</v>
      </c>
      <c r="W38" s="11">
        <v>0</v>
      </c>
      <c r="X38" s="11">
        <v>0</v>
      </c>
      <c r="Y38" s="11">
        <v>1</v>
      </c>
    </row>
    <row r="39" spans="1:25" x14ac:dyDescent="0.25">
      <c r="A39" s="20" t="s">
        <v>75</v>
      </c>
      <c r="B39" s="20" t="s">
        <v>75</v>
      </c>
      <c r="C39" s="20" t="s">
        <v>76</v>
      </c>
      <c r="D39" s="20" t="s">
        <v>216</v>
      </c>
      <c r="E39" s="13">
        <v>23346.79</v>
      </c>
      <c r="F39" s="11">
        <v>0</v>
      </c>
      <c r="G39" s="13">
        <v>7791</v>
      </c>
      <c r="H39" s="11">
        <v>2</v>
      </c>
      <c r="I39" s="13">
        <f>E39+G39</f>
        <v>31137.79</v>
      </c>
      <c r="J39" s="11">
        <f>F39+H39</f>
        <v>2</v>
      </c>
      <c r="K39" s="13">
        <v>25266.11</v>
      </c>
      <c r="L39" s="11">
        <v>0</v>
      </c>
      <c r="M39" s="11">
        <v>3</v>
      </c>
      <c r="N39" s="13">
        <v>5980</v>
      </c>
      <c r="O39" s="11">
        <v>1</v>
      </c>
      <c r="P39" s="11">
        <v>6</v>
      </c>
      <c r="Q39" s="13">
        <f>K39+N39</f>
        <v>31246.11</v>
      </c>
      <c r="R39" s="11">
        <f>L39+O39</f>
        <v>1</v>
      </c>
      <c r="S39" s="11">
        <f>M39+P39</f>
        <v>9</v>
      </c>
      <c r="T39" s="8">
        <f>I39-Q39</f>
        <v>-108.31999999999971</v>
      </c>
      <c r="U39" s="18">
        <v>0.11747938035030239</v>
      </c>
      <c r="V39" s="11">
        <v>0.43</v>
      </c>
      <c r="W39" s="11">
        <v>10</v>
      </c>
      <c r="X39" s="11">
        <v>13</v>
      </c>
      <c r="Y39" s="11">
        <v>1</v>
      </c>
    </row>
    <row r="40" spans="1:25" x14ac:dyDescent="0.25">
      <c r="A40" s="20" t="s">
        <v>934</v>
      </c>
      <c r="B40" s="20" t="s">
        <v>848</v>
      </c>
      <c r="C40" s="20" t="s">
        <v>879</v>
      </c>
      <c r="D40" s="20" t="s">
        <v>216</v>
      </c>
      <c r="E40" s="13">
        <v>6578</v>
      </c>
      <c r="F40" s="11">
        <v>0</v>
      </c>
      <c r="G40" s="13">
        <v>3445</v>
      </c>
      <c r="H40" s="11">
        <v>0</v>
      </c>
      <c r="I40" s="13">
        <f>E40+G40</f>
        <v>10023</v>
      </c>
      <c r="J40" s="11">
        <f>F40+H40</f>
        <v>0</v>
      </c>
      <c r="K40" s="13">
        <v>5498</v>
      </c>
      <c r="L40" s="11">
        <v>0</v>
      </c>
      <c r="M40" s="11">
        <v>0</v>
      </c>
      <c r="N40" s="13">
        <v>3286</v>
      </c>
      <c r="O40" s="11">
        <v>0</v>
      </c>
      <c r="P40" s="11">
        <v>1</v>
      </c>
      <c r="Q40" s="13">
        <f>K40+N40</f>
        <v>8784</v>
      </c>
      <c r="R40" s="11">
        <f>L40+O40</f>
        <v>0</v>
      </c>
      <c r="S40" s="11">
        <f>M40+P40</f>
        <v>1</v>
      </c>
      <c r="T40" s="8">
        <f>I40-Q40</f>
        <v>1239</v>
      </c>
      <c r="U40" s="18">
        <v>0.11042480949189165</v>
      </c>
      <c r="V40" s="11">
        <v>0.33</v>
      </c>
      <c r="W40" s="11">
        <v>1</v>
      </c>
      <c r="X40" s="11">
        <v>2</v>
      </c>
      <c r="Y40" s="11">
        <v>0</v>
      </c>
    </row>
    <row r="41" spans="1:25" x14ac:dyDescent="0.25">
      <c r="A41" s="20" t="s">
        <v>939</v>
      </c>
      <c r="B41" s="20" t="s">
        <v>77</v>
      </c>
      <c r="C41" s="20" t="s">
        <v>3655</v>
      </c>
      <c r="D41" s="20" t="s">
        <v>215</v>
      </c>
      <c r="E41" s="13">
        <v>-1541.75</v>
      </c>
      <c r="F41" s="11">
        <v>0</v>
      </c>
      <c r="G41" s="13">
        <v>0</v>
      </c>
      <c r="H41" s="11">
        <v>0</v>
      </c>
      <c r="I41" s="13">
        <f>E41+G41</f>
        <v>-1541.75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-1541.75</v>
      </c>
      <c r="U41" s="18" t="s">
        <v>1803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872</v>
      </c>
      <c r="B42" s="20" t="s">
        <v>872</v>
      </c>
      <c r="C42" s="20" t="s">
        <v>873</v>
      </c>
      <c r="D42" s="20" t="s">
        <v>216</v>
      </c>
      <c r="E42" s="13">
        <v>27879</v>
      </c>
      <c r="F42" s="11">
        <v>0</v>
      </c>
      <c r="G42" s="13">
        <v>0</v>
      </c>
      <c r="H42" s="11">
        <v>0</v>
      </c>
      <c r="I42" s="13">
        <f>E42+G42</f>
        <v>27879</v>
      </c>
      <c r="J42" s="11">
        <f>F42+H42</f>
        <v>0</v>
      </c>
      <c r="K42" s="13">
        <v>20049.919999999998</v>
      </c>
      <c r="L42" s="11">
        <v>0</v>
      </c>
      <c r="M42" s="11">
        <v>0</v>
      </c>
      <c r="N42" s="13">
        <v>24221.759999999998</v>
      </c>
      <c r="O42" s="11">
        <v>0</v>
      </c>
      <c r="P42" s="11">
        <v>1</v>
      </c>
      <c r="Q42" s="13">
        <f>K42+N42</f>
        <v>44271.679999999993</v>
      </c>
      <c r="R42" s="11">
        <f>L42+O42</f>
        <v>0</v>
      </c>
      <c r="S42" s="11">
        <f>M42+P42</f>
        <v>1</v>
      </c>
      <c r="T42" s="8">
        <f>I42-Q42</f>
        <v>-16392.679999999993</v>
      </c>
      <c r="U42" s="18">
        <v>6.1734777872130268E-2</v>
      </c>
      <c r="V42" s="11">
        <v>0.33</v>
      </c>
      <c r="W42" s="11">
        <v>1</v>
      </c>
      <c r="X42" s="11">
        <v>2</v>
      </c>
      <c r="Y42" s="11">
        <v>0</v>
      </c>
    </row>
    <row r="43" spans="1:25" x14ac:dyDescent="0.25">
      <c r="A43" s="20" t="s">
        <v>943</v>
      </c>
      <c r="B43" s="20" t="s">
        <v>202</v>
      </c>
      <c r="C43" s="20" t="s">
        <v>944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-260</v>
      </c>
      <c r="L43" s="11">
        <v>0</v>
      </c>
      <c r="M43" s="11">
        <v>0</v>
      </c>
      <c r="N43" s="13">
        <v>-4555.7</v>
      </c>
      <c r="O43" s="11">
        <v>0</v>
      </c>
      <c r="P43" s="11">
        <v>0</v>
      </c>
      <c r="Q43" s="13">
        <f>K43+N43</f>
        <v>-4815.7</v>
      </c>
      <c r="R43" s="11">
        <f>L43+O43</f>
        <v>0</v>
      </c>
      <c r="S43" s="11">
        <f>M43+P43</f>
        <v>0</v>
      </c>
      <c r="T43" s="8">
        <f>I43-Q43</f>
        <v>4815.7</v>
      </c>
      <c r="U43" s="18">
        <v>3.146704621308663E-2</v>
      </c>
      <c r="V43" s="11">
        <v>0</v>
      </c>
      <c r="W43" s="11">
        <v>0</v>
      </c>
      <c r="X43" s="11">
        <v>0</v>
      </c>
      <c r="Y43" s="11">
        <v>0</v>
      </c>
    </row>
    <row r="44" spans="1:25" x14ac:dyDescent="0.25">
      <c r="A44" s="20" t="s">
        <v>945</v>
      </c>
      <c r="B44" s="20" t="s">
        <v>58</v>
      </c>
      <c r="C44" s="20" t="s">
        <v>946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0</v>
      </c>
      <c r="R44" s="11">
        <f>L44+O44</f>
        <v>0</v>
      </c>
      <c r="S44" s="11">
        <f>M44+P44</f>
        <v>0</v>
      </c>
      <c r="T44" s="8">
        <f>I44-Q44</f>
        <v>0</v>
      </c>
      <c r="U44" s="18">
        <v>-0.28951743383455297</v>
      </c>
      <c r="V44" s="11">
        <v>0</v>
      </c>
      <c r="W44" s="11">
        <v>0</v>
      </c>
      <c r="X44" s="11">
        <v>0</v>
      </c>
      <c r="Y44" s="11">
        <v>0</v>
      </c>
    </row>
    <row r="45" spans="1:25" x14ac:dyDescent="0.25">
      <c r="A45" s="20" t="s">
        <v>949</v>
      </c>
      <c r="B45" s="20" t="s">
        <v>949</v>
      </c>
      <c r="C45" s="20" t="s">
        <v>950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0</v>
      </c>
      <c r="L45" s="11">
        <v>0</v>
      </c>
      <c r="M45" s="11">
        <v>0</v>
      </c>
      <c r="N45" s="13">
        <v>0</v>
      </c>
      <c r="O45" s="11">
        <v>0</v>
      </c>
      <c r="P45" s="11">
        <v>1</v>
      </c>
      <c r="Q45" s="13">
        <f>K45+N45</f>
        <v>0</v>
      </c>
      <c r="R45" s="11">
        <f>L45+O45</f>
        <v>0</v>
      </c>
      <c r="S45" s="11">
        <f>M45+P45</f>
        <v>1</v>
      </c>
      <c r="T45" s="8">
        <f>I45-Q45</f>
        <v>0</v>
      </c>
      <c r="U45" s="18">
        <v>2.7864171314634714E-2</v>
      </c>
      <c r="V45" s="11">
        <v>0.33</v>
      </c>
      <c r="W45" s="11">
        <v>1</v>
      </c>
      <c r="X45" s="11">
        <v>2</v>
      </c>
      <c r="Y45" s="11">
        <v>1</v>
      </c>
    </row>
    <row r="46" spans="1:25" x14ac:dyDescent="0.25">
      <c r="A46" s="20" t="s">
        <v>957</v>
      </c>
      <c r="B46" s="20" t="s">
        <v>218</v>
      </c>
      <c r="C46" s="20" t="s">
        <v>938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>
        <v>4.8357898380191167E-2</v>
      </c>
      <c r="V46" s="11">
        <v>0</v>
      </c>
      <c r="W46" s="11">
        <v>0</v>
      </c>
      <c r="X46" s="11">
        <v>0</v>
      </c>
      <c r="Y46" s="11">
        <v>0</v>
      </c>
    </row>
    <row r="47" spans="1:25" x14ac:dyDescent="0.25">
      <c r="A47" s="20" t="s">
        <v>962</v>
      </c>
      <c r="B47" s="20" t="s">
        <v>60</v>
      </c>
      <c r="C47" s="20" t="s">
        <v>963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 t="s">
        <v>1803</v>
      </c>
      <c r="V47" s="11">
        <v>0</v>
      </c>
      <c r="W47" s="11">
        <v>0</v>
      </c>
      <c r="X47" s="11">
        <v>0</v>
      </c>
      <c r="Y47" s="11">
        <v>0</v>
      </c>
    </row>
    <row r="48" spans="1:25" x14ac:dyDescent="0.25">
      <c r="A48" s="20" t="s">
        <v>937</v>
      </c>
      <c r="B48" s="20" t="s">
        <v>295</v>
      </c>
      <c r="C48" s="20" t="s">
        <v>964</v>
      </c>
      <c r="D48" s="20" t="s">
        <v>216</v>
      </c>
      <c r="E48" s="13">
        <v>0</v>
      </c>
      <c r="F48" s="11">
        <v>0</v>
      </c>
      <c r="G48" s="13">
        <v>0</v>
      </c>
      <c r="H48" s="11">
        <v>0</v>
      </c>
      <c r="I48" s="13">
        <f>E48+G48</f>
        <v>0</v>
      </c>
      <c r="J48" s="11">
        <f>F48+H48</f>
        <v>0</v>
      </c>
      <c r="K48" s="13">
        <v>13622</v>
      </c>
      <c r="L48" s="11">
        <v>0</v>
      </c>
      <c r="M48" s="11">
        <v>1</v>
      </c>
      <c r="N48" s="13">
        <v>0</v>
      </c>
      <c r="O48" s="11">
        <v>0</v>
      </c>
      <c r="P48" s="11">
        <v>1</v>
      </c>
      <c r="Q48" s="13">
        <f>K48+N48</f>
        <v>13622</v>
      </c>
      <c r="R48" s="11">
        <f>L48+O48</f>
        <v>0</v>
      </c>
      <c r="S48" s="11">
        <f>M48+P48</f>
        <v>2</v>
      </c>
      <c r="T48" s="8">
        <f>I48-Q48</f>
        <v>-13622</v>
      </c>
      <c r="U48" s="18">
        <v>-2.6030098803871977E-2</v>
      </c>
      <c r="V48" s="11">
        <v>0.28999999999999998</v>
      </c>
      <c r="W48" s="11">
        <v>2</v>
      </c>
      <c r="X48" s="11">
        <v>5</v>
      </c>
      <c r="Y48" s="11">
        <v>0</v>
      </c>
    </row>
    <row r="49" spans="1:25" x14ac:dyDescent="0.25">
      <c r="A49" s="20" t="s">
        <v>965</v>
      </c>
      <c r="B49" s="20" t="s">
        <v>257</v>
      </c>
      <c r="C49" s="20" t="s">
        <v>3090</v>
      </c>
      <c r="D49" s="20" t="s">
        <v>216</v>
      </c>
      <c r="E49" s="13">
        <v>42886</v>
      </c>
      <c r="F49" s="11">
        <v>1</v>
      </c>
      <c r="G49" s="13">
        <v>0</v>
      </c>
      <c r="H49" s="11">
        <v>0</v>
      </c>
      <c r="I49" s="13">
        <f>E49+G49</f>
        <v>42886</v>
      </c>
      <c r="J49" s="11">
        <f>F49+H49</f>
        <v>1</v>
      </c>
      <c r="K49" s="13">
        <v>29372.89</v>
      </c>
      <c r="L49" s="11">
        <v>0</v>
      </c>
      <c r="M49" s="11">
        <v>0</v>
      </c>
      <c r="N49" s="13">
        <v>0</v>
      </c>
      <c r="O49" s="11">
        <v>0</v>
      </c>
      <c r="P49" s="11">
        <v>0</v>
      </c>
      <c r="Q49" s="13">
        <f>K49+N49</f>
        <v>29372.89</v>
      </c>
      <c r="R49" s="11">
        <f>L49+O49</f>
        <v>0</v>
      </c>
      <c r="S49" s="11">
        <f>M49+P49</f>
        <v>0</v>
      </c>
      <c r="T49" s="8">
        <f>I49-Q49</f>
        <v>13513.11</v>
      </c>
      <c r="U49" s="18">
        <v>2.6937249209758365</v>
      </c>
      <c r="V49" s="11">
        <v>0.5</v>
      </c>
      <c r="W49" s="11">
        <v>1</v>
      </c>
      <c r="X49" s="11">
        <v>1</v>
      </c>
      <c r="Y49" s="11">
        <v>0</v>
      </c>
    </row>
    <row r="50" spans="1:25" x14ac:dyDescent="0.25">
      <c r="A50" s="20" t="s">
        <v>921</v>
      </c>
      <c r="B50" s="20" t="s">
        <v>3621</v>
      </c>
      <c r="C50" s="20" t="s">
        <v>3622</v>
      </c>
      <c r="D50" s="20" t="s">
        <v>215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-6558.88</v>
      </c>
      <c r="L50" s="11">
        <v>0</v>
      </c>
      <c r="M50" s="11">
        <v>0</v>
      </c>
      <c r="N50" s="13">
        <v>11003</v>
      </c>
      <c r="O50" s="11">
        <v>0</v>
      </c>
      <c r="P50" s="11">
        <v>0</v>
      </c>
      <c r="Q50" s="13">
        <f>K50+N50</f>
        <v>4444.12</v>
      </c>
      <c r="R50" s="11">
        <f>L50+O50</f>
        <v>0</v>
      </c>
      <c r="S50" s="11">
        <f>M50+P50</f>
        <v>0</v>
      </c>
      <c r="T50" s="8">
        <f>I50-Q50</f>
        <v>-4444.12</v>
      </c>
      <c r="U50" s="18" t="s">
        <v>1803</v>
      </c>
      <c r="V50" s="11">
        <v>0</v>
      </c>
      <c r="W50" s="11">
        <v>0</v>
      </c>
      <c r="X50" s="11">
        <v>2</v>
      </c>
      <c r="Y50" s="11">
        <v>0</v>
      </c>
    </row>
    <row r="51" spans="1:25" x14ac:dyDescent="0.25">
      <c r="A51" s="20" t="s">
        <v>967</v>
      </c>
      <c r="B51" s="20" t="s">
        <v>97</v>
      </c>
      <c r="C51" s="20" t="s">
        <v>3198</v>
      </c>
      <c r="D51" s="20" t="s">
        <v>216</v>
      </c>
      <c r="E51" s="13">
        <v>6588</v>
      </c>
      <c r="F51" s="11">
        <v>0</v>
      </c>
      <c r="G51" s="13">
        <v>10066</v>
      </c>
      <c r="H51" s="11">
        <v>0</v>
      </c>
      <c r="I51" s="13">
        <f>E51+G51</f>
        <v>16654</v>
      </c>
      <c r="J51" s="11">
        <f>F51+H51</f>
        <v>0</v>
      </c>
      <c r="K51" s="13">
        <v>5989</v>
      </c>
      <c r="L51" s="11">
        <v>0</v>
      </c>
      <c r="M51" s="11">
        <v>0</v>
      </c>
      <c r="N51" s="13">
        <v>10520</v>
      </c>
      <c r="O51" s="11">
        <v>0</v>
      </c>
      <c r="P51" s="11">
        <v>2</v>
      </c>
      <c r="Q51" s="13">
        <f>K51+N51</f>
        <v>16509</v>
      </c>
      <c r="R51" s="11">
        <f>L51+O51</f>
        <v>0</v>
      </c>
      <c r="S51" s="11">
        <f>M51+P51</f>
        <v>2</v>
      </c>
      <c r="T51" s="8">
        <f>I51-Q51</f>
        <v>145</v>
      </c>
      <c r="U51" s="18">
        <v>4.4004156603320049E-2</v>
      </c>
      <c r="V51" s="11">
        <v>0.25</v>
      </c>
      <c r="W51" s="11">
        <v>2</v>
      </c>
      <c r="X51" s="11">
        <v>6</v>
      </c>
      <c r="Y51" s="11">
        <v>0</v>
      </c>
    </row>
    <row r="52" spans="1:25" x14ac:dyDescent="0.25">
      <c r="A52" s="20" t="s">
        <v>969</v>
      </c>
      <c r="B52" s="20" t="s">
        <v>97</v>
      </c>
      <c r="C52" s="20" t="s">
        <v>970</v>
      </c>
      <c r="D52" s="20" t="s">
        <v>216</v>
      </c>
      <c r="E52" s="13">
        <v>0</v>
      </c>
      <c r="F52" s="11">
        <v>0</v>
      </c>
      <c r="G52" s="13">
        <v>0</v>
      </c>
      <c r="H52" s="11">
        <v>0</v>
      </c>
      <c r="I52" s="13">
        <f>E52+G52</f>
        <v>0</v>
      </c>
      <c r="J52" s="11">
        <f>F52+H52</f>
        <v>0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0</v>
      </c>
      <c r="Q52" s="13">
        <f>K52+N52</f>
        <v>0</v>
      </c>
      <c r="R52" s="11">
        <f>L52+O52</f>
        <v>0</v>
      </c>
      <c r="S52" s="11">
        <f>M52+P52</f>
        <v>0</v>
      </c>
      <c r="T52" s="8">
        <f>I52-Q52</f>
        <v>0</v>
      </c>
      <c r="U52" s="18" t="s">
        <v>1803</v>
      </c>
      <c r="V52" s="11">
        <v>0</v>
      </c>
      <c r="W52" s="11">
        <v>0</v>
      </c>
      <c r="X52" s="11">
        <v>0</v>
      </c>
      <c r="Y52" s="11">
        <v>0</v>
      </c>
    </row>
    <row r="53" spans="1:25" x14ac:dyDescent="0.25">
      <c r="A53" s="20" t="s">
        <v>971</v>
      </c>
      <c r="B53" s="20" t="s">
        <v>91</v>
      </c>
      <c r="C53" s="20" t="s">
        <v>972</v>
      </c>
      <c r="D53" s="20" t="s">
        <v>216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0</v>
      </c>
      <c r="O53" s="11">
        <v>0</v>
      </c>
      <c r="P53" s="11">
        <v>0</v>
      </c>
      <c r="Q53" s="13">
        <f>K53+N53</f>
        <v>0</v>
      </c>
      <c r="R53" s="11">
        <f>L53+O53</f>
        <v>0</v>
      </c>
      <c r="S53" s="11">
        <f>M53+P53</f>
        <v>0</v>
      </c>
      <c r="T53" s="8">
        <f>I53-Q53</f>
        <v>0</v>
      </c>
      <c r="U53" s="18">
        <v>-2.9740253115772414E-2</v>
      </c>
      <c r="V53" s="11">
        <v>0</v>
      </c>
      <c r="W53" s="11">
        <v>0</v>
      </c>
      <c r="X53" s="11">
        <v>0</v>
      </c>
      <c r="Y53" s="11">
        <v>0</v>
      </c>
    </row>
    <row r="54" spans="1:25" x14ac:dyDescent="0.25">
      <c r="A54" s="20" t="s">
        <v>778</v>
      </c>
      <c r="B54" s="20" t="s">
        <v>778</v>
      </c>
      <c r="C54" s="20" t="s">
        <v>973</v>
      </c>
      <c r="D54" s="20" t="s">
        <v>216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0</v>
      </c>
      <c r="O54" s="11">
        <v>0</v>
      </c>
      <c r="P54" s="11">
        <v>0</v>
      </c>
      <c r="Q54" s="13">
        <f>K54+N54</f>
        <v>0</v>
      </c>
      <c r="R54" s="11">
        <f>L54+O54</f>
        <v>0</v>
      </c>
      <c r="S54" s="11">
        <f>M54+P54</f>
        <v>0</v>
      </c>
      <c r="T54" s="8">
        <f>I54-Q54</f>
        <v>0</v>
      </c>
      <c r="U54" s="18" t="s">
        <v>1803</v>
      </c>
      <c r="V54" s="11">
        <v>0</v>
      </c>
      <c r="W54" s="11">
        <v>0</v>
      </c>
      <c r="X54" s="11">
        <v>0</v>
      </c>
      <c r="Y54" s="11">
        <v>0</v>
      </c>
    </row>
    <row r="55" spans="1:25" x14ac:dyDescent="0.25">
      <c r="A55" s="20" t="s">
        <v>974</v>
      </c>
      <c r="B55" s="20" t="s">
        <v>124</v>
      </c>
      <c r="C55" s="20" t="s">
        <v>975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 t="s">
        <v>1803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976</v>
      </c>
      <c r="B56" s="20" t="s">
        <v>83</v>
      </c>
      <c r="C56" s="20" t="s">
        <v>865</v>
      </c>
      <c r="D56" s="20" t="s">
        <v>216</v>
      </c>
      <c r="E56" s="13">
        <v>20515.82</v>
      </c>
      <c r="F56" s="11">
        <v>0</v>
      </c>
      <c r="G56" s="13">
        <v>12631</v>
      </c>
      <c r="H56" s="11">
        <v>0</v>
      </c>
      <c r="I56" s="13">
        <f>E56+G56</f>
        <v>33146.82</v>
      </c>
      <c r="J56" s="11">
        <f>F56+H56</f>
        <v>0</v>
      </c>
      <c r="K56" s="13">
        <v>21380.91</v>
      </c>
      <c r="L56" s="11">
        <v>0</v>
      </c>
      <c r="M56" s="11">
        <v>1</v>
      </c>
      <c r="N56" s="13">
        <v>13710.67</v>
      </c>
      <c r="O56" s="11">
        <v>1</v>
      </c>
      <c r="P56" s="11">
        <v>4</v>
      </c>
      <c r="Q56" s="13">
        <f>K56+N56</f>
        <v>35091.58</v>
      </c>
      <c r="R56" s="11">
        <f>L56+O56</f>
        <v>1</v>
      </c>
      <c r="S56" s="11">
        <f>M56+P56</f>
        <v>5</v>
      </c>
      <c r="T56" s="8">
        <f>I56-Q56</f>
        <v>-1944.760000000002</v>
      </c>
      <c r="U56" s="18">
        <v>0.33437594259893832</v>
      </c>
      <c r="V56" s="11">
        <v>0.27</v>
      </c>
      <c r="W56" s="11">
        <v>4</v>
      </c>
      <c r="X56" s="11">
        <v>11</v>
      </c>
      <c r="Y56" s="11">
        <v>2</v>
      </c>
    </row>
    <row r="57" spans="1:25" x14ac:dyDescent="0.25">
      <c r="A57" s="20" t="s">
        <v>978</v>
      </c>
      <c r="B57" s="20" t="s">
        <v>77</v>
      </c>
      <c r="C57" s="20" t="s">
        <v>695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0</v>
      </c>
      <c r="N57" s="13">
        <v>0</v>
      </c>
      <c r="O57" s="11">
        <v>0</v>
      </c>
      <c r="P57" s="11">
        <v>0</v>
      </c>
      <c r="Q57" s="13">
        <f>K57+N57</f>
        <v>0</v>
      </c>
      <c r="R57" s="11">
        <f>L57+O57</f>
        <v>0</v>
      </c>
      <c r="S57" s="11">
        <f>M57+P57</f>
        <v>0</v>
      </c>
      <c r="T57" s="8">
        <f>I57-Q57</f>
        <v>0</v>
      </c>
      <c r="U57" s="18" t="s">
        <v>1803</v>
      </c>
      <c r="V57" s="11">
        <v>0</v>
      </c>
      <c r="W57" s="11">
        <v>0</v>
      </c>
      <c r="X57" s="11">
        <v>0</v>
      </c>
      <c r="Y57" s="11">
        <v>0</v>
      </c>
    </row>
    <row r="58" spans="1:25" x14ac:dyDescent="0.25">
      <c r="A58" s="20" t="s">
        <v>980</v>
      </c>
      <c r="B58" s="20" t="s">
        <v>97</v>
      </c>
      <c r="C58" s="20" t="s">
        <v>875</v>
      </c>
      <c r="D58" s="20" t="s">
        <v>216</v>
      </c>
      <c r="E58" s="13">
        <v>134987</v>
      </c>
      <c r="F58" s="11">
        <v>1</v>
      </c>
      <c r="G58" s="13">
        <v>1512</v>
      </c>
      <c r="H58" s="11">
        <v>0</v>
      </c>
      <c r="I58" s="13">
        <f>E58+G58</f>
        <v>136499</v>
      </c>
      <c r="J58" s="11">
        <f>F58+H58</f>
        <v>1</v>
      </c>
      <c r="K58" s="13">
        <v>113510</v>
      </c>
      <c r="L58" s="11">
        <v>0</v>
      </c>
      <c r="M58" s="11">
        <v>4</v>
      </c>
      <c r="N58" s="13">
        <v>0</v>
      </c>
      <c r="O58" s="11">
        <v>0</v>
      </c>
      <c r="P58" s="11">
        <v>8</v>
      </c>
      <c r="Q58" s="13">
        <f>K58+N58</f>
        <v>113510</v>
      </c>
      <c r="R58" s="11">
        <f>L58+O58</f>
        <v>0</v>
      </c>
      <c r="S58" s="11">
        <f>M58+P58</f>
        <v>12</v>
      </c>
      <c r="T58" s="8">
        <f>I58-Q58</f>
        <v>22989</v>
      </c>
      <c r="U58" s="18">
        <v>8.2724070307273412E-2</v>
      </c>
      <c r="V58" s="11">
        <v>0.46</v>
      </c>
      <c r="W58" s="11">
        <v>13</v>
      </c>
      <c r="X58" s="11">
        <v>15</v>
      </c>
      <c r="Y58" s="11">
        <v>2</v>
      </c>
    </row>
    <row r="59" spans="1:25" x14ac:dyDescent="0.25">
      <c r="A59" s="20" t="s">
        <v>984</v>
      </c>
      <c r="B59" s="20" t="s">
        <v>60</v>
      </c>
      <c r="C59" s="20" t="s">
        <v>985</v>
      </c>
      <c r="D59" s="20" t="s">
        <v>216</v>
      </c>
      <c r="E59" s="13">
        <v>0</v>
      </c>
      <c r="F59" s="11">
        <v>0</v>
      </c>
      <c r="G59" s="13">
        <v>4140</v>
      </c>
      <c r="H59" s="11">
        <v>0</v>
      </c>
      <c r="I59" s="13">
        <f>E59+G59</f>
        <v>4140</v>
      </c>
      <c r="J59" s="11">
        <f>F59+H59</f>
        <v>0</v>
      </c>
      <c r="K59" s="13">
        <v>0</v>
      </c>
      <c r="L59" s="11">
        <v>0</v>
      </c>
      <c r="M59" s="11">
        <v>0</v>
      </c>
      <c r="N59" s="13">
        <v>3652</v>
      </c>
      <c r="O59" s="11">
        <v>0</v>
      </c>
      <c r="P59" s="11">
        <v>0</v>
      </c>
      <c r="Q59" s="13">
        <f>K59+N59</f>
        <v>3652</v>
      </c>
      <c r="R59" s="11">
        <f>L59+O59</f>
        <v>0</v>
      </c>
      <c r="S59" s="11">
        <f>M59+P59</f>
        <v>0</v>
      </c>
      <c r="T59" s="8">
        <f>I59-Q59</f>
        <v>488</v>
      </c>
      <c r="U59" s="18">
        <v>3.0972848418050185E-2</v>
      </c>
      <c r="V59" s="11">
        <v>0</v>
      </c>
      <c r="W59" s="11">
        <v>0</v>
      </c>
      <c r="X59" s="11">
        <v>0</v>
      </c>
      <c r="Y59" s="11">
        <v>0</v>
      </c>
    </row>
    <row r="60" spans="1:25" x14ac:dyDescent="0.25">
      <c r="A60" s="20" t="s">
        <v>986</v>
      </c>
      <c r="B60" s="20" t="s">
        <v>124</v>
      </c>
      <c r="C60" s="20" t="s">
        <v>987</v>
      </c>
      <c r="D60" s="20" t="s">
        <v>216</v>
      </c>
      <c r="E60" s="13">
        <v>0</v>
      </c>
      <c r="F60" s="11">
        <v>0</v>
      </c>
      <c r="G60" s="13">
        <v>0</v>
      </c>
      <c r="H60" s="11">
        <v>0</v>
      </c>
      <c r="I60" s="13">
        <f>E60+G60</f>
        <v>0</v>
      </c>
      <c r="J60" s="11">
        <f>F60+H60</f>
        <v>0</v>
      </c>
      <c r="K60" s="13">
        <v>0</v>
      </c>
      <c r="L60" s="11">
        <v>0</v>
      </c>
      <c r="M60" s="11">
        <v>0</v>
      </c>
      <c r="N60" s="13">
        <v>0</v>
      </c>
      <c r="O60" s="11">
        <v>0</v>
      </c>
      <c r="P60" s="11">
        <v>0</v>
      </c>
      <c r="Q60" s="13">
        <f>K60+N60</f>
        <v>0</v>
      </c>
      <c r="R60" s="11">
        <f>L60+O60</f>
        <v>0</v>
      </c>
      <c r="S60" s="11">
        <f>M60+P60</f>
        <v>0</v>
      </c>
      <c r="T60" s="8">
        <f>I60-Q60</f>
        <v>0</v>
      </c>
      <c r="U60" s="18" t="s">
        <v>1803</v>
      </c>
      <c r="V60" s="11">
        <v>0</v>
      </c>
      <c r="W60" s="11">
        <v>0</v>
      </c>
      <c r="X60" s="11">
        <v>0</v>
      </c>
      <c r="Y60" s="11">
        <v>0</v>
      </c>
    </row>
    <row r="61" spans="1:25" x14ac:dyDescent="0.25">
      <c r="A61" s="20" t="s">
        <v>1809</v>
      </c>
      <c r="B61" s="20" t="s">
        <v>778</v>
      </c>
      <c r="C61" s="20" t="s">
        <v>1810</v>
      </c>
      <c r="D61" s="20" t="s">
        <v>216</v>
      </c>
      <c r="E61" s="13">
        <v>0</v>
      </c>
      <c r="F61" s="11">
        <v>0</v>
      </c>
      <c r="G61" s="13">
        <v>0</v>
      </c>
      <c r="H61" s="11">
        <v>0</v>
      </c>
      <c r="I61" s="13">
        <f>E61+G61</f>
        <v>0</v>
      </c>
      <c r="J61" s="11">
        <f>F61+H61</f>
        <v>0</v>
      </c>
      <c r="K61" s="13">
        <v>0</v>
      </c>
      <c r="L61" s="11">
        <v>0</v>
      </c>
      <c r="M61" s="11">
        <v>0</v>
      </c>
      <c r="N61" s="13">
        <v>0</v>
      </c>
      <c r="O61" s="11">
        <v>0</v>
      </c>
      <c r="P61" s="11">
        <v>0</v>
      </c>
      <c r="Q61" s="13">
        <f>K61+N61</f>
        <v>0</v>
      </c>
      <c r="R61" s="11">
        <f>L61+O61</f>
        <v>0</v>
      </c>
      <c r="S61" s="11">
        <f>M61+P61</f>
        <v>0</v>
      </c>
      <c r="T61" s="8">
        <f>I61-Q61</f>
        <v>0</v>
      </c>
      <c r="U61" s="18">
        <v>0.60190166128353317</v>
      </c>
      <c r="V61" s="11">
        <v>0</v>
      </c>
      <c r="W61" s="11">
        <v>0</v>
      </c>
      <c r="X61" s="11">
        <v>1</v>
      </c>
      <c r="Y61" s="11">
        <v>0</v>
      </c>
    </row>
    <row r="62" spans="1:25" x14ac:dyDescent="0.25">
      <c r="A62" s="20" t="s">
        <v>2024</v>
      </c>
      <c r="B62" s="20" t="s">
        <v>477</v>
      </c>
      <c r="C62" s="20" t="s">
        <v>2025</v>
      </c>
      <c r="D62" s="20" t="s">
        <v>216</v>
      </c>
      <c r="E62" s="13">
        <v>0</v>
      </c>
      <c r="F62" s="11">
        <v>0</v>
      </c>
      <c r="G62" s="13">
        <v>470.57</v>
      </c>
      <c r="H62" s="11">
        <v>0</v>
      </c>
      <c r="I62" s="13">
        <f>E62+G62</f>
        <v>470.57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24407</v>
      </c>
      <c r="O62" s="11">
        <v>0</v>
      </c>
      <c r="P62" s="11">
        <v>0</v>
      </c>
      <c r="Q62" s="13">
        <f>K62+N62</f>
        <v>24407</v>
      </c>
      <c r="R62" s="11">
        <f>L62+O62</f>
        <v>0</v>
      </c>
      <c r="S62" s="11">
        <f>M62+P62</f>
        <v>0</v>
      </c>
      <c r="T62" s="8">
        <f>I62-Q62</f>
        <v>-23936.43</v>
      </c>
      <c r="U62" s="18">
        <v>8.1826144994487843E-2</v>
      </c>
      <c r="V62" s="11">
        <v>0</v>
      </c>
      <c r="W62" s="11">
        <v>0</v>
      </c>
      <c r="X62" s="11">
        <v>1</v>
      </c>
      <c r="Y62" s="11">
        <v>0</v>
      </c>
    </row>
    <row r="63" spans="1:25" x14ac:dyDescent="0.25">
      <c r="A63" s="20" t="s">
        <v>2989</v>
      </c>
      <c r="B63" s="20" t="s">
        <v>60</v>
      </c>
      <c r="C63" s="20" t="s">
        <v>2990</v>
      </c>
      <c r="D63" s="20" t="s">
        <v>216</v>
      </c>
      <c r="E63" s="13">
        <v>2363</v>
      </c>
      <c r="F63" s="11">
        <v>0</v>
      </c>
      <c r="G63" s="13">
        <v>0</v>
      </c>
      <c r="H63" s="11">
        <v>0</v>
      </c>
      <c r="I63" s="13">
        <f>E63+G63</f>
        <v>2363</v>
      </c>
      <c r="J63" s="11">
        <f>F63+H63</f>
        <v>0</v>
      </c>
      <c r="K63" s="13">
        <v>5981</v>
      </c>
      <c r="L63" s="11">
        <v>0</v>
      </c>
      <c r="M63" s="11">
        <v>0</v>
      </c>
      <c r="N63" s="13">
        <v>0</v>
      </c>
      <c r="O63" s="11">
        <v>0</v>
      </c>
      <c r="P63" s="11">
        <v>0</v>
      </c>
      <c r="Q63" s="13">
        <f>K63+N63</f>
        <v>5981</v>
      </c>
      <c r="R63" s="11">
        <f>L63+O63</f>
        <v>0</v>
      </c>
      <c r="S63" s="11">
        <f>M63+P63</f>
        <v>0</v>
      </c>
      <c r="T63" s="8">
        <f>I63-Q63</f>
        <v>-3618</v>
      </c>
      <c r="U63" s="18">
        <v>0.15313345082250157</v>
      </c>
      <c r="V63" s="11">
        <v>0</v>
      </c>
      <c r="W63" s="11">
        <v>0</v>
      </c>
      <c r="X63" s="11">
        <v>3</v>
      </c>
      <c r="Y63" s="11">
        <v>3</v>
      </c>
    </row>
    <row r="64" spans="1:25" x14ac:dyDescent="0.25">
      <c r="A64" s="20" t="s">
        <v>3047</v>
      </c>
      <c r="B64" s="20" t="s">
        <v>257</v>
      </c>
      <c r="C64" s="20" t="s">
        <v>3048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>
        <v>-4.8221314479674066E-3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3064</v>
      </c>
      <c r="B65" s="20" t="s">
        <v>949</v>
      </c>
      <c r="C65" s="20" t="s">
        <v>3065</v>
      </c>
      <c r="D65" s="20" t="s">
        <v>216</v>
      </c>
      <c r="E65" s="13">
        <v>0</v>
      </c>
      <c r="F65" s="11">
        <v>0</v>
      </c>
      <c r="G65" s="13">
        <v>0</v>
      </c>
      <c r="H65" s="11">
        <v>0</v>
      </c>
      <c r="I65" s="13">
        <f>E65+G65</f>
        <v>0</v>
      </c>
      <c r="J65" s="11">
        <f>F65+H65</f>
        <v>0</v>
      </c>
      <c r="K65" s="13">
        <v>0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0</v>
      </c>
      <c r="R65" s="11">
        <f>L65+O65</f>
        <v>0</v>
      </c>
      <c r="S65" s="11">
        <f>M65+P65</f>
        <v>0</v>
      </c>
      <c r="T65" s="8">
        <f>I65-Q65</f>
        <v>0</v>
      </c>
      <c r="U65" s="18">
        <v>2.4069974134009664E-3</v>
      </c>
      <c r="V65" s="11">
        <v>0</v>
      </c>
      <c r="W65" s="11">
        <v>0</v>
      </c>
      <c r="X65" s="11">
        <v>0</v>
      </c>
      <c r="Y65" s="11">
        <v>0</v>
      </c>
    </row>
    <row r="66" spans="1:25" x14ac:dyDescent="0.25">
      <c r="A66" s="20" t="s">
        <v>3091</v>
      </c>
      <c r="B66" s="20" t="s">
        <v>97</v>
      </c>
      <c r="C66" s="20" t="s">
        <v>846</v>
      </c>
      <c r="D66" s="20" t="s">
        <v>216</v>
      </c>
      <c r="E66" s="13">
        <v>7953</v>
      </c>
      <c r="F66" s="11">
        <v>1</v>
      </c>
      <c r="G66" s="13">
        <v>5017</v>
      </c>
      <c r="H66" s="11">
        <v>0</v>
      </c>
      <c r="I66" s="13">
        <f>E66+G66</f>
        <v>12970</v>
      </c>
      <c r="J66" s="11">
        <f>F66+H66</f>
        <v>1</v>
      </c>
      <c r="K66" s="13">
        <v>8109</v>
      </c>
      <c r="L66" s="11">
        <v>0</v>
      </c>
      <c r="M66" s="11">
        <v>1</v>
      </c>
      <c r="N66" s="13">
        <v>17826</v>
      </c>
      <c r="O66" s="11">
        <v>0</v>
      </c>
      <c r="P66" s="11">
        <v>5</v>
      </c>
      <c r="Q66" s="13">
        <f>K66+N66</f>
        <v>25935</v>
      </c>
      <c r="R66" s="11">
        <f>L66+O66</f>
        <v>0</v>
      </c>
      <c r="S66" s="11">
        <f>M66+P66</f>
        <v>6</v>
      </c>
      <c r="T66" s="8">
        <f>I66-Q66</f>
        <v>-12965</v>
      </c>
      <c r="U66" s="18">
        <v>9.4453302220452923E-2</v>
      </c>
      <c r="V66" s="11">
        <v>0.38</v>
      </c>
      <c r="W66" s="11">
        <v>8</v>
      </c>
      <c r="X66" s="11">
        <v>13</v>
      </c>
      <c r="Y66" s="11">
        <v>2</v>
      </c>
    </row>
    <row r="67" spans="1:25" x14ac:dyDescent="0.25">
      <c r="A67" s="20" t="s">
        <v>3092</v>
      </c>
      <c r="B67" s="20" t="s">
        <v>949</v>
      </c>
      <c r="C67" s="20" t="s">
        <v>3089</v>
      </c>
      <c r="D67" s="20" t="s">
        <v>216</v>
      </c>
      <c r="E67" s="13">
        <v>0</v>
      </c>
      <c r="F67" s="11">
        <v>0</v>
      </c>
      <c r="G67" s="13">
        <v>0</v>
      </c>
      <c r="H67" s="11">
        <v>0</v>
      </c>
      <c r="I67" s="13">
        <f>E67+G67</f>
        <v>0</v>
      </c>
      <c r="J67" s="11">
        <f>F67+H67</f>
        <v>0</v>
      </c>
      <c r="K67" s="13">
        <v>0</v>
      </c>
      <c r="L67" s="11">
        <v>0</v>
      </c>
      <c r="M67" s="11">
        <v>0</v>
      </c>
      <c r="N67" s="13">
        <v>0</v>
      </c>
      <c r="O67" s="11">
        <v>0</v>
      </c>
      <c r="P67" s="11">
        <v>0</v>
      </c>
      <c r="Q67" s="13">
        <f>K67+N67</f>
        <v>0</v>
      </c>
      <c r="R67" s="11">
        <f>L67+O67</f>
        <v>0</v>
      </c>
      <c r="S67" s="11">
        <f>M67+P67</f>
        <v>0</v>
      </c>
      <c r="T67" s="8">
        <f>I67-Q67</f>
        <v>0</v>
      </c>
      <c r="U67" s="18">
        <v>8.8247008390000922E-2</v>
      </c>
      <c r="V67" s="11">
        <v>0</v>
      </c>
      <c r="W67" s="11">
        <v>0</v>
      </c>
      <c r="X67" s="11">
        <v>0</v>
      </c>
      <c r="Y67" s="11">
        <v>0</v>
      </c>
    </row>
    <row r="68" spans="1:25" x14ac:dyDescent="0.25">
      <c r="A68" s="20" t="s">
        <v>3120</v>
      </c>
      <c r="B68" s="20" t="s">
        <v>949</v>
      </c>
      <c r="C68" s="20" t="s">
        <v>959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>
        <v>-4.0783385386150318E-2</v>
      </c>
      <c r="V68" s="11">
        <v>0</v>
      </c>
      <c r="W68" s="11">
        <v>0</v>
      </c>
      <c r="X68" s="11">
        <v>0</v>
      </c>
      <c r="Y68" s="11">
        <v>0</v>
      </c>
    </row>
    <row r="69" spans="1:25" x14ac:dyDescent="0.25">
      <c r="A69" s="20" t="s">
        <v>3142</v>
      </c>
      <c r="B69" s="20" t="s">
        <v>949</v>
      </c>
      <c r="C69" s="20" t="s">
        <v>961</v>
      </c>
      <c r="D69" s="20" t="s">
        <v>216</v>
      </c>
      <c r="E69" s="13">
        <v>0</v>
      </c>
      <c r="F69" s="11">
        <v>0</v>
      </c>
      <c r="G69" s="13">
        <v>0</v>
      </c>
      <c r="H69" s="11">
        <v>0</v>
      </c>
      <c r="I69" s="13">
        <f>E69+G69</f>
        <v>0</v>
      </c>
      <c r="J69" s="11">
        <f>F69+H69</f>
        <v>0</v>
      </c>
      <c r="K69" s="13">
        <v>0</v>
      </c>
      <c r="L69" s="11">
        <v>0</v>
      </c>
      <c r="M69" s="11">
        <v>0</v>
      </c>
      <c r="N69" s="13">
        <v>0</v>
      </c>
      <c r="O69" s="11">
        <v>0</v>
      </c>
      <c r="P69" s="11">
        <v>0</v>
      </c>
      <c r="Q69" s="13">
        <f>K69+N69</f>
        <v>0</v>
      </c>
      <c r="R69" s="11">
        <f>L69+O69</f>
        <v>0</v>
      </c>
      <c r="S69" s="11">
        <f>M69+P69</f>
        <v>0</v>
      </c>
      <c r="T69" s="8">
        <f>I69-Q69</f>
        <v>0</v>
      </c>
      <c r="U69" s="18">
        <v>-0.26046453112550244</v>
      </c>
      <c r="V69" s="11">
        <v>0</v>
      </c>
      <c r="W69" s="11">
        <v>0</v>
      </c>
      <c r="X69" s="11">
        <v>2</v>
      </c>
      <c r="Y69" s="11">
        <v>0</v>
      </c>
    </row>
    <row r="70" spans="1:25" x14ac:dyDescent="0.25">
      <c r="A70" s="20" t="s">
        <v>3151</v>
      </c>
      <c r="B70" s="20" t="s">
        <v>949</v>
      </c>
      <c r="C70" s="20" t="s">
        <v>982</v>
      </c>
      <c r="D70" s="20" t="s">
        <v>216</v>
      </c>
      <c r="E70" s="13">
        <v>0</v>
      </c>
      <c r="F70" s="11">
        <v>0</v>
      </c>
      <c r="G70" s="13">
        <v>7612</v>
      </c>
      <c r="H70" s="11">
        <v>0</v>
      </c>
      <c r="I70" s="13">
        <f>E70+G70</f>
        <v>7612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8366</v>
      </c>
      <c r="O70" s="11">
        <v>1</v>
      </c>
      <c r="P70" s="11">
        <v>1</v>
      </c>
      <c r="Q70" s="13">
        <f>K70+N70</f>
        <v>8366</v>
      </c>
      <c r="R70" s="11">
        <f>L70+O70</f>
        <v>1</v>
      </c>
      <c r="S70" s="11">
        <f>M70+P70</f>
        <v>1</v>
      </c>
      <c r="T70" s="8">
        <f>I70-Q70</f>
        <v>-754</v>
      </c>
      <c r="U70" s="18">
        <v>3.2384582196577381E-2</v>
      </c>
      <c r="V70" s="11">
        <v>0</v>
      </c>
      <c r="W70" s="11">
        <v>0</v>
      </c>
      <c r="X70" s="11">
        <v>2</v>
      </c>
      <c r="Y70" s="11">
        <v>0</v>
      </c>
    </row>
    <row r="71" spans="1:25" x14ac:dyDescent="0.25">
      <c r="A71" s="20" t="s">
        <v>3166</v>
      </c>
      <c r="B71" s="20" t="s">
        <v>257</v>
      </c>
      <c r="C71" s="20" t="s">
        <v>920</v>
      </c>
      <c r="D71" s="20" t="s">
        <v>216</v>
      </c>
      <c r="E71" s="13">
        <v>8345.98</v>
      </c>
      <c r="F71" s="11">
        <v>0</v>
      </c>
      <c r="G71" s="13">
        <v>60831.1</v>
      </c>
      <c r="H71" s="11">
        <v>1</v>
      </c>
      <c r="I71" s="13">
        <f>E71+G71</f>
        <v>69177.08</v>
      </c>
      <c r="J71" s="11">
        <f>F71+H71</f>
        <v>1</v>
      </c>
      <c r="K71" s="13">
        <v>11522</v>
      </c>
      <c r="L71" s="11">
        <v>1</v>
      </c>
      <c r="M71" s="11">
        <v>2</v>
      </c>
      <c r="N71" s="13">
        <v>91307.5</v>
      </c>
      <c r="O71" s="11">
        <v>3</v>
      </c>
      <c r="P71" s="11">
        <v>7</v>
      </c>
      <c r="Q71" s="13">
        <f>K71+N71</f>
        <v>102829.5</v>
      </c>
      <c r="R71" s="11">
        <f>L71+O71</f>
        <v>4</v>
      </c>
      <c r="S71" s="11">
        <f>M71+P71</f>
        <v>9</v>
      </c>
      <c r="T71" s="8">
        <f>I71-Q71</f>
        <v>-33652.42</v>
      </c>
      <c r="U71" s="18">
        <v>4.2560984539996925E-2</v>
      </c>
      <c r="V71" s="11">
        <v>0.28999999999999998</v>
      </c>
      <c r="W71" s="11">
        <v>6</v>
      </c>
      <c r="X71" s="11">
        <v>15</v>
      </c>
      <c r="Y71" s="11">
        <v>1</v>
      </c>
    </row>
    <row r="72" spans="1:25" x14ac:dyDescent="0.25">
      <c r="A72" s="20" t="s">
        <v>3168</v>
      </c>
      <c r="B72" s="20" t="s">
        <v>60</v>
      </c>
      <c r="C72" s="20" t="s">
        <v>3169</v>
      </c>
      <c r="D72" s="20" t="s">
        <v>216</v>
      </c>
      <c r="E72" s="13">
        <v>6554.17</v>
      </c>
      <c r="F72" s="11">
        <v>1</v>
      </c>
      <c r="G72" s="13">
        <v>12177</v>
      </c>
      <c r="H72" s="11">
        <v>1</v>
      </c>
      <c r="I72" s="13">
        <f>E72+G72</f>
        <v>18731.169999999998</v>
      </c>
      <c r="J72" s="11">
        <f>F72+H72</f>
        <v>2</v>
      </c>
      <c r="K72" s="13">
        <v>0</v>
      </c>
      <c r="L72" s="11">
        <v>0</v>
      </c>
      <c r="M72" s="11">
        <v>0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0</v>
      </c>
      <c r="T72" s="8">
        <f>I72-Q72</f>
        <v>18731.169999999998</v>
      </c>
      <c r="U72" s="18">
        <v>9.3786068932628391E-2</v>
      </c>
      <c r="V72" s="11">
        <v>0.5</v>
      </c>
      <c r="W72" s="11">
        <v>2</v>
      </c>
      <c r="X72" s="11">
        <v>2</v>
      </c>
      <c r="Y72" s="11">
        <v>1</v>
      </c>
    </row>
    <row r="73" spans="1:25" x14ac:dyDescent="0.25">
      <c r="A73" s="20" t="s">
        <v>3171</v>
      </c>
      <c r="B73" s="20" t="s">
        <v>91</v>
      </c>
      <c r="C73" s="20" t="s">
        <v>3172</v>
      </c>
      <c r="D73" s="20" t="s">
        <v>216</v>
      </c>
      <c r="E73" s="13">
        <v>50858</v>
      </c>
      <c r="F73" s="11">
        <v>0</v>
      </c>
      <c r="G73" s="13">
        <v>0</v>
      </c>
      <c r="H73" s="11">
        <v>0</v>
      </c>
      <c r="I73" s="13">
        <f>E73+G73</f>
        <v>50858</v>
      </c>
      <c r="J73" s="11">
        <f>F73+H73</f>
        <v>0</v>
      </c>
      <c r="K73" s="13">
        <v>46131</v>
      </c>
      <c r="L73" s="11">
        <v>0</v>
      </c>
      <c r="M73" s="11">
        <v>0</v>
      </c>
      <c r="N73" s="13">
        <v>0</v>
      </c>
      <c r="O73" s="11">
        <v>0</v>
      </c>
      <c r="P73" s="11">
        <v>0</v>
      </c>
      <c r="Q73" s="13">
        <f>K73+N73</f>
        <v>46131</v>
      </c>
      <c r="R73" s="11">
        <f>L73+O73</f>
        <v>0</v>
      </c>
      <c r="S73" s="11">
        <f>M73+P73</f>
        <v>0</v>
      </c>
      <c r="T73" s="8">
        <f>I73-Q73</f>
        <v>4727</v>
      </c>
      <c r="U73" s="18">
        <v>3.6217258757421447E-2</v>
      </c>
      <c r="V73" s="11">
        <v>0</v>
      </c>
      <c r="W73" s="11">
        <v>0</v>
      </c>
      <c r="X73" s="11">
        <v>1</v>
      </c>
      <c r="Y73" s="11">
        <v>0</v>
      </c>
    </row>
    <row r="74" spans="1:25" x14ac:dyDescent="0.25">
      <c r="A74" s="20" t="s">
        <v>3173</v>
      </c>
      <c r="B74" s="20" t="s">
        <v>949</v>
      </c>
      <c r="C74" s="20" t="s">
        <v>954</v>
      </c>
      <c r="D74" s="20" t="s">
        <v>216</v>
      </c>
      <c r="E74" s="13">
        <v>0</v>
      </c>
      <c r="F74" s="11">
        <v>0</v>
      </c>
      <c r="G74" s="13">
        <v>1809.98</v>
      </c>
      <c r="H74" s="11">
        <v>0</v>
      </c>
      <c r="I74" s="13">
        <f>E74+G74</f>
        <v>1809.98</v>
      </c>
      <c r="J74" s="11">
        <f>F74+H74</f>
        <v>0</v>
      </c>
      <c r="K74" s="13">
        <v>0</v>
      </c>
      <c r="L74" s="11">
        <v>0</v>
      </c>
      <c r="M74" s="11">
        <v>0</v>
      </c>
      <c r="N74" s="13">
        <v>0</v>
      </c>
      <c r="O74" s="11">
        <v>0</v>
      </c>
      <c r="P74" s="11">
        <v>3</v>
      </c>
      <c r="Q74" s="13">
        <f>K74+N74</f>
        <v>0</v>
      </c>
      <c r="R74" s="11">
        <f>L74+O74</f>
        <v>0</v>
      </c>
      <c r="S74" s="11">
        <f>M74+P74</f>
        <v>3</v>
      </c>
      <c r="T74" s="8">
        <f>I74-Q74</f>
        <v>1809.98</v>
      </c>
      <c r="U74" s="18">
        <v>5.4710668243635324E-3</v>
      </c>
      <c r="V74" s="11">
        <v>0.3</v>
      </c>
      <c r="W74" s="11">
        <v>3</v>
      </c>
      <c r="X74" s="11">
        <v>7</v>
      </c>
      <c r="Y74" s="11">
        <v>0</v>
      </c>
    </row>
    <row r="75" spans="1:25" x14ac:dyDescent="0.25">
      <c r="A75" s="20" t="s">
        <v>3174</v>
      </c>
      <c r="B75" s="20" t="s">
        <v>949</v>
      </c>
      <c r="C75" s="20" t="s">
        <v>952</v>
      </c>
      <c r="D75" s="20" t="s">
        <v>216</v>
      </c>
      <c r="E75" s="13">
        <v>15260</v>
      </c>
      <c r="F75" s="11">
        <v>0</v>
      </c>
      <c r="G75" s="13">
        <v>20115</v>
      </c>
      <c r="H75" s="11">
        <v>0</v>
      </c>
      <c r="I75" s="13">
        <f>E75+G75</f>
        <v>35375</v>
      </c>
      <c r="J75" s="11">
        <f>F75+H75</f>
        <v>0</v>
      </c>
      <c r="K75" s="13">
        <v>18154</v>
      </c>
      <c r="L75" s="11">
        <v>0</v>
      </c>
      <c r="M75" s="11">
        <v>0</v>
      </c>
      <c r="N75" s="13">
        <v>5629</v>
      </c>
      <c r="O75" s="11">
        <v>0</v>
      </c>
      <c r="P75" s="11">
        <v>2</v>
      </c>
      <c r="Q75" s="13">
        <f>K75+N75</f>
        <v>23783</v>
      </c>
      <c r="R75" s="11">
        <f>L75+O75</f>
        <v>0</v>
      </c>
      <c r="S75" s="11">
        <f>M75+P75</f>
        <v>2</v>
      </c>
      <c r="T75" s="8">
        <f>I75-Q75</f>
        <v>11592</v>
      </c>
      <c r="U75" s="18">
        <v>1.6300187632669525E-2</v>
      </c>
      <c r="V75" s="11">
        <v>0.4</v>
      </c>
      <c r="W75" s="11">
        <v>2</v>
      </c>
      <c r="X75" s="11">
        <v>3</v>
      </c>
      <c r="Y75" s="11">
        <v>1</v>
      </c>
    </row>
    <row r="76" spans="1:25" x14ac:dyDescent="0.25">
      <c r="A76" s="20" t="s">
        <v>3199</v>
      </c>
      <c r="B76" s="20" t="s">
        <v>60</v>
      </c>
      <c r="C76" s="20" t="s">
        <v>3200</v>
      </c>
      <c r="D76" s="20" t="s">
        <v>216</v>
      </c>
      <c r="E76" s="13">
        <v>550</v>
      </c>
      <c r="F76" s="11">
        <v>0</v>
      </c>
      <c r="G76" s="13">
        <v>0</v>
      </c>
      <c r="H76" s="11">
        <v>0</v>
      </c>
      <c r="I76" s="13">
        <f>E76+G76</f>
        <v>550</v>
      </c>
      <c r="J76" s="11">
        <f>F76+H76</f>
        <v>0</v>
      </c>
      <c r="K76" s="13">
        <v>550</v>
      </c>
      <c r="L76" s="11">
        <v>0</v>
      </c>
      <c r="M76" s="11">
        <v>0</v>
      </c>
      <c r="N76" s="13">
        <v>8871</v>
      </c>
      <c r="O76" s="11">
        <v>0</v>
      </c>
      <c r="P76" s="11">
        <v>0</v>
      </c>
      <c r="Q76" s="13">
        <f>K76+N76</f>
        <v>9421</v>
      </c>
      <c r="R76" s="11">
        <f>L76+O76</f>
        <v>0</v>
      </c>
      <c r="S76" s="11">
        <f>M76+P76</f>
        <v>0</v>
      </c>
      <c r="T76" s="8">
        <f>I76-Q76</f>
        <v>-8871</v>
      </c>
      <c r="U76" s="18">
        <v>0.20159630476327828</v>
      </c>
      <c r="V76" s="11">
        <v>0</v>
      </c>
      <c r="W76" s="11">
        <v>0</v>
      </c>
      <c r="X76" s="11">
        <v>3</v>
      </c>
      <c r="Y76" s="11">
        <v>1</v>
      </c>
    </row>
    <row r="77" spans="1:25" x14ac:dyDescent="0.25">
      <c r="A77" s="20" t="s">
        <v>3220</v>
      </c>
      <c r="B77" s="20" t="s">
        <v>295</v>
      </c>
      <c r="C77" s="20" t="s">
        <v>3221</v>
      </c>
      <c r="D77" s="20" t="s">
        <v>216</v>
      </c>
      <c r="E77" s="13">
        <v>49322</v>
      </c>
      <c r="F77" s="11">
        <v>1</v>
      </c>
      <c r="G77" s="13">
        <v>7303</v>
      </c>
      <c r="H77" s="11">
        <v>1</v>
      </c>
      <c r="I77" s="13">
        <f>E77+G77</f>
        <v>56625</v>
      </c>
      <c r="J77" s="11">
        <f>F77+H77</f>
        <v>2</v>
      </c>
      <c r="K77" s="13">
        <v>33232.629999999997</v>
      </c>
      <c r="L77" s="11">
        <v>0</v>
      </c>
      <c r="M77" s="11">
        <v>1</v>
      </c>
      <c r="N77" s="13">
        <v>1035</v>
      </c>
      <c r="O77" s="11">
        <v>0</v>
      </c>
      <c r="P77" s="11">
        <v>2</v>
      </c>
      <c r="Q77" s="13">
        <f>K77+N77</f>
        <v>34267.629999999997</v>
      </c>
      <c r="R77" s="11">
        <f>L77+O77</f>
        <v>0</v>
      </c>
      <c r="S77" s="11">
        <f>M77+P77</f>
        <v>3</v>
      </c>
      <c r="T77" s="8">
        <f>I77-Q77</f>
        <v>22357.370000000003</v>
      </c>
      <c r="U77" s="18">
        <v>0.16659149624840378</v>
      </c>
      <c r="V77" s="11">
        <v>0.36</v>
      </c>
      <c r="W77" s="11">
        <v>5</v>
      </c>
      <c r="X77" s="11">
        <v>9</v>
      </c>
      <c r="Y77" s="11">
        <v>1</v>
      </c>
    </row>
    <row r="78" spans="1:25" x14ac:dyDescent="0.25">
      <c r="A78" s="20" t="s">
        <v>3254</v>
      </c>
      <c r="B78" s="20" t="s">
        <v>327</v>
      </c>
      <c r="C78" s="20" t="s">
        <v>3255</v>
      </c>
      <c r="D78" s="20" t="s">
        <v>216</v>
      </c>
      <c r="E78" s="13">
        <v>0</v>
      </c>
      <c r="F78" s="11">
        <v>0</v>
      </c>
      <c r="G78" s="13">
        <v>0</v>
      </c>
      <c r="H78" s="11">
        <v>0</v>
      </c>
      <c r="I78" s="13">
        <f>E78+G78</f>
        <v>0</v>
      </c>
      <c r="J78" s="11">
        <f>F78+H78</f>
        <v>0</v>
      </c>
      <c r="K78" s="13">
        <v>0</v>
      </c>
      <c r="L78" s="11">
        <v>0</v>
      </c>
      <c r="M78" s="11">
        <v>1</v>
      </c>
      <c r="N78" s="13">
        <v>0</v>
      </c>
      <c r="O78" s="11">
        <v>0</v>
      </c>
      <c r="P78" s="11">
        <v>0</v>
      </c>
      <c r="Q78" s="13">
        <f>K78+N78</f>
        <v>0</v>
      </c>
      <c r="R78" s="11">
        <f>L78+O78</f>
        <v>0</v>
      </c>
      <c r="S78" s="11">
        <f>M78+P78</f>
        <v>1</v>
      </c>
      <c r="T78" s="8">
        <f>I78-Q78</f>
        <v>0</v>
      </c>
      <c r="U78" s="18">
        <v>0.15651889108504832</v>
      </c>
      <c r="V78" s="11">
        <v>0.5</v>
      </c>
      <c r="W78" s="11">
        <v>1</v>
      </c>
      <c r="X78" s="11">
        <v>1</v>
      </c>
      <c r="Y78" s="11">
        <v>1</v>
      </c>
    </row>
    <row r="79" spans="1:25" x14ac:dyDescent="0.25">
      <c r="A79" s="20" t="s">
        <v>3266</v>
      </c>
      <c r="B79" s="20" t="s">
        <v>77</v>
      </c>
      <c r="C79" s="20" t="s">
        <v>3264</v>
      </c>
      <c r="D79" s="20" t="s">
        <v>216</v>
      </c>
      <c r="E79" s="13">
        <v>2551</v>
      </c>
      <c r="F79" s="11">
        <v>0</v>
      </c>
      <c r="G79" s="13">
        <v>0</v>
      </c>
      <c r="H79" s="11">
        <v>0</v>
      </c>
      <c r="I79" s="13">
        <f>E79+G79</f>
        <v>2551</v>
      </c>
      <c r="J79" s="11">
        <f>F79+H79</f>
        <v>0</v>
      </c>
      <c r="K79" s="13">
        <v>1839</v>
      </c>
      <c r="L79" s="11">
        <v>0</v>
      </c>
      <c r="M79" s="11">
        <v>2</v>
      </c>
      <c r="N79" s="13">
        <v>11583</v>
      </c>
      <c r="O79" s="11">
        <v>0</v>
      </c>
      <c r="P79" s="11">
        <v>0</v>
      </c>
      <c r="Q79" s="13">
        <f>K79+N79</f>
        <v>13422</v>
      </c>
      <c r="R79" s="11">
        <f>L79+O79</f>
        <v>0</v>
      </c>
      <c r="S79" s="11">
        <f>M79+P79</f>
        <v>2</v>
      </c>
      <c r="T79" s="8">
        <f>I79-Q79</f>
        <v>-10871</v>
      </c>
      <c r="U79" s="18">
        <v>7.6055432095320139</v>
      </c>
      <c r="V79" s="11">
        <v>0.67</v>
      </c>
      <c r="W79" s="11">
        <v>2</v>
      </c>
      <c r="X79" s="11">
        <v>1</v>
      </c>
      <c r="Y79" s="11">
        <v>0</v>
      </c>
    </row>
    <row r="80" spans="1:25" x14ac:dyDescent="0.25">
      <c r="A80" s="20" t="s">
        <v>3309</v>
      </c>
      <c r="B80" s="20" t="s">
        <v>3203</v>
      </c>
      <c r="C80" s="20" t="s">
        <v>876</v>
      </c>
      <c r="D80" s="20" t="s">
        <v>216</v>
      </c>
      <c r="E80" s="13">
        <v>0</v>
      </c>
      <c r="F80" s="11">
        <v>0</v>
      </c>
      <c r="G80" s="13">
        <v>12457</v>
      </c>
      <c r="H80" s="11">
        <v>0</v>
      </c>
      <c r="I80" s="13">
        <f>E80+G80</f>
        <v>12457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11487</v>
      </c>
      <c r="O80" s="11">
        <v>0</v>
      </c>
      <c r="P80" s="11">
        <v>0</v>
      </c>
      <c r="Q80" s="13">
        <f>K80+N80</f>
        <v>11487</v>
      </c>
      <c r="R80" s="11">
        <f>L80+O80</f>
        <v>0</v>
      </c>
      <c r="S80" s="11">
        <f>M80+P80</f>
        <v>0</v>
      </c>
      <c r="T80" s="8">
        <f>I80-Q80</f>
        <v>970</v>
      </c>
      <c r="U80" s="18">
        <v>3.2793460229242878E-2</v>
      </c>
      <c r="V80" s="11">
        <v>0</v>
      </c>
      <c r="W80" s="11">
        <v>0</v>
      </c>
      <c r="X80" s="11">
        <v>1</v>
      </c>
      <c r="Y80" s="11">
        <v>0</v>
      </c>
    </row>
    <row r="81" spans="1:25" x14ac:dyDescent="0.25">
      <c r="A81" s="20" t="s">
        <v>3310</v>
      </c>
      <c r="B81" s="20" t="s">
        <v>3203</v>
      </c>
      <c r="C81" s="20" t="s">
        <v>881</v>
      </c>
      <c r="D81" s="20" t="s">
        <v>216</v>
      </c>
      <c r="E81" s="13">
        <v>-8699.75</v>
      </c>
      <c r="F81" s="11">
        <v>0</v>
      </c>
      <c r="G81" s="13">
        <v>15811</v>
      </c>
      <c r="H81" s="11">
        <v>0</v>
      </c>
      <c r="I81" s="13">
        <f>E81+G81</f>
        <v>7111.25</v>
      </c>
      <c r="J81" s="11">
        <f>F81+H81</f>
        <v>0</v>
      </c>
      <c r="K81" s="13">
        <v>3797</v>
      </c>
      <c r="L81" s="11">
        <v>0</v>
      </c>
      <c r="M81" s="11">
        <v>0</v>
      </c>
      <c r="N81" s="13">
        <v>6847</v>
      </c>
      <c r="O81" s="11">
        <v>0</v>
      </c>
      <c r="P81" s="11">
        <v>1</v>
      </c>
      <c r="Q81" s="13">
        <f>K81+N81</f>
        <v>10644</v>
      </c>
      <c r="R81" s="11">
        <f>L81+O81</f>
        <v>0</v>
      </c>
      <c r="S81" s="11">
        <f>M81+P81</f>
        <v>1</v>
      </c>
      <c r="T81" s="8">
        <f>I81-Q81</f>
        <v>-3532.75</v>
      </c>
      <c r="U81" s="18">
        <v>-8.3143360958869886E-2</v>
      </c>
      <c r="V81" s="11">
        <v>0.33</v>
      </c>
      <c r="W81" s="11">
        <v>1</v>
      </c>
      <c r="X81" s="11">
        <v>2</v>
      </c>
      <c r="Y81" s="11">
        <v>0</v>
      </c>
    </row>
    <row r="82" spans="1:25" x14ac:dyDescent="0.25">
      <c r="A82" s="20" t="s">
        <v>3343</v>
      </c>
      <c r="B82" s="20" t="s">
        <v>3340</v>
      </c>
      <c r="C82" s="20" t="s">
        <v>3223</v>
      </c>
      <c r="D82" s="20" t="s">
        <v>216</v>
      </c>
      <c r="E82" s="13">
        <v>26540</v>
      </c>
      <c r="F82" s="11">
        <v>0</v>
      </c>
      <c r="G82" s="13">
        <v>20844.62</v>
      </c>
      <c r="H82" s="11">
        <v>1</v>
      </c>
      <c r="I82" s="13">
        <f>E82+G82</f>
        <v>47384.619999999995</v>
      </c>
      <c r="J82" s="11">
        <f>F82+H82</f>
        <v>1</v>
      </c>
      <c r="K82" s="13">
        <v>53445.7</v>
      </c>
      <c r="L82" s="11">
        <v>0</v>
      </c>
      <c r="M82" s="11">
        <v>1</v>
      </c>
      <c r="N82" s="13">
        <v>13898.3</v>
      </c>
      <c r="O82" s="11">
        <v>1</v>
      </c>
      <c r="P82" s="11">
        <v>4</v>
      </c>
      <c r="Q82" s="13">
        <f>K82+N82</f>
        <v>67344</v>
      </c>
      <c r="R82" s="11">
        <f>L82+O82</f>
        <v>1</v>
      </c>
      <c r="S82" s="11">
        <f>M82+P82</f>
        <v>5</v>
      </c>
      <c r="T82" s="8">
        <f>I82-Q82</f>
        <v>-19959.380000000005</v>
      </c>
      <c r="U82" s="18">
        <v>0.24790932294287615</v>
      </c>
      <c r="V82" s="11">
        <v>0.5</v>
      </c>
      <c r="W82" s="11">
        <v>5</v>
      </c>
      <c r="X82" s="11">
        <v>5</v>
      </c>
      <c r="Y82" s="11">
        <v>1</v>
      </c>
    </row>
    <row r="83" spans="1:25" x14ac:dyDescent="0.25">
      <c r="A83" s="20" t="s">
        <v>3342</v>
      </c>
      <c r="B83" s="20" t="s">
        <v>3342</v>
      </c>
      <c r="C83" s="20" t="s">
        <v>3344</v>
      </c>
      <c r="D83" s="20" t="s">
        <v>216</v>
      </c>
      <c r="E83" s="13">
        <v>102025</v>
      </c>
      <c r="F83" s="11">
        <v>2</v>
      </c>
      <c r="G83" s="13">
        <v>36682.370000000003</v>
      </c>
      <c r="H83" s="11">
        <v>0</v>
      </c>
      <c r="I83" s="13">
        <f>E83+G83</f>
        <v>138707.37</v>
      </c>
      <c r="J83" s="11">
        <f>F83+H83</f>
        <v>2</v>
      </c>
      <c r="K83" s="13">
        <v>117002.81</v>
      </c>
      <c r="L83" s="11">
        <v>0</v>
      </c>
      <c r="M83" s="11">
        <v>8</v>
      </c>
      <c r="N83" s="13">
        <v>102940.12</v>
      </c>
      <c r="O83" s="11">
        <v>1</v>
      </c>
      <c r="P83" s="11">
        <v>4</v>
      </c>
      <c r="Q83" s="13">
        <f>K83+N83</f>
        <v>219942.93</v>
      </c>
      <c r="R83" s="11">
        <f>L83+O83</f>
        <v>1</v>
      </c>
      <c r="S83" s="11">
        <f>M83+P83</f>
        <v>12</v>
      </c>
      <c r="T83" s="8">
        <f>I83-Q83</f>
        <v>-81235.56</v>
      </c>
      <c r="U83" s="18">
        <v>0.14761129433838144</v>
      </c>
      <c r="V83" s="11">
        <v>0.48</v>
      </c>
      <c r="W83" s="11">
        <v>13</v>
      </c>
      <c r="X83" s="11">
        <v>14</v>
      </c>
      <c r="Y83" s="11">
        <v>3</v>
      </c>
    </row>
    <row r="84" spans="1:25" x14ac:dyDescent="0.25">
      <c r="A84" s="20" t="s">
        <v>3421</v>
      </c>
      <c r="B84" s="20" t="s">
        <v>3422</v>
      </c>
      <c r="C84" s="20" t="s">
        <v>212</v>
      </c>
      <c r="D84" s="20" t="s">
        <v>216</v>
      </c>
      <c r="E84" s="13">
        <v>0</v>
      </c>
      <c r="F84" s="11">
        <v>0</v>
      </c>
      <c r="G84" s="13">
        <v>0</v>
      </c>
      <c r="H84" s="11">
        <v>0</v>
      </c>
      <c r="I84" s="13">
        <f>E84+G84</f>
        <v>0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0</v>
      </c>
      <c r="U84" s="18" t="s">
        <v>1803</v>
      </c>
      <c r="V84" s="11">
        <v>0</v>
      </c>
      <c r="W84" s="11">
        <v>0</v>
      </c>
      <c r="X84" s="11">
        <v>0</v>
      </c>
      <c r="Y84" s="11">
        <v>0</v>
      </c>
    </row>
    <row r="85" spans="1:25" x14ac:dyDescent="0.25">
      <c r="A85" s="20" t="s">
        <v>3586</v>
      </c>
      <c r="B85" s="20" t="s">
        <v>77</v>
      </c>
      <c r="C85" s="20" t="s">
        <v>3348</v>
      </c>
      <c r="D85" s="20" t="s">
        <v>216</v>
      </c>
      <c r="E85" s="13">
        <v>0</v>
      </c>
      <c r="F85" s="11">
        <v>0</v>
      </c>
      <c r="G85" s="13">
        <v>0</v>
      </c>
      <c r="H85" s="11">
        <v>0</v>
      </c>
      <c r="I85" s="13">
        <f>E85+G85</f>
        <v>0</v>
      </c>
      <c r="J85" s="11">
        <f>F85+H85</f>
        <v>0</v>
      </c>
      <c r="K85" s="13">
        <v>0</v>
      </c>
      <c r="L85" s="11">
        <v>0</v>
      </c>
      <c r="M85" s="11">
        <v>0</v>
      </c>
      <c r="N85" s="13">
        <v>0</v>
      </c>
      <c r="O85" s="11">
        <v>0</v>
      </c>
      <c r="P85" s="11">
        <v>0</v>
      </c>
      <c r="Q85" s="13">
        <f>K85+N85</f>
        <v>0</v>
      </c>
      <c r="R85" s="11">
        <f>L85+O85</f>
        <v>0</v>
      </c>
      <c r="S85" s="11">
        <f>M85+P85</f>
        <v>0</v>
      </c>
      <c r="T85" s="8">
        <f>I85-Q85</f>
        <v>0</v>
      </c>
      <c r="U85" s="18">
        <v>0.2616338065275694</v>
      </c>
      <c r="V85" s="11">
        <v>0</v>
      </c>
      <c r="W85" s="11">
        <v>0</v>
      </c>
      <c r="X85" s="11">
        <v>0</v>
      </c>
      <c r="Y85" s="11">
        <v>0</v>
      </c>
    </row>
    <row r="86" spans="1:25" x14ac:dyDescent="0.25">
      <c r="A86" s="20" t="s">
        <v>3585</v>
      </c>
      <c r="B86" s="20" t="s">
        <v>3203</v>
      </c>
      <c r="C86" s="20" t="s">
        <v>899</v>
      </c>
      <c r="D86" s="20" t="s">
        <v>216</v>
      </c>
      <c r="E86" s="13">
        <v>0</v>
      </c>
      <c r="F86" s="11">
        <v>0</v>
      </c>
      <c r="G86" s="13">
        <v>0</v>
      </c>
      <c r="H86" s="11">
        <v>0</v>
      </c>
      <c r="I86" s="13">
        <f>E86+G86</f>
        <v>0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0</v>
      </c>
      <c r="U86" s="18">
        <v>-1.7571393302394642</v>
      </c>
      <c r="V86" s="11">
        <v>0</v>
      </c>
      <c r="W86" s="11">
        <v>0</v>
      </c>
      <c r="X86" s="11">
        <v>0</v>
      </c>
      <c r="Y86" s="11">
        <v>0</v>
      </c>
    </row>
    <row r="87" spans="1:25" x14ac:dyDescent="0.25">
      <c r="A87" s="20" t="s">
        <v>3621</v>
      </c>
      <c r="B87" s="20" t="s">
        <v>3621</v>
      </c>
      <c r="C87" s="20" t="s">
        <v>3623</v>
      </c>
      <c r="D87" s="20" t="s">
        <v>216</v>
      </c>
      <c r="E87" s="13">
        <v>0</v>
      </c>
      <c r="F87" s="11">
        <v>0</v>
      </c>
      <c r="G87" s="13">
        <v>11364</v>
      </c>
      <c r="H87" s="11">
        <v>0</v>
      </c>
      <c r="I87" s="13">
        <f>E87+G87</f>
        <v>11364</v>
      </c>
      <c r="J87" s="11">
        <f>F87+H87</f>
        <v>0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11364</v>
      </c>
      <c r="U87" s="18">
        <v>0.38169923530357741</v>
      </c>
      <c r="V87" s="11">
        <v>0</v>
      </c>
      <c r="W87" s="11">
        <v>0</v>
      </c>
      <c r="X87" s="11">
        <v>0</v>
      </c>
      <c r="Y87" s="11">
        <v>0</v>
      </c>
    </row>
    <row r="88" spans="1:25" x14ac:dyDescent="0.25">
      <c r="A88" s="20" t="s">
        <v>3624</v>
      </c>
      <c r="B88" s="20" t="s">
        <v>60</v>
      </c>
      <c r="C88" s="20" t="s">
        <v>3625</v>
      </c>
      <c r="D88" s="20" t="s">
        <v>216</v>
      </c>
      <c r="E88" s="13">
        <v>0</v>
      </c>
      <c r="F88" s="11">
        <v>0</v>
      </c>
      <c r="G88" s="13">
        <v>0</v>
      </c>
      <c r="H88" s="11">
        <v>0</v>
      </c>
      <c r="I88" s="13">
        <f>E88+G88</f>
        <v>0</v>
      </c>
      <c r="J88" s="11">
        <f>F88+H88</f>
        <v>0</v>
      </c>
      <c r="K88" s="13">
        <v>0</v>
      </c>
      <c r="L88" s="11">
        <v>0</v>
      </c>
      <c r="M88" s="11">
        <v>0</v>
      </c>
      <c r="N88" s="13">
        <v>0</v>
      </c>
      <c r="O88" s="11">
        <v>0</v>
      </c>
      <c r="P88" s="11">
        <v>0</v>
      </c>
      <c r="Q88" s="13">
        <f>K88+N88</f>
        <v>0</v>
      </c>
      <c r="R88" s="11">
        <f>L88+O88</f>
        <v>0</v>
      </c>
      <c r="S88" s="11">
        <f>M88+P88</f>
        <v>0</v>
      </c>
      <c r="T88" s="8">
        <f>I88-Q88</f>
        <v>0</v>
      </c>
      <c r="U88" s="18" t="s">
        <v>1803</v>
      </c>
      <c r="V88" s="11">
        <v>0</v>
      </c>
      <c r="W88" s="11">
        <v>0</v>
      </c>
      <c r="X88" s="11">
        <v>0</v>
      </c>
      <c r="Y88" s="11">
        <v>0</v>
      </c>
    </row>
    <row r="89" spans="1:25" x14ac:dyDescent="0.25">
      <c r="A89" s="20" t="s">
        <v>3667</v>
      </c>
      <c r="B89" s="20" t="s">
        <v>124</v>
      </c>
      <c r="C89" s="20" t="s">
        <v>3668</v>
      </c>
      <c r="D89" s="20" t="s">
        <v>216</v>
      </c>
      <c r="E89" s="13">
        <v>0</v>
      </c>
      <c r="F89" s="11">
        <v>0</v>
      </c>
      <c r="G89" s="13">
        <v>0</v>
      </c>
      <c r="H89" s="11">
        <v>0</v>
      </c>
      <c r="I89" s="13">
        <f>E89+G89</f>
        <v>0</v>
      </c>
      <c r="J89" s="11">
        <f>F89+H89</f>
        <v>0</v>
      </c>
      <c r="K89" s="13">
        <v>0</v>
      </c>
      <c r="L89" s="11">
        <v>0</v>
      </c>
      <c r="M89" s="11">
        <v>0</v>
      </c>
      <c r="N89" s="13">
        <v>0</v>
      </c>
      <c r="O89" s="11">
        <v>0</v>
      </c>
      <c r="P89" s="11">
        <v>0</v>
      </c>
      <c r="Q89" s="13">
        <f>K89+N89</f>
        <v>0</v>
      </c>
      <c r="R89" s="11">
        <f>L89+O89</f>
        <v>0</v>
      </c>
      <c r="S89" s="11">
        <f>M89+P89</f>
        <v>0</v>
      </c>
      <c r="T89" s="8">
        <f>I89-Q89</f>
        <v>0</v>
      </c>
      <c r="U89" s="18" t="s">
        <v>1803</v>
      </c>
      <c r="V89" s="11">
        <v>0</v>
      </c>
      <c r="W89" s="11">
        <v>0</v>
      </c>
      <c r="X89" s="11">
        <v>0</v>
      </c>
      <c r="Y89" s="11">
        <v>0</v>
      </c>
    </row>
    <row r="90" spans="1:25" x14ac:dyDescent="0.25">
      <c r="A90" s="20" t="s">
        <v>3669</v>
      </c>
      <c r="B90" s="20" t="s">
        <v>60</v>
      </c>
      <c r="C90" s="20" t="s">
        <v>3670</v>
      </c>
      <c r="D90" s="20" t="s">
        <v>216</v>
      </c>
      <c r="E90" s="13">
        <v>0</v>
      </c>
      <c r="F90" s="11">
        <v>0</v>
      </c>
      <c r="G90" s="13">
        <v>0</v>
      </c>
      <c r="H90" s="11">
        <v>0</v>
      </c>
      <c r="I90" s="13">
        <f>E90+G90</f>
        <v>0</v>
      </c>
      <c r="J90" s="11">
        <f>F90+H90</f>
        <v>0</v>
      </c>
      <c r="K90" s="13">
        <v>0</v>
      </c>
      <c r="L90" s="11">
        <v>0</v>
      </c>
      <c r="M90" s="11">
        <v>0</v>
      </c>
      <c r="N90" s="13">
        <v>0</v>
      </c>
      <c r="O90" s="11">
        <v>0</v>
      </c>
      <c r="P90" s="11">
        <v>0</v>
      </c>
      <c r="Q90" s="13">
        <f>K90+N90</f>
        <v>0</v>
      </c>
      <c r="R90" s="11">
        <f>L90+O90</f>
        <v>0</v>
      </c>
      <c r="S90" s="11">
        <f>M90+P90</f>
        <v>0</v>
      </c>
      <c r="T90" s="8">
        <f>I90-Q90</f>
        <v>0</v>
      </c>
      <c r="U90" s="18" t="s">
        <v>1803</v>
      </c>
      <c r="V90" s="11">
        <v>0</v>
      </c>
      <c r="W90" s="11">
        <v>0</v>
      </c>
      <c r="X90" s="11">
        <v>0</v>
      </c>
      <c r="Y90" s="11">
        <v>0</v>
      </c>
    </row>
    <row r="91" spans="1:25" x14ac:dyDescent="0.25">
      <c r="A91" s="20" t="s">
        <v>988</v>
      </c>
      <c r="B91" s="20" t="s">
        <v>124</v>
      </c>
      <c r="C91" s="20" t="s">
        <v>989</v>
      </c>
      <c r="D91" s="20" t="s">
        <v>216</v>
      </c>
      <c r="E91" s="13">
        <v>28882</v>
      </c>
      <c r="F91" s="11">
        <v>0</v>
      </c>
      <c r="G91" s="13">
        <v>15176</v>
      </c>
      <c r="H91" s="11">
        <v>0</v>
      </c>
      <c r="I91" s="13">
        <f>E91+G91</f>
        <v>44058</v>
      </c>
      <c r="J91" s="11">
        <f>F91+H91</f>
        <v>0</v>
      </c>
      <c r="K91" s="13">
        <v>40695.64</v>
      </c>
      <c r="L91" s="11">
        <v>1</v>
      </c>
      <c r="M91" s="11">
        <v>2</v>
      </c>
      <c r="N91" s="13">
        <v>14403</v>
      </c>
      <c r="O91" s="11">
        <v>0</v>
      </c>
      <c r="P91" s="11">
        <v>1</v>
      </c>
      <c r="Q91" s="13">
        <f>K91+N91</f>
        <v>55098.64</v>
      </c>
      <c r="R91" s="11">
        <f>L91+O91</f>
        <v>1</v>
      </c>
      <c r="S91" s="11">
        <f>M91+P91</f>
        <v>3</v>
      </c>
      <c r="T91" s="8">
        <f>I91-Q91</f>
        <v>-11040.64</v>
      </c>
      <c r="U91" s="18">
        <v>0.88464068659213879</v>
      </c>
      <c r="V91" s="11">
        <v>0.5</v>
      </c>
      <c r="W91" s="11">
        <v>2</v>
      </c>
      <c r="X91" s="11">
        <v>2</v>
      </c>
      <c r="Y91" s="11">
        <v>0</v>
      </c>
    </row>
    <row r="92" spans="1:25" x14ac:dyDescent="0.25">
      <c r="A92" s="20" t="s">
        <v>1805</v>
      </c>
      <c r="B92" s="20"/>
      <c r="C92" s="20"/>
      <c r="D92" s="20"/>
      <c r="E92" s="13">
        <f>SUBTOTAL(109,TablePAS[YTD WP])</f>
        <v>1116638.1000000001</v>
      </c>
      <c r="F92" s="11">
        <f>SUBTOTAL(109,TablePAS[YTD NB '#])</f>
        <v>17</v>
      </c>
      <c r="G92" s="13">
        <f>SUBTOTAL(109,TablePAS[[YTD WP ]])</f>
        <v>414210.18</v>
      </c>
      <c r="H92" s="11">
        <f>SUBTOTAL(109,TablePAS[YTD NB '# ])</f>
        <v>10</v>
      </c>
      <c r="I92" s="13">
        <f>SUBTOTAL(109,TablePAS[[YTD WP  ]])</f>
        <v>1530848.2799999998</v>
      </c>
      <c r="J92" s="11">
        <f>SUBTOTAL(109,TablePAS[YTD NB '#  ])</f>
        <v>27</v>
      </c>
      <c r="K92" s="13">
        <f>SUBTOTAL(109,TablePAS[PYTD WP])</f>
        <v>1148091.43</v>
      </c>
      <c r="L92" s="11">
        <f>SUBTOTAL(109,TablePAS[PYTD NB '#])</f>
        <v>11</v>
      </c>
      <c r="M92" s="11">
        <f>SUBTOTAL(109,TablePAS[PY Total NB '#])</f>
        <v>84</v>
      </c>
      <c r="N92" s="13">
        <f>SUBTOTAL(109,TablePAS[[PYTD WP ]])</f>
        <v>574620.28</v>
      </c>
      <c r="O92" s="11">
        <f>SUBTOTAL(109,TablePAS[PYTD NB '# ])</f>
        <v>15</v>
      </c>
      <c r="P92" s="11">
        <f>SUBTOTAL(109,TablePAS[PY Total NB '# ])</f>
        <v>99</v>
      </c>
      <c r="Q92" s="13">
        <f>SUBTOTAL(109,TablePAS[[PYTD WP  ]])</f>
        <v>1722711.71</v>
      </c>
      <c r="R92" s="11">
        <f>SUBTOTAL(109,TablePAS[PYTD NB '#  ])</f>
        <v>26</v>
      </c>
      <c r="S92" s="11">
        <f>SUBTOTAL(109,TablePAS[PY Total NB '#  ])</f>
        <v>183</v>
      </c>
      <c r="T92" s="8">
        <f>SUBTOTAL(109,TablePAS[Premium Change])</f>
        <v>-191863.43000000005</v>
      </c>
      <c r="V92" s="11">
        <f>ROUND(SUM(TablePAS[12 Mo Bound])/SUM(TablePAS[12 Mo Quoted])+ SUM(TablePAS[12 Mo Bound]), 2)</f>
        <v>187.62</v>
      </c>
      <c r="W92" s="11">
        <f>SUBTOTAL(109,TablePAS[12 Mo Bound])</f>
        <v>187</v>
      </c>
      <c r="X92" s="11">
        <f>SUBTOTAL(109,TablePAS[12 Mo Quoted])</f>
        <v>303</v>
      </c>
      <c r="Y92" s="11">
        <f>SUBTOTAL(109,TablePAS[12 Mo Declined])</f>
        <v>34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15E0-C7EA-42C3-8332-6A4D6174D01F}">
  <sheetPr>
    <pageSetUpPr fitToPage="1"/>
  </sheetPr>
  <dimension ref="A1:Z46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570312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12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990</v>
      </c>
      <c r="B7" s="20" t="s">
        <v>990</v>
      </c>
      <c r="C7" s="20" t="s">
        <v>991</v>
      </c>
      <c r="D7" s="20" t="s">
        <v>215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-231.09</v>
      </c>
      <c r="O7" s="11">
        <v>0</v>
      </c>
      <c r="P7" s="11">
        <v>0</v>
      </c>
      <c r="Q7" s="13">
        <f>K7+N7</f>
        <v>-231.09</v>
      </c>
      <c r="R7" s="11">
        <f>L7+O7</f>
        <v>0</v>
      </c>
      <c r="S7" s="11">
        <f>M7+P7</f>
        <v>0</v>
      </c>
      <c r="T7" s="8">
        <f>I7-Q7</f>
        <v>231.09</v>
      </c>
      <c r="U7" s="18">
        <v>0.38285040499014189</v>
      </c>
      <c r="V7" s="11">
        <v>0</v>
      </c>
      <c r="W7" s="11">
        <v>0</v>
      </c>
      <c r="X7" s="11">
        <v>0</v>
      </c>
      <c r="Y7" s="11">
        <v>0</v>
      </c>
    </row>
    <row r="8" spans="1:26" x14ac:dyDescent="0.25">
      <c r="A8" s="20" t="s">
        <v>992</v>
      </c>
      <c r="B8" s="20" t="s">
        <v>60</v>
      </c>
      <c r="C8" s="20" t="s">
        <v>993</v>
      </c>
      <c r="D8" s="20" t="s">
        <v>216</v>
      </c>
      <c r="E8" s="13">
        <v>0</v>
      </c>
      <c r="F8" s="11">
        <v>0</v>
      </c>
      <c r="G8" s="13">
        <v>13865</v>
      </c>
      <c r="H8" s="11">
        <v>0</v>
      </c>
      <c r="I8" s="13">
        <f>E8+G8</f>
        <v>13865</v>
      </c>
      <c r="J8" s="11">
        <f>F8+H8</f>
        <v>0</v>
      </c>
      <c r="K8" s="13">
        <v>0</v>
      </c>
      <c r="L8" s="11">
        <v>0</v>
      </c>
      <c r="M8" s="11">
        <v>0</v>
      </c>
      <c r="N8" s="13">
        <v>6877</v>
      </c>
      <c r="O8" s="11">
        <v>0</v>
      </c>
      <c r="P8" s="11">
        <v>0</v>
      </c>
      <c r="Q8" s="13">
        <f>K8+N8</f>
        <v>6877</v>
      </c>
      <c r="R8" s="11">
        <f>L8+O8</f>
        <v>0</v>
      </c>
      <c r="S8" s="11">
        <f>M8+P8</f>
        <v>0</v>
      </c>
      <c r="T8" s="8">
        <f>I8-Q8</f>
        <v>6988</v>
      </c>
      <c r="U8" s="18">
        <v>-7.334883076828734E-2</v>
      </c>
      <c r="V8" s="11">
        <v>0</v>
      </c>
      <c r="W8" s="11">
        <v>0</v>
      </c>
      <c r="X8" s="11">
        <v>1</v>
      </c>
      <c r="Y8" s="11">
        <v>1</v>
      </c>
    </row>
    <row r="9" spans="1:26" x14ac:dyDescent="0.25">
      <c r="A9" s="20" t="s">
        <v>994</v>
      </c>
      <c r="B9" s="20" t="s">
        <v>3203</v>
      </c>
      <c r="C9" s="20" t="s">
        <v>3306</v>
      </c>
      <c r="D9" s="20" t="s">
        <v>215</v>
      </c>
      <c r="E9" s="13">
        <v>0</v>
      </c>
      <c r="F9" s="11">
        <v>0</v>
      </c>
      <c r="G9" s="13">
        <v>0</v>
      </c>
      <c r="H9" s="11">
        <v>0</v>
      </c>
      <c r="I9" s="13">
        <f>E9+G9</f>
        <v>0</v>
      </c>
      <c r="J9" s="11">
        <f>F9+H9</f>
        <v>0</v>
      </c>
      <c r="K9" s="13">
        <v>-286.58</v>
      </c>
      <c r="L9" s="11">
        <v>0</v>
      </c>
      <c r="M9" s="11">
        <v>0</v>
      </c>
      <c r="N9" s="13">
        <v>0</v>
      </c>
      <c r="O9" s="11">
        <v>0</v>
      </c>
      <c r="P9" s="11">
        <v>0</v>
      </c>
      <c r="Q9" s="13">
        <f>K9+N9</f>
        <v>-286.58</v>
      </c>
      <c r="R9" s="11">
        <f>L9+O9</f>
        <v>0</v>
      </c>
      <c r="S9" s="11">
        <f>M9+P9</f>
        <v>0</v>
      </c>
      <c r="T9" s="8">
        <f>I9-Q9</f>
        <v>286.58</v>
      </c>
      <c r="U9" s="18" t="s">
        <v>1803</v>
      </c>
      <c r="V9" s="11">
        <v>0</v>
      </c>
      <c r="W9" s="11">
        <v>0</v>
      </c>
      <c r="X9" s="11">
        <v>0</v>
      </c>
      <c r="Y9" s="11">
        <v>0</v>
      </c>
    </row>
    <row r="10" spans="1:26" x14ac:dyDescent="0.25">
      <c r="A10" s="20" t="s">
        <v>1550</v>
      </c>
      <c r="B10" s="20" t="s">
        <v>124</v>
      </c>
      <c r="C10" s="20" t="s">
        <v>3365</v>
      </c>
      <c r="D10" s="20" t="s">
        <v>216</v>
      </c>
      <c r="E10" s="13">
        <v>0</v>
      </c>
      <c r="F10" s="11">
        <v>0</v>
      </c>
      <c r="G10" s="13">
        <v>0</v>
      </c>
      <c r="H10" s="11">
        <v>0</v>
      </c>
      <c r="I10" s="13">
        <f>E10+G10</f>
        <v>0</v>
      </c>
      <c r="J10" s="11">
        <f>F10+H10</f>
        <v>0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0</v>
      </c>
      <c r="Q10" s="13">
        <f>K10+N10</f>
        <v>0</v>
      </c>
      <c r="R10" s="11">
        <f>L10+O10</f>
        <v>0</v>
      </c>
      <c r="S10" s="11">
        <f>M10+P10</f>
        <v>0</v>
      </c>
      <c r="T10" s="8">
        <f>I10-Q10</f>
        <v>0</v>
      </c>
      <c r="U10" s="18">
        <v>-0.15739776897852228</v>
      </c>
      <c r="V10" s="11">
        <v>0</v>
      </c>
      <c r="W10" s="11">
        <v>0</v>
      </c>
      <c r="X10" s="11">
        <v>0</v>
      </c>
      <c r="Y10" s="11">
        <v>0</v>
      </c>
    </row>
    <row r="11" spans="1:26" x14ac:dyDescent="0.25">
      <c r="A11" s="20" t="s">
        <v>1002</v>
      </c>
      <c r="B11" s="20" t="s">
        <v>124</v>
      </c>
      <c r="C11" s="20" t="s">
        <v>1003</v>
      </c>
      <c r="D11" s="20" t="s">
        <v>216</v>
      </c>
      <c r="E11" s="13">
        <v>2994.74</v>
      </c>
      <c r="F11" s="11">
        <v>0</v>
      </c>
      <c r="G11" s="13">
        <v>7188.48</v>
      </c>
      <c r="H11" s="11">
        <v>0</v>
      </c>
      <c r="I11" s="13">
        <f>E11+G11</f>
        <v>10183.219999999999</v>
      </c>
      <c r="J11" s="11">
        <f>F11+H11</f>
        <v>0</v>
      </c>
      <c r="K11" s="13">
        <v>0</v>
      </c>
      <c r="L11" s="11">
        <v>0</v>
      </c>
      <c r="M11" s="11">
        <v>1</v>
      </c>
      <c r="N11" s="13">
        <v>10538.29</v>
      </c>
      <c r="O11" s="11">
        <v>0</v>
      </c>
      <c r="P11" s="11">
        <v>5</v>
      </c>
      <c r="Q11" s="13">
        <f>K11+N11</f>
        <v>10538.29</v>
      </c>
      <c r="R11" s="11">
        <f>L11+O11</f>
        <v>0</v>
      </c>
      <c r="S11" s="11">
        <f>M11+P11</f>
        <v>6</v>
      </c>
      <c r="T11" s="8">
        <f>I11-Q11</f>
        <v>-355.07000000000153</v>
      </c>
      <c r="U11" s="18">
        <v>1.8149495104128437</v>
      </c>
      <c r="V11" s="11">
        <v>0.38</v>
      </c>
      <c r="W11" s="11">
        <v>6</v>
      </c>
      <c r="X11" s="11">
        <v>10</v>
      </c>
      <c r="Y11" s="11">
        <v>0</v>
      </c>
    </row>
    <row r="12" spans="1:26" x14ac:dyDescent="0.25">
      <c r="A12" s="20" t="s">
        <v>1004</v>
      </c>
      <c r="B12" s="20" t="s">
        <v>189</v>
      </c>
      <c r="C12" s="20" t="s">
        <v>3392</v>
      </c>
      <c r="D12" s="20" t="s">
        <v>215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-447.71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-447.71</v>
      </c>
      <c r="R12" s="11">
        <f>L12+O12</f>
        <v>0</v>
      </c>
      <c r="S12" s="11">
        <f>M12+P12</f>
        <v>0</v>
      </c>
      <c r="T12" s="8">
        <f>I12-Q12</f>
        <v>447.71</v>
      </c>
      <c r="U12" s="18" t="s">
        <v>1803</v>
      </c>
      <c r="V12" s="11">
        <v>0</v>
      </c>
      <c r="W12" s="11">
        <v>0</v>
      </c>
      <c r="X12" s="11">
        <v>0</v>
      </c>
      <c r="Y12" s="11">
        <v>0</v>
      </c>
    </row>
    <row r="13" spans="1:26" x14ac:dyDescent="0.25">
      <c r="A13" s="20" t="s">
        <v>1005</v>
      </c>
      <c r="B13" s="20" t="s">
        <v>60</v>
      </c>
      <c r="C13" s="20" t="s">
        <v>1006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0</v>
      </c>
      <c r="R13" s="11">
        <f>L13+O13</f>
        <v>0</v>
      </c>
      <c r="S13" s="11">
        <f>M13+P13</f>
        <v>0</v>
      </c>
      <c r="T13" s="8">
        <f>I13-Q13</f>
        <v>0</v>
      </c>
      <c r="U13" s="18">
        <v>0.86624841901555782</v>
      </c>
      <c r="V13" s="11">
        <v>0</v>
      </c>
      <c r="W13" s="11">
        <v>0</v>
      </c>
      <c r="X13" s="11">
        <v>0</v>
      </c>
      <c r="Y13" s="11">
        <v>0</v>
      </c>
    </row>
    <row r="14" spans="1:26" x14ac:dyDescent="0.25">
      <c r="A14" s="20" t="s">
        <v>1007</v>
      </c>
      <c r="B14" s="20" t="s">
        <v>60</v>
      </c>
      <c r="C14" s="20" t="s">
        <v>1008</v>
      </c>
      <c r="D14" s="20" t="s">
        <v>216</v>
      </c>
      <c r="E14" s="13">
        <v>0</v>
      </c>
      <c r="F14" s="11">
        <v>0</v>
      </c>
      <c r="G14" s="13">
        <v>2047</v>
      </c>
      <c r="H14" s="11">
        <v>0</v>
      </c>
      <c r="I14" s="13">
        <f>E14+G14</f>
        <v>2047</v>
      </c>
      <c r="J14" s="11">
        <f>F14+H14</f>
        <v>0</v>
      </c>
      <c r="K14" s="13">
        <v>0</v>
      </c>
      <c r="L14" s="11">
        <v>0</v>
      </c>
      <c r="M14" s="11">
        <v>0</v>
      </c>
      <c r="N14" s="13">
        <v>3729.55</v>
      </c>
      <c r="O14" s="11">
        <v>0</v>
      </c>
      <c r="P14" s="11">
        <v>0</v>
      </c>
      <c r="Q14" s="13">
        <f>K14+N14</f>
        <v>3729.55</v>
      </c>
      <c r="R14" s="11">
        <f>L14+O14</f>
        <v>0</v>
      </c>
      <c r="S14" s="11">
        <f>M14+P14</f>
        <v>0</v>
      </c>
      <c r="T14" s="8">
        <f>I14-Q14</f>
        <v>-1682.5500000000002</v>
      </c>
      <c r="U14" s="18">
        <v>1.775811703348841</v>
      </c>
      <c r="V14" s="11">
        <v>0</v>
      </c>
      <c r="W14" s="11">
        <v>0</v>
      </c>
      <c r="X14" s="11">
        <v>1</v>
      </c>
      <c r="Y14" s="11">
        <v>0</v>
      </c>
    </row>
    <row r="15" spans="1:26" x14ac:dyDescent="0.25">
      <c r="A15" s="20" t="s">
        <v>3093</v>
      </c>
      <c r="B15" s="20" t="s">
        <v>60</v>
      </c>
      <c r="C15" s="20" t="s">
        <v>3094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 t="s">
        <v>1803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1009</v>
      </c>
      <c r="B16" s="20" t="s">
        <v>81</v>
      </c>
      <c r="C16" s="20" t="s">
        <v>3599</v>
      </c>
      <c r="D16" s="20" t="s">
        <v>216</v>
      </c>
      <c r="E16" s="13">
        <v>0</v>
      </c>
      <c r="F16" s="11">
        <v>0</v>
      </c>
      <c r="G16" s="13">
        <v>3318</v>
      </c>
      <c r="H16" s="11">
        <v>1</v>
      </c>
      <c r="I16" s="13">
        <f>E16+G16</f>
        <v>3318</v>
      </c>
      <c r="J16" s="11">
        <f>F16+H16</f>
        <v>1</v>
      </c>
      <c r="K16" s="13">
        <v>0</v>
      </c>
      <c r="L16" s="11">
        <v>0</v>
      </c>
      <c r="M16" s="11">
        <v>1</v>
      </c>
      <c r="N16" s="13">
        <v>0</v>
      </c>
      <c r="O16" s="11">
        <v>0</v>
      </c>
      <c r="P16" s="11">
        <v>2</v>
      </c>
      <c r="Q16" s="13">
        <f>K16+N16</f>
        <v>0</v>
      </c>
      <c r="R16" s="11">
        <f>L16+O16</f>
        <v>0</v>
      </c>
      <c r="S16" s="11">
        <f>M16+P16</f>
        <v>3</v>
      </c>
      <c r="T16" s="8">
        <f>I16-Q16</f>
        <v>3318</v>
      </c>
      <c r="U16" s="18">
        <v>7.467773166641177E-2</v>
      </c>
      <c r="V16" s="11">
        <v>0.31</v>
      </c>
      <c r="W16" s="11">
        <v>4</v>
      </c>
      <c r="X16" s="11">
        <v>9</v>
      </c>
      <c r="Y16" s="11">
        <v>0</v>
      </c>
    </row>
    <row r="17" spans="1:25" x14ac:dyDescent="0.25">
      <c r="A17" s="20" t="s">
        <v>1672</v>
      </c>
      <c r="B17" s="20" t="s">
        <v>459</v>
      </c>
      <c r="C17" s="20" t="s">
        <v>3608</v>
      </c>
      <c r="D17" s="20" t="s">
        <v>215</v>
      </c>
      <c r="E17" s="13">
        <v>0</v>
      </c>
      <c r="F17" s="11">
        <v>0</v>
      </c>
      <c r="G17" s="13">
        <v>7562</v>
      </c>
      <c r="H17" s="11">
        <v>0</v>
      </c>
      <c r="I17" s="13">
        <f>E17+G17</f>
        <v>7562</v>
      </c>
      <c r="J17" s="11">
        <f>F17+H17</f>
        <v>0</v>
      </c>
      <c r="K17" s="13">
        <v>0</v>
      </c>
      <c r="L17" s="11">
        <v>0</v>
      </c>
      <c r="M17" s="11">
        <v>0</v>
      </c>
      <c r="N17" s="13">
        <v>7406.99</v>
      </c>
      <c r="O17" s="11">
        <v>0</v>
      </c>
      <c r="P17" s="11">
        <v>0</v>
      </c>
      <c r="Q17" s="13">
        <f>K17+N17</f>
        <v>7406.99</v>
      </c>
      <c r="R17" s="11">
        <f>L17+O17</f>
        <v>0</v>
      </c>
      <c r="S17" s="11">
        <f>M17+P17</f>
        <v>0</v>
      </c>
      <c r="T17" s="8">
        <f>I17-Q17</f>
        <v>155.01000000000022</v>
      </c>
      <c r="U17" s="18" t="s">
        <v>1803</v>
      </c>
      <c r="V17" s="11">
        <v>0</v>
      </c>
      <c r="W17" s="11">
        <v>0</v>
      </c>
      <c r="X17" s="11">
        <v>0</v>
      </c>
      <c r="Y17" s="11">
        <v>0</v>
      </c>
    </row>
    <row r="18" spans="1:25" x14ac:dyDescent="0.25">
      <c r="A18" s="20" t="s">
        <v>1000</v>
      </c>
      <c r="B18" s="20" t="s">
        <v>1000</v>
      </c>
      <c r="C18" s="20" t="s">
        <v>1001</v>
      </c>
      <c r="D18" s="20" t="s">
        <v>216</v>
      </c>
      <c r="E18" s="13">
        <v>293</v>
      </c>
      <c r="F18" s="11">
        <v>0</v>
      </c>
      <c r="G18" s="13">
        <v>2858</v>
      </c>
      <c r="H18" s="11">
        <v>0</v>
      </c>
      <c r="I18" s="13">
        <f>E18+G18</f>
        <v>3151</v>
      </c>
      <c r="J18" s="11">
        <f>F18+H18</f>
        <v>0</v>
      </c>
      <c r="K18" s="13">
        <v>293</v>
      </c>
      <c r="L18" s="11">
        <v>0</v>
      </c>
      <c r="M18" s="11">
        <v>0</v>
      </c>
      <c r="N18" s="13">
        <v>2781.7</v>
      </c>
      <c r="O18" s="11">
        <v>0</v>
      </c>
      <c r="P18" s="11">
        <v>0</v>
      </c>
      <c r="Q18" s="13">
        <f>K18+N18</f>
        <v>3074.7</v>
      </c>
      <c r="R18" s="11">
        <f>L18+O18</f>
        <v>0</v>
      </c>
      <c r="S18" s="11">
        <f>M18+P18</f>
        <v>0</v>
      </c>
      <c r="T18" s="8">
        <f>I18-Q18</f>
        <v>76.300000000000182</v>
      </c>
      <c r="U18" s="18">
        <v>7.5898854375024041E-2</v>
      </c>
      <c r="V18" s="11">
        <v>0</v>
      </c>
      <c r="W18" s="11">
        <v>0</v>
      </c>
      <c r="X18" s="11">
        <v>3</v>
      </c>
      <c r="Y18" s="11">
        <v>0</v>
      </c>
    </row>
    <row r="19" spans="1:25" x14ac:dyDescent="0.25">
      <c r="A19" s="20" t="s">
        <v>1012</v>
      </c>
      <c r="B19" s="20" t="s">
        <v>1012</v>
      </c>
      <c r="C19" s="20" t="s">
        <v>1013</v>
      </c>
      <c r="D19" s="20" t="s">
        <v>216</v>
      </c>
      <c r="E19" s="13">
        <v>0</v>
      </c>
      <c r="F19" s="11">
        <v>0</v>
      </c>
      <c r="G19" s="13">
        <v>0</v>
      </c>
      <c r="H19" s="11">
        <v>0</v>
      </c>
      <c r="I19" s="13">
        <f>E19+G19</f>
        <v>0</v>
      </c>
      <c r="J19" s="11">
        <f>F19+H19</f>
        <v>0</v>
      </c>
      <c r="K19" s="13">
        <v>0</v>
      </c>
      <c r="L19" s="11">
        <v>0</v>
      </c>
      <c r="M19" s="11">
        <v>0</v>
      </c>
      <c r="N19" s="13">
        <v>0</v>
      </c>
      <c r="O19" s="11">
        <v>0</v>
      </c>
      <c r="P19" s="11">
        <v>0</v>
      </c>
      <c r="Q19" s="13">
        <f>K19+N19</f>
        <v>0</v>
      </c>
      <c r="R19" s="11">
        <f>L19+O19</f>
        <v>0</v>
      </c>
      <c r="S19" s="11">
        <f>M19+P19</f>
        <v>0</v>
      </c>
      <c r="T19" s="8">
        <f>I19-Q19</f>
        <v>0</v>
      </c>
      <c r="U19" s="18">
        <v>-0.15113044869466713</v>
      </c>
      <c r="V19" s="11">
        <v>0</v>
      </c>
      <c r="W19" s="11">
        <v>0</v>
      </c>
      <c r="X19" s="11">
        <v>0</v>
      </c>
      <c r="Y19" s="11">
        <v>0</v>
      </c>
    </row>
    <row r="20" spans="1:25" x14ac:dyDescent="0.25">
      <c r="A20" s="20" t="s">
        <v>1016</v>
      </c>
      <c r="B20" s="20" t="s">
        <v>60</v>
      </c>
      <c r="C20" s="20" t="s">
        <v>1017</v>
      </c>
      <c r="D20" s="20" t="s">
        <v>216</v>
      </c>
      <c r="E20" s="13">
        <v>0</v>
      </c>
      <c r="F20" s="11">
        <v>0</v>
      </c>
      <c r="G20" s="13">
        <v>0</v>
      </c>
      <c r="H20" s="11">
        <v>0</v>
      </c>
      <c r="I20" s="13">
        <f>E20+G20</f>
        <v>0</v>
      </c>
      <c r="J20" s="11">
        <f>F20+H20</f>
        <v>0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0</v>
      </c>
      <c r="Q20" s="13">
        <f>K20+N20</f>
        <v>0</v>
      </c>
      <c r="R20" s="11">
        <f>L20+O20</f>
        <v>0</v>
      </c>
      <c r="S20" s="11">
        <f>M20+P20</f>
        <v>0</v>
      </c>
      <c r="T20" s="8">
        <f>I20-Q20</f>
        <v>0</v>
      </c>
      <c r="U20" s="18">
        <v>-9.9339729090113196E-2</v>
      </c>
      <c r="V20" s="11">
        <v>0</v>
      </c>
      <c r="W20" s="11">
        <v>0</v>
      </c>
      <c r="X20" s="11">
        <v>0</v>
      </c>
      <c r="Y20" s="11">
        <v>0</v>
      </c>
    </row>
    <row r="21" spans="1:25" x14ac:dyDescent="0.25">
      <c r="A21" s="20" t="s">
        <v>1018</v>
      </c>
      <c r="B21" s="20" t="s">
        <v>60</v>
      </c>
      <c r="C21" s="20" t="s">
        <v>1019</v>
      </c>
      <c r="D21" s="20" t="s">
        <v>216</v>
      </c>
      <c r="E21" s="13">
        <v>0</v>
      </c>
      <c r="F21" s="11">
        <v>0</v>
      </c>
      <c r="G21" s="13">
        <v>0</v>
      </c>
      <c r="H21" s="11">
        <v>0</v>
      </c>
      <c r="I21" s="13">
        <f>E21+G21</f>
        <v>0</v>
      </c>
      <c r="J21" s="11">
        <f>F21+H21</f>
        <v>0</v>
      </c>
      <c r="K21" s="13">
        <v>0</v>
      </c>
      <c r="L21" s="11">
        <v>0</v>
      </c>
      <c r="M21" s="11">
        <v>0</v>
      </c>
      <c r="N21" s="13">
        <v>0</v>
      </c>
      <c r="O21" s="11">
        <v>0</v>
      </c>
      <c r="P21" s="11">
        <v>1</v>
      </c>
      <c r="Q21" s="13">
        <f>K21+N21</f>
        <v>0</v>
      </c>
      <c r="R21" s="11">
        <f>L21+O21</f>
        <v>0</v>
      </c>
      <c r="S21" s="11">
        <f>M21+P21</f>
        <v>1</v>
      </c>
      <c r="T21" s="8">
        <f>I21-Q21</f>
        <v>0</v>
      </c>
      <c r="U21" s="18">
        <v>0.28272537139172949</v>
      </c>
      <c r="V21" s="11">
        <v>0.17</v>
      </c>
      <c r="W21" s="11">
        <v>1</v>
      </c>
      <c r="X21" s="11">
        <v>5</v>
      </c>
      <c r="Y21" s="11">
        <v>0</v>
      </c>
    </row>
    <row r="22" spans="1:25" x14ac:dyDescent="0.25">
      <c r="A22" s="20" t="s">
        <v>1026</v>
      </c>
      <c r="B22" s="20" t="s">
        <v>60</v>
      </c>
      <c r="C22" s="20" t="s">
        <v>1027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0</v>
      </c>
      <c r="R22" s="11">
        <f>L22+O22</f>
        <v>0</v>
      </c>
      <c r="S22" s="11">
        <f>M22+P22</f>
        <v>0</v>
      </c>
      <c r="T22" s="8">
        <f>I22-Q22</f>
        <v>0</v>
      </c>
      <c r="U22" s="18">
        <v>2.0118775171856236E-2</v>
      </c>
      <c r="V22" s="11">
        <v>0</v>
      </c>
      <c r="W22" s="11">
        <v>0</v>
      </c>
      <c r="X22" s="11">
        <v>0</v>
      </c>
      <c r="Y22" s="11">
        <v>0</v>
      </c>
    </row>
    <row r="23" spans="1:25" x14ac:dyDescent="0.25">
      <c r="A23" s="20" t="s">
        <v>1023</v>
      </c>
      <c r="B23" s="20" t="s">
        <v>1023</v>
      </c>
      <c r="C23" s="20" t="s">
        <v>1024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0</v>
      </c>
      <c r="T23" s="8">
        <f>I23-Q23</f>
        <v>0</v>
      </c>
      <c r="U23" s="18">
        <v>-1.2737276737073857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1032</v>
      </c>
      <c r="B24" s="20" t="s">
        <v>218</v>
      </c>
      <c r="C24" s="20" t="s">
        <v>938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>
        <v>0.29802332981811064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1034</v>
      </c>
      <c r="B25" s="20" t="s">
        <v>60</v>
      </c>
      <c r="C25" s="20" t="s">
        <v>1035</v>
      </c>
      <c r="D25" s="20" t="s">
        <v>216</v>
      </c>
      <c r="E25" s="13">
        <v>0</v>
      </c>
      <c r="F25" s="11">
        <v>0</v>
      </c>
      <c r="G25" s="13">
        <v>0</v>
      </c>
      <c r="H25" s="11">
        <v>0</v>
      </c>
      <c r="I25" s="13">
        <f>E25+G25</f>
        <v>0</v>
      </c>
      <c r="J25" s="11">
        <f>F25+H25</f>
        <v>0</v>
      </c>
      <c r="K25" s="13">
        <v>0</v>
      </c>
      <c r="L25" s="11">
        <v>0</v>
      </c>
      <c r="M25" s="11">
        <v>0</v>
      </c>
      <c r="N25" s="13">
        <v>0</v>
      </c>
      <c r="O25" s="11">
        <v>0</v>
      </c>
      <c r="P25" s="11">
        <v>0</v>
      </c>
      <c r="Q25" s="13">
        <f>K25+N25</f>
        <v>0</v>
      </c>
      <c r="R25" s="11">
        <f>L25+O25</f>
        <v>0</v>
      </c>
      <c r="S25" s="11">
        <f>M25+P25</f>
        <v>0</v>
      </c>
      <c r="T25" s="8">
        <f>I25-Q25</f>
        <v>0</v>
      </c>
      <c r="U25" s="18">
        <v>-8.3108326211598846E-2</v>
      </c>
      <c r="V25" s="11">
        <v>0</v>
      </c>
      <c r="W25" s="11">
        <v>0</v>
      </c>
      <c r="X25" s="11">
        <v>3</v>
      </c>
      <c r="Y25" s="11">
        <v>3</v>
      </c>
    </row>
    <row r="26" spans="1:25" x14ac:dyDescent="0.25">
      <c r="A26" s="20" t="s">
        <v>1039</v>
      </c>
      <c r="B26" s="20" t="s">
        <v>756</v>
      </c>
      <c r="C26" s="20" t="s">
        <v>1040</v>
      </c>
      <c r="D26" s="20" t="s">
        <v>216</v>
      </c>
      <c r="E26" s="13">
        <v>0</v>
      </c>
      <c r="F26" s="11">
        <v>0</v>
      </c>
      <c r="G26" s="13">
        <v>0</v>
      </c>
      <c r="H26" s="11">
        <v>0</v>
      </c>
      <c r="I26" s="13">
        <f>E26+G26</f>
        <v>0</v>
      </c>
      <c r="J26" s="11">
        <f>F26+H26</f>
        <v>0</v>
      </c>
      <c r="K26" s="13">
        <v>0</v>
      </c>
      <c r="L26" s="11">
        <v>0</v>
      </c>
      <c r="M26" s="11">
        <v>0</v>
      </c>
      <c r="N26" s="13">
        <v>0</v>
      </c>
      <c r="O26" s="11">
        <v>0</v>
      </c>
      <c r="P26" s="11">
        <v>0</v>
      </c>
      <c r="Q26" s="13">
        <f>K26+N26</f>
        <v>0</v>
      </c>
      <c r="R26" s="11">
        <f>L26+O26</f>
        <v>0</v>
      </c>
      <c r="S26" s="11">
        <f>M26+P26</f>
        <v>0</v>
      </c>
      <c r="T26" s="8">
        <f>I26-Q26</f>
        <v>0</v>
      </c>
      <c r="U26" s="18" t="s">
        <v>1803</v>
      </c>
      <c r="V26" s="11">
        <v>0</v>
      </c>
      <c r="W26" s="11">
        <v>0</v>
      </c>
      <c r="X26" s="11">
        <v>0</v>
      </c>
      <c r="Y26" s="11">
        <v>0</v>
      </c>
    </row>
    <row r="27" spans="1:25" x14ac:dyDescent="0.25">
      <c r="A27" s="20" t="s">
        <v>1041</v>
      </c>
      <c r="B27" s="20" t="s">
        <v>91</v>
      </c>
      <c r="C27" s="20" t="s">
        <v>1042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>
        <v>-0.15373037944359383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1043</v>
      </c>
      <c r="B28" s="20" t="s">
        <v>81</v>
      </c>
      <c r="C28" s="20" t="s">
        <v>71</v>
      </c>
      <c r="D28" s="20" t="s">
        <v>216</v>
      </c>
      <c r="E28" s="13">
        <v>0</v>
      </c>
      <c r="F28" s="11">
        <v>0</v>
      </c>
      <c r="G28" s="13">
        <v>7970.02</v>
      </c>
      <c r="H28" s="11">
        <v>0</v>
      </c>
      <c r="I28" s="13">
        <f>E28+G28</f>
        <v>7970.02</v>
      </c>
      <c r="J28" s="11">
        <f>F28+H28</f>
        <v>0</v>
      </c>
      <c r="K28" s="13">
        <v>0</v>
      </c>
      <c r="L28" s="11">
        <v>0</v>
      </c>
      <c r="M28" s="11">
        <v>1</v>
      </c>
      <c r="N28" s="13">
        <v>0</v>
      </c>
      <c r="O28" s="11">
        <v>0</v>
      </c>
      <c r="P28" s="11">
        <v>1</v>
      </c>
      <c r="Q28" s="13">
        <f>K28+N28</f>
        <v>0</v>
      </c>
      <c r="R28" s="11">
        <f>L28+O28</f>
        <v>0</v>
      </c>
      <c r="S28" s="11">
        <f>M28+P28</f>
        <v>2</v>
      </c>
      <c r="T28" s="8">
        <f>I28-Q28</f>
        <v>7970.02</v>
      </c>
      <c r="U28" s="18">
        <v>-6.6497346768258601E-3</v>
      </c>
      <c r="V28" s="11">
        <v>0.5</v>
      </c>
      <c r="W28" s="11">
        <v>1</v>
      </c>
      <c r="X28" s="11">
        <v>1</v>
      </c>
      <c r="Y28" s="11">
        <v>0</v>
      </c>
    </row>
    <row r="29" spans="1:25" x14ac:dyDescent="0.25">
      <c r="A29" s="20" t="s">
        <v>996</v>
      </c>
      <c r="B29" s="20" t="s">
        <v>996</v>
      </c>
      <c r="C29" s="20" t="s">
        <v>221</v>
      </c>
      <c r="D29" s="20" t="s">
        <v>216</v>
      </c>
      <c r="E29" s="13">
        <v>4476</v>
      </c>
      <c r="F29" s="11">
        <v>1</v>
      </c>
      <c r="G29" s="13">
        <v>3415</v>
      </c>
      <c r="H29" s="11">
        <v>0</v>
      </c>
      <c r="I29" s="13">
        <f>E29+G29</f>
        <v>7891</v>
      </c>
      <c r="J29" s="11">
        <f>F29+H29</f>
        <v>1</v>
      </c>
      <c r="K29" s="13">
        <v>0</v>
      </c>
      <c r="L29" s="11">
        <v>0</v>
      </c>
      <c r="M29" s="11">
        <v>4</v>
      </c>
      <c r="N29" s="13">
        <v>2107</v>
      </c>
      <c r="O29" s="11">
        <v>0</v>
      </c>
      <c r="P29" s="11">
        <v>1</v>
      </c>
      <c r="Q29" s="13">
        <f>K29+N29</f>
        <v>2107</v>
      </c>
      <c r="R29" s="11">
        <f>L29+O29</f>
        <v>0</v>
      </c>
      <c r="S29" s="11">
        <f>M29+P29</f>
        <v>5</v>
      </c>
      <c r="T29" s="8">
        <f>I29-Q29</f>
        <v>5784</v>
      </c>
      <c r="U29" s="18">
        <v>4.9071570878794588E-2</v>
      </c>
      <c r="V29" s="11">
        <v>0.4</v>
      </c>
      <c r="W29" s="11">
        <v>6</v>
      </c>
      <c r="X29" s="11">
        <v>9</v>
      </c>
      <c r="Y29" s="11">
        <v>1</v>
      </c>
    </row>
    <row r="30" spans="1:25" x14ac:dyDescent="0.25">
      <c r="A30" s="20" t="s">
        <v>1769</v>
      </c>
      <c r="B30" s="20" t="s">
        <v>83</v>
      </c>
      <c r="C30" s="20" t="s">
        <v>3366</v>
      </c>
      <c r="D30" s="20" t="s">
        <v>216</v>
      </c>
      <c r="E30" s="13">
        <v>0</v>
      </c>
      <c r="F30" s="11">
        <v>0</v>
      </c>
      <c r="G30" s="13">
        <v>14820</v>
      </c>
      <c r="H30" s="11">
        <v>1</v>
      </c>
      <c r="I30" s="13">
        <f>E30+G30</f>
        <v>14820</v>
      </c>
      <c r="J30" s="11">
        <f>F30+H30</f>
        <v>1</v>
      </c>
      <c r="K30" s="13">
        <v>0</v>
      </c>
      <c r="L30" s="11">
        <v>0</v>
      </c>
      <c r="M30" s="11">
        <v>0</v>
      </c>
      <c r="N30" s="13">
        <v>10635.34</v>
      </c>
      <c r="O30" s="11">
        <v>0</v>
      </c>
      <c r="P30" s="11">
        <v>4</v>
      </c>
      <c r="Q30" s="13">
        <f>K30+N30</f>
        <v>10635.34</v>
      </c>
      <c r="R30" s="11">
        <f>L30+O30</f>
        <v>0</v>
      </c>
      <c r="S30" s="11">
        <f>M30+P30</f>
        <v>4</v>
      </c>
      <c r="T30" s="8">
        <f>I30-Q30</f>
        <v>4184.66</v>
      </c>
      <c r="U30" s="18">
        <v>1.9461521388452009E-2</v>
      </c>
      <c r="V30" s="11">
        <v>0.45</v>
      </c>
      <c r="W30" s="11">
        <v>5</v>
      </c>
      <c r="X30" s="11">
        <v>6</v>
      </c>
      <c r="Y30" s="11">
        <v>0</v>
      </c>
    </row>
    <row r="31" spans="1:25" x14ac:dyDescent="0.25">
      <c r="A31" s="20" t="s">
        <v>1046</v>
      </c>
      <c r="B31" s="20" t="s">
        <v>459</v>
      </c>
      <c r="C31" s="20" t="s">
        <v>1021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>
        <v>-0.24329922893033021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1051</v>
      </c>
      <c r="B32" s="20" t="s">
        <v>124</v>
      </c>
      <c r="C32" s="20" t="s">
        <v>1052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1</v>
      </c>
      <c r="Q32" s="13">
        <f>K32+N32</f>
        <v>0</v>
      </c>
      <c r="R32" s="11">
        <f>L32+O32</f>
        <v>0</v>
      </c>
      <c r="S32" s="11">
        <f>M32+P32</f>
        <v>1</v>
      </c>
      <c r="T32" s="8">
        <f>I32-Q32</f>
        <v>0</v>
      </c>
      <c r="U32" s="18">
        <v>-0.45976221125938477</v>
      </c>
      <c r="V32" s="11">
        <v>0.5</v>
      </c>
      <c r="W32" s="11">
        <v>1</v>
      </c>
      <c r="X32" s="11">
        <v>1</v>
      </c>
      <c r="Y32" s="11">
        <v>0</v>
      </c>
    </row>
    <row r="33" spans="1:25" x14ac:dyDescent="0.25">
      <c r="A33" s="20" t="s">
        <v>1053</v>
      </c>
      <c r="B33" s="20" t="s">
        <v>58</v>
      </c>
      <c r="C33" s="20" t="s">
        <v>1054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-1.6099167622935558E-3</v>
      </c>
      <c r="V33" s="11">
        <v>0</v>
      </c>
      <c r="W33" s="11">
        <v>0</v>
      </c>
      <c r="X33" s="11">
        <v>0</v>
      </c>
      <c r="Y33" s="11">
        <v>0</v>
      </c>
    </row>
    <row r="34" spans="1:25" x14ac:dyDescent="0.25">
      <c r="A34" s="20" t="s">
        <v>1055</v>
      </c>
      <c r="B34" s="20" t="s">
        <v>81</v>
      </c>
      <c r="C34" s="20" t="s">
        <v>171</v>
      </c>
      <c r="D34" s="20" t="s">
        <v>215</v>
      </c>
      <c r="E34" s="13">
        <v>0</v>
      </c>
      <c r="F34" s="11">
        <v>0</v>
      </c>
      <c r="G34" s="13">
        <v>-327.66000000000003</v>
      </c>
      <c r="H34" s="11">
        <v>0</v>
      </c>
      <c r="I34" s="13">
        <f>E34+G34</f>
        <v>-327.66000000000003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1</v>
      </c>
      <c r="Q34" s="13">
        <f>K34+N34</f>
        <v>0</v>
      </c>
      <c r="R34" s="11">
        <f>L34+O34</f>
        <v>0</v>
      </c>
      <c r="S34" s="11">
        <f>M34+P34</f>
        <v>1</v>
      </c>
      <c r="T34" s="8">
        <f>I34-Q34</f>
        <v>-327.66000000000003</v>
      </c>
      <c r="U34" s="18">
        <v>-4.8822381320784876E-2</v>
      </c>
      <c r="V34" s="11">
        <v>0</v>
      </c>
      <c r="W34" s="11">
        <v>0</v>
      </c>
      <c r="X34" s="11">
        <v>1</v>
      </c>
      <c r="Y34" s="11">
        <v>1</v>
      </c>
    </row>
    <row r="35" spans="1:25" x14ac:dyDescent="0.25">
      <c r="A35" s="20" t="s">
        <v>1058</v>
      </c>
      <c r="B35" s="20" t="s">
        <v>124</v>
      </c>
      <c r="C35" s="20" t="s">
        <v>1048</v>
      </c>
      <c r="D35" s="20" t="s">
        <v>216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0</v>
      </c>
      <c r="O35" s="11">
        <v>0</v>
      </c>
      <c r="P35" s="11">
        <v>0</v>
      </c>
      <c r="Q35" s="13">
        <f>K35+N35</f>
        <v>0</v>
      </c>
      <c r="R35" s="11">
        <f>L35+O35</f>
        <v>0</v>
      </c>
      <c r="S35" s="11">
        <f>M35+P35</f>
        <v>0</v>
      </c>
      <c r="T35" s="8">
        <f>I35-Q35</f>
        <v>0</v>
      </c>
      <c r="U35" s="18">
        <v>-0.13394020380771698</v>
      </c>
      <c r="V35" s="11">
        <v>0</v>
      </c>
      <c r="W35" s="11">
        <v>0</v>
      </c>
      <c r="X35" s="11">
        <v>0</v>
      </c>
      <c r="Y35" s="11">
        <v>0</v>
      </c>
    </row>
    <row r="36" spans="1:25" x14ac:dyDescent="0.25">
      <c r="A36" s="20" t="s">
        <v>1059</v>
      </c>
      <c r="B36" s="20" t="s">
        <v>124</v>
      </c>
      <c r="C36" s="20" t="s">
        <v>1060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>
        <v>-0.11945080091533179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1062</v>
      </c>
      <c r="B37" s="20" t="s">
        <v>124</v>
      </c>
      <c r="C37" s="20" t="s">
        <v>1063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1566.74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1566.74</v>
      </c>
      <c r="R37" s="11">
        <f>L37+O37</f>
        <v>0</v>
      </c>
      <c r="S37" s="11">
        <f>M37+P37</f>
        <v>0</v>
      </c>
      <c r="T37" s="8">
        <f>I37-Q37</f>
        <v>-1566.74</v>
      </c>
      <c r="U37" s="18">
        <v>1.6009405266996805E-3</v>
      </c>
      <c r="V37" s="11">
        <v>0</v>
      </c>
      <c r="W37" s="11">
        <v>0</v>
      </c>
      <c r="X37" s="11">
        <v>0</v>
      </c>
      <c r="Y37" s="11">
        <v>0</v>
      </c>
    </row>
    <row r="38" spans="1:25" x14ac:dyDescent="0.25">
      <c r="A38" s="20" t="s">
        <v>3009</v>
      </c>
      <c r="B38" s="20" t="s">
        <v>83</v>
      </c>
      <c r="C38" s="20" t="s">
        <v>638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0</v>
      </c>
      <c r="O38" s="11">
        <v>0</v>
      </c>
      <c r="P38" s="11">
        <v>1</v>
      </c>
      <c r="Q38" s="13">
        <f>K38+N38</f>
        <v>0</v>
      </c>
      <c r="R38" s="11">
        <f>L38+O38</f>
        <v>0</v>
      </c>
      <c r="S38" s="11">
        <f>M38+P38</f>
        <v>1</v>
      </c>
      <c r="T38" s="8">
        <f>I38-Q38</f>
        <v>0</v>
      </c>
      <c r="U38" s="18">
        <v>0.17525046699549701</v>
      </c>
      <c r="V38" s="11">
        <v>0.2</v>
      </c>
      <c r="W38" s="11">
        <v>1</v>
      </c>
      <c r="X38" s="11">
        <v>4</v>
      </c>
      <c r="Y38" s="11">
        <v>0</v>
      </c>
    </row>
    <row r="39" spans="1:25" x14ac:dyDescent="0.25">
      <c r="A39" s="20" t="s">
        <v>3267</v>
      </c>
      <c r="B39" s="20" t="s">
        <v>3267</v>
      </c>
      <c r="C39" s="20" t="s">
        <v>3268</v>
      </c>
      <c r="D39" s="20" t="s">
        <v>216</v>
      </c>
      <c r="E39" s="13">
        <v>0</v>
      </c>
      <c r="F39" s="11">
        <v>0</v>
      </c>
      <c r="G39" s="13">
        <v>0</v>
      </c>
      <c r="H39" s="11">
        <v>0</v>
      </c>
      <c r="I39" s="13">
        <f>E39+G39</f>
        <v>0</v>
      </c>
      <c r="J39" s="11">
        <f>F39+H39</f>
        <v>0</v>
      </c>
      <c r="K39" s="13">
        <v>0</v>
      </c>
      <c r="L39" s="11">
        <v>0</v>
      </c>
      <c r="M39" s="11">
        <v>0</v>
      </c>
      <c r="N39" s="13">
        <v>0</v>
      </c>
      <c r="O39" s="11">
        <v>0</v>
      </c>
      <c r="P39" s="11">
        <v>0</v>
      </c>
      <c r="Q39" s="13">
        <f>K39+N39</f>
        <v>0</v>
      </c>
      <c r="R39" s="11">
        <f>L39+O39</f>
        <v>0</v>
      </c>
      <c r="S39" s="11">
        <f>M39+P39</f>
        <v>0</v>
      </c>
      <c r="T39" s="8">
        <f>I39-Q39</f>
        <v>0</v>
      </c>
      <c r="U39" s="18">
        <v>0.19753701177425731</v>
      </c>
      <c r="V39" s="11">
        <v>0</v>
      </c>
      <c r="W39" s="11">
        <v>0</v>
      </c>
      <c r="X39" s="11">
        <v>0</v>
      </c>
      <c r="Y39" s="11">
        <v>0</v>
      </c>
    </row>
    <row r="40" spans="1:25" x14ac:dyDescent="0.25">
      <c r="A40" s="20" t="s">
        <v>3277</v>
      </c>
      <c r="B40" s="20" t="s">
        <v>124</v>
      </c>
      <c r="C40" s="20" t="s">
        <v>1063</v>
      </c>
      <c r="D40" s="20" t="s">
        <v>216</v>
      </c>
      <c r="E40" s="13">
        <v>0</v>
      </c>
      <c r="F40" s="11">
        <v>0</v>
      </c>
      <c r="G40" s="13">
        <v>0</v>
      </c>
      <c r="H40" s="11">
        <v>0</v>
      </c>
      <c r="I40" s="13">
        <f>E40+G40</f>
        <v>0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0</v>
      </c>
      <c r="O40" s="11">
        <v>0</v>
      </c>
      <c r="P40" s="11">
        <v>0</v>
      </c>
      <c r="Q40" s="13">
        <f>K40+N40</f>
        <v>0</v>
      </c>
      <c r="R40" s="11">
        <f>L40+O40</f>
        <v>0</v>
      </c>
      <c r="S40" s="11">
        <f>M40+P40</f>
        <v>0</v>
      </c>
      <c r="T40" s="8">
        <f>I40-Q40</f>
        <v>0</v>
      </c>
      <c r="U40" s="18">
        <v>-0.18978003242944511</v>
      </c>
      <c r="V40" s="11">
        <v>0</v>
      </c>
      <c r="W40" s="11">
        <v>0</v>
      </c>
      <c r="X40" s="11">
        <v>0</v>
      </c>
      <c r="Y40" s="11">
        <v>0</v>
      </c>
    </row>
    <row r="41" spans="1:25" x14ac:dyDescent="0.25">
      <c r="A41" s="20" t="s">
        <v>3367</v>
      </c>
      <c r="B41" s="20" t="s">
        <v>3203</v>
      </c>
      <c r="C41" s="20" t="s">
        <v>3345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>
        <v>-3.4734228925020122E-2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3393</v>
      </c>
      <c r="B42" s="20" t="s">
        <v>189</v>
      </c>
      <c r="C42" s="20" t="s">
        <v>212</v>
      </c>
      <c r="D42" s="20" t="s">
        <v>216</v>
      </c>
      <c r="E42" s="13">
        <v>0</v>
      </c>
      <c r="F42" s="11">
        <v>0</v>
      </c>
      <c r="G42" s="13">
        <v>1377</v>
      </c>
      <c r="H42" s="11">
        <v>0</v>
      </c>
      <c r="I42" s="13">
        <f>E42+G42</f>
        <v>1377</v>
      </c>
      <c r="J42" s="11">
        <f>F42+H42</f>
        <v>0</v>
      </c>
      <c r="K42" s="13">
        <v>0</v>
      </c>
      <c r="L42" s="11">
        <v>0</v>
      </c>
      <c r="M42" s="11">
        <v>0</v>
      </c>
      <c r="N42" s="13">
        <v>1328</v>
      </c>
      <c r="O42" s="11">
        <v>0</v>
      </c>
      <c r="P42" s="11">
        <v>0</v>
      </c>
      <c r="Q42" s="13">
        <f>K42+N42</f>
        <v>1328</v>
      </c>
      <c r="R42" s="11">
        <f>L42+O42</f>
        <v>0</v>
      </c>
      <c r="S42" s="11">
        <f>M42+P42</f>
        <v>0</v>
      </c>
      <c r="T42" s="8">
        <f>I42-Q42</f>
        <v>49</v>
      </c>
      <c r="U42" s="18">
        <v>-0.34367969646219521</v>
      </c>
      <c r="V42" s="11">
        <v>0</v>
      </c>
      <c r="W42" s="11">
        <v>0</v>
      </c>
      <c r="X42" s="11">
        <v>3</v>
      </c>
      <c r="Y42" s="11">
        <v>0</v>
      </c>
    </row>
    <row r="43" spans="1:25" x14ac:dyDescent="0.25">
      <c r="A43" s="20" t="s">
        <v>3611</v>
      </c>
      <c r="B43" s="20" t="s">
        <v>3588</v>
      </c>
      <c r="C43" s="20" t="s">
        <v>998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0</v>
      </c>
      <c r="O43" s="11">
        <v>0</v>
      </c>
      <c r="P43" s="11">
        <v>0</v>
      </c>
      <c r="Q43" s="13">
        <f>K43+N43</f>
        <v>0</v>
      </c>
      <c r="R43" s="11">
        <f>L43+O43</f>
        <v>0</v>
      </c>
      <c r="S43" s="11">
        <f>M43+P43</f>
        <v>0</v>
      </c>
      <c r="T43" s="8">
        <f>I43-Q43</f>
        <v>0</v>
      </c>
      <c r="U43" s="18">
        <v>3.5059425402486681E-2</v>
      </c>
      <c r="V43" s="11">
        <v>0</v>
      </c>
      <c r="W43" s="11">
        <v>0</v>
      </c>
      <c r="X43" s="11">
        <v>0</v>
      </c>
      <c r="Y43" s="11">
        <v>0</v>
      </c>
    </row>
    <row r="44" spans="1:25" x14ac:dyDescent="0.25">
      <c r="A44" s="20" t="s">
        <v>3636</v>
      </c>
      <c r="B44" s="20" t="s">
        <v>459</v>
      </c>
      <c r="C44" s="20" t="s">
        <v>3608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0</v>
      </c>
      <c r="R44" s="11">
        <f>L44+O44</f>
        <v>0</v>
      </c>
      <c r="S44" s="11">
        <f>M44+P44</f>
        <v>0</v>
      </c>
      <c r="T44" s="8">
        <f>I44-Q44</f>
        <v>0</v>
      </c>
      <c r="U44" s="18">
        <v>9.1744391779259485E-2</v>
      </c>
      <c r="V44" s="11">
        <v>0</v>
      </c>
      <c r="W44" s="11">
        <v>0</v>
      </c>
      <c r="X44" s="11">
        <v>0</v>
      </c>
      <c r="Y44" s="11">
        <v>0</v>
      </c>
    </row>
    <row r="45" spans="1:25" x14ac:dyDescent="0.25">
      <c r="A45" s="20" t="s">
        <v>3647</v>
      </c>
      <c r="B45" s="20" t="s">
        <v>83</v>
      </c>
      <c r="C45" s="20" t="s">
        <v>638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0</v>
      </c>
      <c r="L45" s="11">
        <v>0</v>
      </c>
      <c r="M45" s="11">
        <v>0</v>
      </c>
      <c r="N45" s="13">
        <v>0</v>
      </c>
      <c r="O45" s="11">
        <v>0</v>
      </c>
      <c r="P45" s="11">
        <v>0</v>
      </c>
      <c r="Q45" s="13">
        <f>K45+N45</f>
        <v>0</v>
      </c>
      <c r="R45" s="11">
        <f>L45+O45</f>
        <v>0</v>
      </c>
      <c r="S45" s="11">
        <f>M45+P45</f>
        <v>0</v>
      </c>
      <c r="T45" s="8">
        <f>I45-Q45</f>
        <v>0</v>
      </c>
      <c r="U45" s="18" t="s">
        <v>1803</v>
      </c>
      <c r="V45" s="11">
        <v>0</v>
      </c>
      <c r="W45" s="11">
        <v>0</v>
      </c>
      <c r="X45" s="11">
        <v>0</v>
      </c>
      <c r="Y45" s="11">
        <v>0</v>
      </c>
    </row>
    <row r="46" spans="1:25" x14ac:dyDescent="0.25">
      <c r="A46" s="20" t="s">
        <v>1805</v>
      </c>
      <c r="B46" s="20"/>
      <c r="C46" s="20"/>
      <c r="D46" s="20"/>
      <c r="E46" s="13">
        <f>SUBTOTAL(109,TablePHX[YTD WP])</f>
        <v>7763.74</v>
      </c>
      <c r="F46" s="11">
        <f>SUBTOTAL(109,TablePHX[YTD NB '#])</f>
        <v>1</v>
      </c>
      <c r="G46" s="13">
        <f>SUBTOTAL(109,TablePHX[[YTD WP ]])</f>
        <v>64092.84</v>
      </c>
      <c r="H46" s="11">
        <f>SUBTOTAL(109,TablePHX[YTD NB '# ])</f>
        <v>2</v>
      </c>
      <c r="I46" s="13">
        <f>SUBTOTAL(109,TablePHX[[YTD WP  ]])</f>
        <v>71856.58</v>
      </c>
      <c r="J46" s="11">
        <f>SUBTOTAL(109,TablePHX[YTD NB '#  ])</f>
        <v>3</v>
      </c>
      <c r="K46" s="13">
        <f>SUBTOTAL(109,TablePHX[PYTD WP])</f>
        <v>1125.45</v>
      </c>
      <c r="L46" s="11">
        <f>SUBTOTAL(109,TablePHX[PYTD NB '#])</f>
        <v>0</v>
      </c>
      <c r="M46" s="11">
        <f>SUBTOTAL(109,TablePHX[PY Total NB '#])</f>
        <v>7</v>
      </c>
      <c r="N46" s="13">
        <f>SUBTOTAL(109,TablePHX[[PYTD WP ]])</f>
        <v>45172.78</v>
      </c>
      <c r="O46" s="11">
        <f>SUBTOTAL(109,TablePHX[PYTD NB '# ])</f>
        <v>0</v>
      </c>
      <c r="P46" s="11">
        <f>SUBTOTAL(109,TablePHX[PY Total NB '# ])</f>
        <v>17</v>
      </c>
      <c r="Q46" s="13">
        <f>SUBTOTAL(109,TablePHX[[PYTD WP  ]])</f>
        <v>46298.23</v>
      </c>
      <c r="R46" s="11">
        <f>SUBTOTAL(109,TablePHX[PYTD NB '#  ])</f>
        <v>0</v>
      </c>
      <c r="S46" s="11">
        <f>SUBTOTAL(109,TablePHX[PY Total NB '#  ])</f>
        <v>24</v>
      </c>
      <c r="T46" s="8">
        <f>SUBTOTAL(109,TablePHX[Premium Change])</f>
        <v>25558.35</v>
      </c>
      <c r="V46" s="11">
        <f>ROUND(SUM(TablePHX[12 Mo Bound])/SUM(TablePHX[12 Mo Quoted])+ SUM(TablePHX[12 Mo Bound]), 2)</f>
        <v>25.44</v>
      </c>
      <c r="W46" s="11">
        <f>SUBTOTAL(109,TablePHX[12 Mo Bound])</f>
        <v>25</v>
      </c>
      <c r="X46" s="11">
        <f>SUBTOTAL(109,TablePHX[12 Mo Quoted])</f>
        <v>57</v>
      </c>
      <c r="Y46" s="11">
        <f>SUBTOTAL(109,TablePHX[12 Mo Declined])</f>
        <v>6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orientation="landscape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C072-A479-40D9-BBEF-E657D9A8C747}">
  <sheetPr>
    <pageSetUpPr fitToPage="1"/>
  </sheetPr>
  <dimension ref="A1:Z82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.2851562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13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1068</v>
      </c>
      <c r="B7" s="20" t="s">
        <v>124</v>
      </c>
      <c r="C7" s="20" t="s">
        <v>1069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0</v>
      </c>
      <c r="O7" s="11">
        <v>0</v>
      </c>
      <c r="P7" s="11">
        <v>0</v>
      </c>
      <c r="Q7" s="13">
        <f>K7+N7</f>
        <v>0</v>
      </c>
      <c r="R7" s="11">
        <f>L7+O7</f>
        <v>0</v>
      </c>
      <c r="S7" s="11">
        <f>M7+P7</f>
        <v>0</v>
      </c>
      <c r="T7" s="8">
        <f>I7-Q7</f>
        <v>0</v>
      </c>
      <c r="U7" s="18">
        <v>-5.2284225082438036</v>
      </c>
      <c r="V7" s="11">
        <v>0</v>
      </c>
      <c r="W7" s="11">
        <v>0</v>
      </c>
      <c r="X7" s="11">
        <v>0</v>
      </c>
      <c r="Y7" s="11">
        <v>0</v>
      </c>
    </row>
    <row r="8" spans="1:26" x14ac:dyDescent="0.25">
      <c r="A8" s="20" t="s">
        <v>1071</v>
      </c>
      <c r="B8" s="20" t="s">
        <v>124</v>
      </c>
      <c r="C8" s="20" t="s">
        <v>1072</v>
      </c>
      <c r="D8" s="20" t="s">
        <v>216</v>
      </c>
      <c r="E8" s="13">
        <v>0</v>
      </c>
      <c r="F8" s="11">
        <v>0</v>
      </c>
      <c r="G8" s="13">
        <v>4823</v>
      </c>
      <c r="H8" s="11">
        <v>0</v>
      </c>
      <c r="I8" s="13">
        <f>E8+G8</f>
        <v>4823</v>
      </c>
      <c r="J8" s="11">
        <f>F8+H8</f>
        <v>0</v>
      </c>
      <c r="K8" s="13">
        <v>0</v>
      </c>
      <c r="L8" s="11">
        <v>0</v>
      </c>
      <c r="M8" s="11">
        <v>0</v>
      </c>
      <c r="N8" s="13">
        <v>4045</v>
      </c>
      <c r="O8" s="11">
        <v>0</v>
      </c>
      <c r="P8" s="11">
        <v>0</v>
      </c>
      <c r="Q8" s="13">
        <f>K8+N8</f>
        <v>4045</v>
      </c>
      <c r="R8" s="11">
        <f>L8+O8</f>
        <v>0</v>
      </c>
      <c r="S8" s="11">
        <f>M8+P8</f>
        <v>0</v>
      </c>
      <c r="T8" s="8">
        <f>I8-Q8</f>
        <v>778</v>
      </c>
      <c r="U8" s="18">
        <v>-0.15077150603894504</v>
      </c>
      <c r="V8" s="11">
        <v>0</v>
      </c>
      <c r="W8" s="11">
        <v>0</v>
      </c>
      <c r="X8" s="11">
        <v>0</v>
      </c>
      <c r="Y8" s="11">
        <v>0</v>
      </c>
    </row>
    <row r="9" spans="1:26" x14ac:dyDescent="0.25">
      <c r="A9" s="20" t="s">
        <v>1074</v>
      </c>
      <c r="B9" s="20" t="s">
        <v>124</v>
      </c>
      <c r="C9" s="20" t="s">
        <v>1075</v>
      </c>
      <c r="D9" s="20" t="s">
        <v>216</v>
      </c>
      <c r="E9" s="13">
        <v>0</v>
      </c>
      <c r="F9" s="11">
        <v>0</v>
      </c>
      <c r="G9" s="13">
        <v>0</v>
      </c>
      <c r="H9" s="11">
        <v>0</v>
      </c>
      <c r="I9" s="13">
        <f>E9+G9</f>
        <v>0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0</v>
      </c>
      <c r="O9" s="11">
        <v>0</v>
      </c>
      <c r="P9" s="11">
        <v>1</v>
      </c>
      <c r="Q9" s="13">
        <f>K9+N9</f>
        <v>0</v>
      </c>
      <c r="R9" s="11">
        <f>L9+O9</f>
        <v>0</v>
      </c>
      <c r="S9" s="11">
        <f>M9+P9</f>
        <v>1</v>
      </c>
      <c r="T9" s="8">
        <f>I9-Q9</f>
        <v>0</v>
      </c>
      <c r="U9" s="18">
        <v>1.5422756840350698E-2</v>
      </c>
      <c r="V9" s="11">
        <v>0.14000000000000001</v>
      </c>
      <c r="W9" s="11">
        <v>1</v>
      </c>
      <c r="X9" s="11">
        <v>6</v>
      </c>
      <c r="Y9" s="11">
        <v>1</v>
      </c>
    </row>
    <row r="10" spans="1:26" x14ac:dyDescent="0.25">
      <c r="A10" s="20" t="s">
        <v>1076</v>
      </c>
      <c r="B10" s="20" t="s">
        <v>225</v>
      </c>
      <c r="C10" s="20" t="s">
        <v>1077</v>
      </c>
      <c r="D10" s="20" t="s">
        <v>216</v>
      </c>
      <c r="E10" s="13">
        <v>1317.45</v>
      </c>
      <c r="F10" s="11">
        <v>0</v>
      </c>
      <c r="G10" s="13">
        <v>0</v>
      </c>
      <c r="H10" s="11">
        <v>0</v>
      </c>
      <c r="I10" s="13">
        <f>E10+G10</f>
        <v>1317.45</v>
      </c>
      <c r="J10" s="11">
        <f>F10+H10</f>
        <v>0</v>
      </c>
      <c r="K10" s="13">
        <v>2590.3000000000002</v>
      </c>
      <c r="L10" s="11">
        <v>0</v>
      </c>
      <c r="M10" s="11">
        <v>0</v>
      </c>
      <c r="N10" s="13">
        <v>0</v>
      </c>
      <c r="O10" s="11">
        <v>0</v>
      </c>
      <c r="P10" s="11">
        <v>1</v>
      </c>
      <c r="Q10" s="13">
        <f>K10+N10</f>
        <v>2590.3000000000002</v>
      </c>
      <c r="R10" s="11">
        <f>L10+O10</f>
        <v>0</v>
      </c>
      <c r="S10" s="11">
        <f>M10+P10</f>
        <v>1</v>
      </c>
      <c r="T10" s="8">
        <f>I10-Q10</f>
        <v>-1272.8500000000001</v>
      </c>
      <c r="U10" s="18">
        <v>6.8546514446311019E-2</v>
      </c>
      <c r="V10" s="11">
        <v>0.25</v>
      </c>
      <c r="W10" s="11">
        <v>1</v>
      </c>
      <c r="X10" s="11">
        <v>3</v>
      </c>
      <c r="Y10" s="11">
        <v>0</v>
      </c>
    </row>
    <row r="11" spans="1:26" x14ac:dyDescent="0.25">
      <c r="A11" s="20" t="s">
        <v>1079</v>
      </c>
      <c r="B11" s="20" t="s">
        <v>60</v>
      </c>
      <c r="C11" s="20" t="s">
        <v>1080</v>
      </c>
      <c r="D11" s="20" t="s">
        <v>216</v>
      </c>
      <c r="E11" s="13">
        <v>1958.88</v>
      </c>
      <c r="F11" s="11">
        <v>0</v>
      </c>
      <c r="G11" s="13">
        <v>12207</v>
      </c>
      <c r="H11" s="11">
        <v>0</v>
      </c>
      <c r="I11" s="13">
        <f>E11+G11</f>
        <v>14165.880000000001</v>
      </c>
      <c r="J11" s="11">
        <f>F11+H11</f>
        <v>0</v>
      </c>
      <c r="K11" s="13">
        <v>8359</v>
      </c>
      <c r="L11" s="11">
        <v>2</v>
      </c>
      <c r="M11" s="11">
        <v>3</v>
      </c>
      <c r="N11" s="13">
        <v>14809.23</v>
      </c>
      <c r="O11" s="11">
        <v>0</v>
      </c>
      <c r="P11" s="11">
        <v>0</v>
      </c>
      <c r="Q11" s="13">
        <f>K11+N11</f>
        <v>23168.23</v>
      </c>
      <c r="R11" s="11">
        <f>L11+O11</f>
        <v>2</v>
      </c>
      <c r="S11" s="11">
        <f>M11+P11</f>
        <v>3</v>
      </c>
      <c r="T11" s="8">
        <f>I11-Q11</f>
        <v>-9002.3499999999985</v>
      </c>
      <c r="U11" s="18">
        <v>0.10773462748714084</v>
      </c>
      <c r="V11" s="11">
        <v>0.08</v>
      </c>
      <c r="W11" s="11">
        <v>1</v>
      </c>
      <c r="X11" s="11">
        <v>11</v>
      </c>
      <c r="Y11" s="11">
        <v>1</v>
      </c>
    </row>
    <row r="12" spans="1:26" x14ac:dyDescent="0.25">
      <c r="A12" s="20" t="s">
        <v>1082</v>
      </c>
      <c r="B12" s="20" t="s">
        <v>60</v>
      </c>
      <c r="C12" s="20" t="s">
        <v>1083</v>
      </c>
      <c r="D12" s="20" t="s">
        <v>216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2756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2756</v>
      </c>
      <c r="R12" s="11">
        <f>L12+O12</f>
        <v>0</v>
      </c>
      <c r="S12" s="11">
        <f>M12+P12</f>
        <v>0</v>
      </c>
      <c r="T12" s="8">
        <f>I12-Q12</f>
        <v>-2756</v>
      </c>
      <c r="U12" s="18">
        <v>-4.7376117510981593E-2</v>
      </c>
      <c r="V12" s="11">
        <v>0</v>
      </c>
      <c r="W12" s="11">
        <v>0</v>
      </c>
      <c r="X12" s="11">
        <v>0</v>
      </c>
      <c r="Y12" s="11">
        <v>0</v>
      </c>
    </row>
    <row r="13" spans="1:26" x14ac:dyDescent="0.25">
      <c r="A13" s="20" t="s">
        <v>1084</v>
      </c>
      <c r="B13" s="20" t="s">
        <v>60</v>
      </c>
      <c r="C13" s="20" t="s">
        <v>1085</v>
      </c>
      <c r="D13" s="20" t="s">
        <v>216</v>
      </c>
      <c r="E13" s="13">
        <v>2440.6</v>
      </c>
      <c r="F13" s="11">
        <v>0</v>
      </c>
      <c r="G13" s="13">
        <v>2672.7</v>
      </c>
      <c r="H13" s="11">
        <v>1</v>
      </c>
      <c r="I13" s="13">
        <f>E13+G13</f>
        <v>5113.2999999999993</v>
      </c>
      <c r="J13" s="11">
        <f>F13+H13</f>
        <v>1</v>
      </c>
      <c r="K13" s="13">
        <v>14826.25</v>
      </c>
      <c r="L13" s="11">
        <v>0</v>
      </c>
      <c r="M13" s="11">
        <v>1</v>
      </c>
      <c r="N13" s="13">
        <v>6278</v>
      </c>
      <c r="O13" s="11">
        <v>0</v>
      </c>
      <c r="P13" s="11">
        <v>1</v>
      </c>
      <c r="Q13" s="13">
        <f>K13+N13</f>
        <v>21104.25</v>
      </c>
      <c r="R13" s="11">
        <f>L13+O13</f>
        <v>0</v>
      </c>
      <c r="S13" s="11">
        <f>M13+P13</f>
        <v>2</v>
      </c>
      <c r="T13" s="8">
        <f>I13-Q13</f>
        <v>-15990.95</v>
      </c>
      <c r="U13" s="18">
        <v>8.5160142806738837E-2</v>
      </c>
      <c r="V13" s="11">
        <v>0.25</v>
      </c>
      <c r="W13" s="11">
        <v>3</v>
      </c>
      <c r="X13" s="11">
        <v>9</v>
      </c>
      <c r="Y13" s="11">
        <v>0</v>
      </c>
    </row>
    <row r="14" spans="1:26" x14ac:dyDescent="0.25">
      <c r="A14" s="20" t="s">
        <v>1091</v>
      </c>
      <c r="B14" s="20" t="s">
        <v>91</v>
      </c>
      <c r="C14" s="20" t="s">
        <v>1092</v>
      </c>
      <c r="D14" s="20" t="s">
        <v>216</v>
      </c>
      <c r="E14" s="13">
        <v>0</v>
      </c>
      <c r="F14" s="11">
        <v>0</v>
      </c>
      <c r="G14" s="13">
        <v>0</v>
      </c>
      <c r="H14" s="11">
        <v>0</v>
      </c>
      <c r="I14" s="13">
        <f>E14+G14</f>
        <v>0</v>
      </c>
      <c r="J14" s="11">
        <f>F14+H14</f>
        <v>0</v>
      </c>
      <c r="K14" s="13">
        <v>0</v>
      </c>
      <c r="L14" s="11">
        <v>0</v>
      </c>
      <c r="M14" s="11">
        <v>0</v>
      </c>
      <c r="N14" s="13">
        <v>0</v>
      </c>
      <c r="O14" s="11">
        <v>0</v>
      </c>
      <c r="P14" s="11">
        <v>0</v>
      </c>
      <c r="Q14" s="13">
        <f>K14+N14</f>
        <v>0</v>
      </c>
      <c r="R14" s="11">
        <f>L14+O14</f>
        <v>0</v>
      </c>
      <c r="S14" s="11">
        <f>M14+P14</f>
        <v>0</v>
      </c>
      <c r="T14" s="8">
        <f>I14-Q14</f>
        <v>0</v>
      </c>
      <c r="U14" s="18">
        <v>-3.434000063256068E-2</v>
      </c>
      <c r="V14" s="11">
        <v>0</v>
      </c>
      <c r="W14" s="11">
        <v>0</v>
      </c>
      <c r="X14" s="11">
        <v>0</v>
      </c>
      <c r="Y14" s="11">
        <v>0</v>
      </c>
    </row>
    <row r="15" spans="1:26" x14ac:dyDescent="0.25">
      <c r="A15" s="20" t="s">
        <v>1098</v>
      </c>
      <c r="B15" s="20" t="s">
        <v>60</v>
      </c>
      <c r="C15" s="20" t="s">
        <v>1099</v>
      </c>
      <c r="D15" s="20" t="s">
        <v>216</v>
      </c>
      <c r="E15" s="13">
        <v>-1610.82</v>
      </c>
      <c r="F15" s="11">
        <v>0</v>
      </c>
      <c r="G15" s="13">
        <v>3728.35</v>
      </c>
      <c r="H15" s="11">
        <v>1</v>
      </c>
      <c r="I15" s="13">
        <f>E15+G15</f>
        <v>2117.5299999999997</v>
      </c>
      <c r="J15" s="11">
        <f>F15+H15</f>
        <v>1</v>
      </c>
      <c r="K15" s="13">
        <v>-689.27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-689.27</v>
      </c>
      <c r="R15" s="11">
        <f>L15+O15</f>
        <v>0</v>
      </c>
      <c r="S15" s="11">
        <f>M15+P15</f>
        <v>0</v>
      </c>
      <c r="T15" s="8">
        <f>I15-Q15</f>
        <v>2806.7999999999997</v>
      </c>
      <c r="U15" s="18">
        <v>-5.6081206205412541E-3</v>
      </c>
      <c r="V15" s="11">
        <v>0.33</v>
      </c>
      <c r="W15" s="11">
        <v>1</v>
      </c>
      <c r="X15" s="11">
        <v>2</v>
      </c>
      <c r="Y15" s="11">
        <v>0</v>
      </c>
    </row>
    <row r="16" spans="1:26" x14ac:dyDescent="0.25">
      <c r="A16" s="20" t="s">
        <v>1104</v>
      </c>
      <c r="B16" s="20" t="s">
        <v>91</v>
      </c>
      <c r="C16" s="20" t="s">
        <v>1105</v>
      </c>
      <c r="D16" s="20" t="s">
        <v>216</v>
      </c>
      <c r="E16" s="13">
        <v>0</v>
      </c>
      <c r="F16" s="11">
        <v>0</v>
      </c>
      <c r="G16" s="13">
        <v>3258</v>
      </c>
      <c r="H16" s="11">
        <v>0</v>
      </c>
      <c r="I16" s="13">
        <f>E16+G16</f>
        <v>3258</v>
      </c>
      <c r="J16" s="11">
        <f>F16+H16</f>
        <v>0</v>
      </c>
      <c r="K16" s="13">
        <v>0</v>
      </c>
      <c r="L16" s="11">
        <v>0</v>
      </c>
      <c r="M16" s="11">
        <v>0</v>
      </c>
      <c r="N16" s="13">
        <v>3187</v>
      </c>
      <c r="O16" s="11">
        <v>0</v>
      </c>
      <c r="P16" s="11">
        <v>0</v>
      </c>
      <c r="Q16" s="13">
        <f>K16+N16</f>
        <v>3187</v>
      </c>
      <c r="R16" s="11">
        <f>L16+O16</f>
        <v>0</v>
      </c>
      <c r="S16" s="11">
        <f>M16+P16</f>
        <v>0</v>
      </c>
      <c r="T16" s="8">
        <f>I16-Q16</f>
        <v>71</v>
      </c>
      <c r="U16" s="18">
        <v>-5.7573493484119394E-2</v>
      </c>
      <c r="V16" s="11">
        <v>0</v>
      </c>
      <c r="W16" s="11">
        <v>0</v>
      </c>
      <c r="X16" s="11">
        <v>0</v>
      </c>
      <c r="Y16" s="11">
        <v>0</v>
      </c>
    </row>
    <row r="17" spans="1:25" x14ac:dyDescent="0.25">
      <c r="A17" s="20" t="s">
        <v>1107</v>
      </c>
      <c r="B17" s="20" t="s">
        <v>241</v>
      </c>
      <c r="C17" s="20" t="s">
        <v>1108</v>
      </c>
      <c r="D17" s="20" t="s">
        <v>216</v>
      </c>
      <c r="E17" s="13">
        <v>6383</v>
      </c>
      <c r="F17" s="11">
        <v>0</v>
      </c>
      <c r="G17" s="13">
        <v>17566</v>
      </c>
      <c r="H17" s="11">
        <v>1</v>
      </c>
      <c r="I17" s="13">
        <f>E17+G17</f>
        <v>23949</v>
      </c>
      <c r="J17" s="11">
        <f>F17+H17</f>
        <v>1</v>
      </c>
      <c r="K17" s="13">
        <v>7895.54</v>
      </c>
      <c r="L17" s="11">
        <v>0</v>
      </c>
      <c r="M17" s="11">
        <v>1</v>
      </c>
      <c r="N17" s="13">
        <v>12155.76</v>
      </c>
      <c r="O17" s="11">
        <v>0</v>
      </c>
      <c r="P17" s="11">
        <v>4</v>
      </c>
      <c r="Q17" s="13">
        <f>K17+N17</f>
        <v>20051.3</v>
      </c>
      <c r="R17" s="11">
        <f>L17+O17</f>
        <v>0</v>
      </c>
      <c r="S17" s="11">
        <f>M17+P17</f>
        <v>5</v>
      </c>
      <c r="T17" s="8">
        <f>I17-Q17</f>
        <v>3897.7000000000007</v>
      </c>
      <c r="U17" s="18">
        <v>7.8967874590564438E-2</v>
      </c>
      <c r="V17" s="11">
        <v>0.21</v>
      </c>
      <c r="W17" s="11">
        <v>7</v>
      </c>
      <c r="X17" s="11">
        <v>26</v>
      </c>
      <c r="Y17" s="11">
        <v>14</v>
      </c>
    </row>
    <row r="18" spans="1:25" x14ac:dyDescent="0.25">
      <c r="A18" s="20" t="s">
        <v>1109</v>
      </c>
      <c r="B18" s="20" t="s">
        <v>91</v>
      </c>
      <c r="C18" s="20" t="s">
        <v>1110</v>
      </c>
      <c r="D18" s="20" t="s">
        <v>216</v>
      </c>
      <c r="E18" s="13">
        <v>0</v>
      </c>
      <c r="F18" s="11">
        <v>0</v>
      </c>
      <c r="G18" s="13">
        <v>10361</v>
      </c>
      <c r="H18" s="11">
        <v>0</v>
      </c>
      <c r="I18" s="13">
        <f>E18+G18</f>
        <v>10361</v>
      </c>
      <c r="J18" s="11">
        <f>F18+H18</f>
        <v>0</v>
      </c>
      <c r="K18" s="13">
        <v>0</v>
      </c>
      <c r="L18" s="11">
        <v>0</v>
      </c>
      <c r="M18" s="11">
        <v>0</v>
      </c>
      <c r="N18" s="13">
        <v>10184</v>
      </c>
      <c r="O18" s="11">
        <v>0</v>
      </c>
      <c r="P18" s="11">
        <v>0</v>
      </c>
      <c r="Q18" s="13">
        <f>K18+N18</f>
        <v>10184</v>
      </c>
      <c r="R18" s="11">
        <f>L18+O18</f>
        <v>0</v>
      </c>
      <c r="S18" s="11">
        <f>M18+P18</f>
        <v>0</v>
      </c>
      <c r="T18" s="8">
        <f>I18-Q18</f>
        <v>177</v>
      </c>
      <c r="U18" s="18">
        <v>1.891208270432353E-2</v>
      </c>
      <c r="V18" s="11">
        <v>0</v>
      </c>
      <c r="W18" s="11">
        <v>0</v>
      </c>
      <c r="X18" s="11">
        <v>2</v>
      </c>
      <c r="Y18" s="11">
        <v>0</v>
      </c>
    </row>
    <row r="19" spans="1:25" x14ac:dyDescent="0.25">
      <c r="A19" s="20" t="s">
        <v>241</v>
      </c>
      <c r="B19" s="20" t="s">
        <v>241</v>
      </c>
      <c r="C19" s="20" t="s">
        <v>1111</v>
      </c>
      <c r="D19" s="20" t="s">
        <v>216</v>
      </c>
      <c r="E19" s="13">
        <v>22869</v>
      </c>
      <c r="F19" s="11">
        <v>0</v>
      </c>
      <c r="G19" s="13">
        <v>15776</v>
      </c>
      <c r="H19" s="11">
        <v>0</v>
      </c>
      <c r="I19" s="13">
        <f>E19+G19</f>
        <v>38645</v>
      </c>
      <c r="J19" s="11">
        <f>F19+H19</f>
        <v>0</v>
      </c>
      <c r="K19" s="13">
        <v>23068</v>
      </c>
      <c r="L19" s="11">
        <v>0</v>
      </c>
      <c r="M19" s="11">
        <v>0</v>
      </c>
      <c r="N19" s="13">
        <v>22022.37</v>
      </c>
      <c r="O19" s="11">
        <v>1</v>
      </c>
      <c r="P19" s="11">
        <v>3</v>
      </c>
      <c r="Q19" s="13">
        <f>K19+N19</f>
        <v>45090.369999999995</v>
      </c>
      <c r="R19" s="11">
        <f>L19+O19</f>
        <v>1</v>
      </c>
      <c r="S19" s="11">
        <f>M19+P19</f>
        <v>3</v>
      </c>
      <c r="T19" s="8">
        <f>I19-Q19</f>
        <v>-6445.3699999999953</v>
      </c>
      <c r="U19" s="18">
        <v>0.20942629938830074</v>
      </c>
      <c r="V19" s="11">
        <v>0.08</v>
      </c>
      <c r="W19" s="11">
        <v>2</v>
      </c>
      <c r="X19" s="11">
        <v>22</v>
      </c>
      <c r="Y19" s="11">
        <v>22</v>
      </c>
    </row>
    <row r="20" spans="1:25" x14ac:dyDescent="0.25">
      <c r="A20" s="20" t="s">
        <v>1113</v>
      </c>
      <c r="B20" s="20" t="s">
        <v>225</v>
      </c>
      <c r="C20" s="20" t="s">
        <v>1114</v>
      </c>
      <c r="D20" s="20" t="s">
        <v>216</v>
      </c>
      <c r="E20" s="13">
        <v>3021</v>
      </c>
      <c r="F20" s="11">
        <v>1</v>
      </c>
      <c r="G20" s="13">
        <v>0</v>
      </c>
      <c r="H20" s="11">
        <v>0</v>
      </c>
      <c r="I20" s="13">
        <f>E20+G20</f>
        <v>3021</v>
      </c>
      <c r="J20" s="11">
        <f>F20+H20</f>
        <v>1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1</v>
      </c>
      <c r="Q20" s="13">
        <f>K20+N20</f>
        <v>0</v>
      </c>
      <c r="R20" s="11">
        <f>L20+O20</f>
        <v>0</v>
      </c>
      <c r="S20" s="11">
        <f>M20+P20</f>
        <v>1</v>
      </c>
      <c r="T20" s="8">
        <f>I20-Q20</f>
        <v>3021</v>
      </c>
      <c r="U20" s="18">
        <v>2.0273875964458226</v>
      </c>
      <c r="V20" s="11">
        <v>0.25</v>
      </c>
      <c r="W20" s="11">
        <v>2</v>
      </c>
      <c r="X20" s="11">
        <v>6</v>
      </c>
      <c r="Y20" s="11">
        <v>0</v>
      </c>
    </row>
    <row r="21" spans="1:25" x14ac:dyDescent="0.25">
      <c r="A21" s="20" t="s">
        <v>1115</v>
      </c>
      <c r="B21" s="20" t="s">
        <v>91</v>
      </c>
      <c r="C21" s="20" t="s">
        <v>1116</v>
      </c>
      <c r="D21" s="20" t="s">
        <v>216</v>
      </c>
      <c r="E21" s="13">
        <v>16197</v>
      </c>
      <c r="F21" s="11">
        <v>0</v>
      </c>
      <c r="G21" s="13">
        <v>9201</v>
      </c>
      <c r="H21" s="11">
        <v>0</v>
      </c>
      <c r="I21" s="13">
        <f>E21+G21</f>
        <v>25398</v>
      </c>
      <c r="J21" s="11">
        <f>F21+H21</f>
        <v>0</v>
      </c>
      <c r="K21" s="13">
        <v>15971.96</v>
      </c>
      <c r="L21" s="11">
        <v>0</v>
      </c>
      <c r="M21" s="11">
        <v>1</v>
      </c>
      <c r="N21" s="13">
        <v>6127</v>
      </c>
      <c r="O21" s="11">
        <v>1</v>
      </c>
      <c r="P21" s="11">
        <v>3</v>
      </c>
      <c r="Q21" s="13">
        <f>K21+N21</f>
        <v>22098.959999999999</v>
      </c>
      <c r="R21" s="11">
        <f>L21+O21</f>
        <v>1</v>
      </c>
      <c r="S21" s="11">
        <f>M21+P21</f>
        <v>4</v>
      </c>
      <c r="T21" s="8">
        <f>I21-Q21</f>
        <v>3299.0400000000009</v>
      </c>
      <c r="U21" s="18">
        <v>0.9724114474081782</v>
      </c>
      <c r="V21" s="11">
        <v>0.2</v>
      </c>
      <c r="W21" s="11">
        <v>3</v>
      </c>
      <c r="X21" s="11">
        <v>12</v>
      </c>
      <c r="Y21" s="11">
        <v>0</v>
      </c>
    </row>
    <row r="22" spans="1:25" x14ac:dyDescent="0.25">
      <c r="A22" s="20" t="s">
        <v>1117</v>
      </c>
      <c r="B22" s="20" t="s">
        <v>124</v>
      </c>
      <c r="C22" s="20" t="s">
        <v>1118</v>
      </c>
      <c r="D22" s="20" t="s">
        <v>216</v>
      </c>
      <c r="E22" s="13">
        <v>-1003.17</v>
      </c>
      <c r="F22" s="11">
        <v>0</v>
      </c>
      <c r="G22" s="13">
        <v>0</v>
      </c>
      <c r="H22" s="11">
        <v>0</v>
      </c>
      <c r="I22" s="13">
        <f>E22+G22</f>
        <v>-1003.17</v>
      </c>
      <c r="J22" s="11">
        <f>F22+H22</f>
        <v>0</v>
      </c>
      <c r="K22" s="13">
        <v>0</v>
      </c>
      <c r="L22" s="11">
        <v>0</v>
      </c>
      <c r="M22" s="11">
        <v>3</v>
      </c>
      <c r="N22" s="13">
        <v>0</v>
      </c>
      <c r="O22" s="11">
        <v>0</v>
      </c>
      <c r="P22" s="11">
        <v>1</v>
      </c>
      <c r="Q22" s="13">
        <f>K22+N22</f>
        <v>0</v>
      </c>
      <c r="R22" s="11">
        <f>L22+O22</f>
        <v>0</v>
      </c>
      <c r="S22" s="11">
        <f>M22+P22</f>
        <v>4</v>
      </c>
      <c r="T22" s="8">
        <f>I22-Q22</f>
        <v>-1003.17</v>
      </c>
      <c r="U22" s="18">
        <v>0.1180917705432916</v>
      </c>
      <c r="V22" s="11">
        <v>0.44</v>
      </c>
      <c r="W22" s="11">
        <v>4</v>
      </c>
      <c r="X22" s="11">
        <v>5</v>
      </c>
      <c r="Y22" s="11">
        <v>0</v>
      </c>
    </row>
    <row r="23" spans="1:25" x14ac:dyDescent="0.25">
      <c r="A23" s="20" t="s">
        <v>1120</v>
      </c>
      <c r="B23" s="20" t="s">
        <v>1120</v>
      </c>
      <c r="C23" s="20" t="s">
        <v>1121</v>
      </c>
      <c r="D23" s="20" t="s">
        <v>216</v>
      </c>
      <c r="E23" s="13">
        <v>13547</v>
      </c>
      <c r="F23" s="11">
        <v>0</v>
      </c>
      <c r="G23" s="13">
        <v>1603.5</v>
      </c>
      <c r="H23" s="11">
        <v>0</v>
      </c>
      <c r="I23" s="13">
        <f>E23+G23</f>
        <v>15150.5</v>
      </c>
      <c r="J23" s="11">
        <f>F23+H23</f>
        <v>0</v>
      </c>
      <c r="K23" s="13">
        <v>13989.72</v>
      </c>
      <c r="L23" s="11">
        <v>0</v>
      </c>
      <c r="M23" s="11">
        <v>1</v>
      </c>
      <c r="N23" s="13">
        <v>0</v>
      </c>
      <c r="O23" s="11">
        <v>0</v>
      </c>
      <c r="P23" s="11">
        <v>1</v>
      </c>
      <c r="Q23" s="13">
        <f>K23+N23</f>
        <v>13989.72</v>
      </c>
      <c r="R23" s="11">
        <f>L23+O23</f>
        <v>0</v>
      </c>
      <c r="S23" s="11">
        <f>M23+P23</f>
        <v>2</v>
      </c>
      <c r="T23" s="8">
        <f>I23-Q23</f>
        <v>1160.7800000000007</v>
      </c>
      <c r="U23" s="18">
        <v>6.6031860208368348E-2</v>
      </c>
      <c r="V23" s="11">
        <v>0.4</v>
      </c>
      <c r="W23" s="11">
        <v>2</v>
      </c>
      <c r="X23" s="11">
        <v>3</v>
      </c>
      <c r="Y23" s="11">
        <v>3</v>
      </c>
    </row>
    <row r="24" spans="1:25" x14ac:dyDescent="0.25">
      <c r="A24" s="20" t="s">
        <v>1122</v>
      </c>
      <c r="B24" s="20" t="s">
        <v>91</v>
      </c>
      <c r="C24" s="20" t="s">
        <v>1123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 t="s">
        <v>1803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1690</v>
      </c>
      <c r="B25" s="20" t="s">
        <v>60</v>
      </c>
      <c r="C25" s="20" t="s">
        <v>3386</v>
      </c>
      <c r="D25" s="20" t="s">
        <v>216</v>
      </c>
      <c r="E25" s="13">
        <v>0</v>
      </c>
      <c r="F25" s="11">
        <v>0</v>
      </c>
      <c r="G25" s="13">
        <v>0</v>
      </c>
      <c r="H25" s="11">
        <v>0</v>
      </c>
      <c r="I25" s="13">
        <f>E25+G25</f>
        <v>0</v>
      </c>
      <c r="J25" s="11">
        <f>F25+H25</f>
        <v>0</v>
      </c>
      <c r="K25" s="13">
        <v>0</v>
      </c>
      <c r="L25" s="11">
        <v>0</v>
      </c>
      <c r="M25" s="11">
        <v>0</v>
      </c>
      <c r="N25" s="13">
        <v>0</v>
      </c>
      <c r="O25" s="11">
        <v>0</v>
      </c>
      <c r="P25" s="11">
        <v>0</v>
      </c>
      <c r="Q25" s="13">
        <f>K25+N25</f>
        <v>0</v>
      </c>
      <c r="R25" s="11">
        <f>L25+O25</f>
        <v>0</v>
      </c>
      <c r="S25" s="11">
        <f>M25+P25</f>
        <v>0</v>
      </c>
      <c r="T25" s="8">
        <f>I25-Q25</f>
        <v>0</v>
      </c>
      <c r="U25" s="18">
        <v>-0.19609011627906978</v>
      </c>
      <c r="V25" s="11">
        <v>0</v>
      </c>
      <c r="W25" s="11">
        <v>0</v>
      </c>
      <c r="X25" s="11">
        <v>1</v>
      </c>
      <c r="Y25" s="11">
        <v>0</v>
      </c>
    </row>
    <row r="26" spans="1:25" x14ac:dyDescent="0.25">
      <c r="A26" s="20" t="s">
        <v>1127</v>
      </c>
      <c r="B26" s="20" t="s">
        <v>91</v>
      </c>
      <c r="C26" s="20" t="s">
        <v>1128</v>
      </c>
      <c r="D26" s="20" t="s">
        <v>216</v>
      </c>
      <c r="E26" s="13">
        <v>4496</v>
      </c>
      <c r="F26" s="11">
        <v>1</v>
      </c>
      <c r="G26" s="13">
        <v>1611</v>
      </c>
      <c r="H26" s="11">
        <v>0</v>
      </c>
      <c r="I26" s="13">
        <f>E26+G26</f>
        <v>6107</v>
      </c>
      <c r="J26" s="11">
        <f>F26+H26</f>
        <v>1</v>
      </c>
      <c r="K26" s="13">
        <v>6278.59</v>
      </c>
      <c r="L26" s="11">
        <v>1</v>
      </c>
      <c r="M26" s="11">
        <v>1</v>
      </c>
      <c r="N26" s="13">
        <v>1089</v>
      </c>
      <c r="O26" s="11">
        <v>0</v>
      </c>
      <c r="P26" s="11">
        <v>3</v>
      </c>
      <c r="Q26" s="13">
        <f>K26+N26</f>
        <v>7367.59</v>
      </c>
      <c r="R26" s="11">
        <f>L26+O26</f>
        <v>1</v>
      </c>
      <c r="S26" s="11">
        <f>M26+P26</f>
        <v>4</v>
      </c>
      <c r="T26" s="8">
        <f>I26-Q26</f>
        <v>-1260.5900000000001</v>
      </c>
      <c r="U26" s="18">
        <v>0.31612626410772449</v>
      </c>
      <c r="V26" s="11">
        <v>0.23</v>
      </c>
      <c r="W26" s="11">
        <v>5</v>
      </c>
      <c r="X26" s="11">
        <v>17</v>
      </c>
      <c r="Y26" s="11">
        <v>2</v>
      </c>
    </row>
    <row r="27" spans="1:25" x14ac:dyDescent="0.25">
      <c r="A27" s="20" t="s">
        <v>1131</v>
      </c>
      <c r="B27" s="20" t="s">
        <v>60</v>
      </c>
      <c r="C27" s="20" t="s">
        <v>1132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>
        <v>-0.44936428538243534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1133</v>
      </c>
      <c r="B28" s="20" t="s">
        <v>91</v>
      </c>
      <c r="C28" s="20" t="s">
        <v>1134</v>
      </c>
      <c r="D28" s="20" t="s">
        <v>216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0</v>
      </c>
      <c r="O28" s="11">
        <v>0</v>
      </c>
      <c r="P28" s="11">
        <v>0</v>
      </c>
      <c r="Q28" s="13">
        <f>K28+N28</f>
        <v>0</v>
      </c>
      <c r="R28" s="11">
        <f>L28+O28</f>
        <v>0</v>
      </c>
      <c r="S28" s="11">
        <f>M28+P28</f>
        <v>0</v>
      </c>
      <c r="T28" s="8">
        <f>I28-Q28</f>
        <v>0</v>
      </c>
      <c r="U28" s="18" t="s">
        <v>1803</v>
      </c>
      <c r="V28" s="11">
        <v>0</v>
      </c>
      <c r="W28" s="11">
        <v>0</v>
      </c>
      <c r="X28" s="11">
        <v>0</v>
      </c>
      <c r="Y28" s="11">
        <v>0</v>
      </c>
    </row>
    <row r="29" spans="1:25" x14ac:dyDescent="0.25">
      <c r="A29" s="20" t="s">
        <v>1135</v>
      </c>
      <c r="B29" s="20" t="s">
        <v>225</v>
      </c>
      <c r="C29" s="20" t="s">
        <v>1136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0</v>
      </c>
      <c r="U29" s="18">
        <v>-8.3674106261110008</v>
      </c>
      <c r="V29" s="11">
        <v>0</v>
      </c>
      <c r="W29" s="11">
        <v>0</v>
      </c>
      <c r="X29" s="11">
        <v>2</v>
      </c>
      <c r="Y29" s="11">
        <v>2</v>
      </c>
    </row>
    <row r="30" spans="1:25" x14ac:dyDescent="0.25">
      <c r="A30" s="20" t="s">
        <v>1138</v>
      </c>
      <c r="B30" s="20" t="s">
        <v>1120</v>
      </c>
      <c r="C30" s="20" t="s">
        <v>1139</v>
      </c>
      <c r="D30" s="20" t="s">
        <v>216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0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0</v>
      </c>
      <c r="R30" s="11">
        <f>L30+O30</f>
        <v>0</v>
      </c>
      <c r="S30" s="11">
        <f>M30+P30</f>
        <v>0</v>
      </c>
      <c r="T30" s="8">
        <f>I30-Q30</f>
        <v>0</v>
      </c>
      <c r="U30" s="18">
        <v>-4.1364191019834132E-5</v>
      </c>
      <c r="V30" s="11">
        <v>0</v>
      </c>
      <c r="W30" s="11">
        <v>0</v>
      </c>
      <c r="X30" s="11">
        <v>0</v>
      </c>
      <c r="Y30" s="11">
        <v>0</v>
      </c>
    </row>
    <row r="31" spans="1:25" x14ac:dyDescent="0.25">
      <c r="A31" s="20" t="s">
        <v>1140</v>
      </c>
      <c r="B31" s="20" t="s">
        <v>91</v>
      </c>
      <c r="C31" s="20" t="s">
        <v>1141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-945.57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-945.57</v>
      </c>
      <c r="R31" s="11">
        <f>L31+O31</f>
        <v>0</v>
      </c>
      <c r="S31" s="11">
        <f>M31+P31</f>
        <v>0</v>
      </c>
      <c r="T31" s="8">
        <f>I31-Q31</f>
        <v>945.57</v>
      </c>
      <c r="U31" s="18">
        <v>-7.8920721284320428E-3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1142</v>
      </c>
      <c r="B32" s="20" t="s">
        <v>3096</v>
      </c>
      <c r="C32" s="20" t="s">
        <v>1143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-4.2373274329697133E-2</v>
      </c>
      <c r="V32" s="11">
        <v>0</v>
      </c>
      <c r="W32" s="11">
        <v>0</v>
      </c>
      <c r="X32" s="11">
        <v>0</v>
      </c>
      <c r="Y32" s="11">
        <v>0</v>
      </c>
    </row>
    <row r="33" spans="1:25" x14ac:dyDescent="0.25">
      <c r="A33" s="20" t="s">
        <v>1144</v>
      </c>
      <c r="B33" s="20" t="s">
        <v>60</v>
      </c>
      <c r="C33" s="20" t="s">
        <v>1145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-2.8461823546367788E-2</v>
      </c>
      <c r="V33" s="11">
        <v>0</v>
      </c>
      <c r="W33" s="11">
        <v>0</v>
      </c>
      <c r="X33" s="11">
        <v>0</v>
      </c>
      <c r="Y33" s="11">
        <v>0</v>
      </c>
    </row>
    <row r="34" spans="1:25" x14ac:dyDescent="0.25">
      <c r="A34" s="20" t="s">
        <v>1146</v>
      </c>
      <c r="B34" s="20" t="s">
        <v>225</v>
      </c>
      <c r="C34" s="20" t="s">
        <v>1147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0</v>
      </c>
      <c r="R34" s="11">
        <f>L34+O34</f>
        <v>0</v>
      </c>
      <c r="S34" s="11">
        <f>M34+P34</f>
        <v>0</v>
      </c>
      <c r="T34" s="8">
        <f>I34-Q34</f>
        <v>0</v>
      </c>
      <c r="U34" s="18">
        <v>-1.2723575882653174E-2</v>
      </c>
      <c r="V34" s="11">
        <v>0</v>
      </c>
      <c r="W34" s="11">
        <v>0</v>
      </c>
      <c r="X34" s="11">
        <v>5</v>
      </c>
      <c r="Y34" s="11">
        <v>0</v>
      </c>
    </row>
    <row r="35" spans="1:25" x14ac:dyDescent="0.25">
      <c r="A35" s="20" t="s">
        <v>1149</v>
      </c>
      <c r="B35" s="20" t="s">
        <v>91</v>
      </c>
      <c r="C35" s="20" t="s">
        <v>1150</v>
      </c>
      <c r="D35" s="20" t="s">
        <v>216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0</v>
      </c>
      <c r="O35" s="11">
        <v>0</v>
      </c>
      <c r="P35" s="11">
        <v>0</v>
      </c>
      <c r="Q35" s="13">
        <f>K35+N35</f>
        <v>0</v>
      </c>
      <c r="R35" s="11">
        <f>L35+O35</f>
        <v>0</v>
      </c>
      <c r="S35" s="11">
        <f>M35+P35</f>
        <v>0</v>
      </c>
      <c r="T35" s="8">
        <f>I35-Q35</f>
        <v>0</v>
      </c>
      <c r="U35" s="18">
        <v>6.2616770124504201E-2</v>
      </c>
      <c r="V35" s="11">
        <v>0</v>
      </c>
      <c r="W35" s="11">
        <v>0</v>
      </c>
      <c r="X35" s="11">
        <v>0</v>
      </c>
      <c r="Y35" s="11">
        <v>0</v>
      </c>
    </row>
    <row r="36" spans="1:25" x14ac:dyDescent="0.25">
      <c r="A36" s="20" t="s">
        <v>1151</v>
      </c>
      <c r="B36" s="20" t="s">
        <v>91</v>
      </c>
      <c r="C36" s="20" t="s">
        <v>1152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 t="s">
        <v>1803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1154</v>
      </c>
      <c r="B37" s="20" t="s">
        <v>60</v>
      </c>
      <c r="C37" s="20" t="s">
        <v>1155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0</v>
      </c>
      <c r="R37" s="11">
        <f>L37+O37</f>
        <v>0</v>
      </c>
      <c r="S37" s="11">
        <f>M37+P37</f>
        <v>0</v>
      </c>
      <c r="T37" s="8">
        <f>I37-Q37</f>
        <v>0</v>
      </c>
      <c r="U37" s="18">
        <v>-3.7967123486182856E-2</v>
      </c>
      <c r="V37" s="11">
        <v>0</v>
      </c>
      <c r="W37" s="11">
        <v>0</v>
      </c>
      <c r="X37" s="11">
        <v>1</v>
      </c>
      <c r="Y37" s="11">
        <v>2</v>
      </c>
    </row>
    <row r="38" spans="1:25" x14ac:dyDescent="0.25">
      <c r="A38" s="20" t="s">
        <v>1156</v>
      </c>
      <c r="B38" s="20" t="s">
        <v>218</v>
      </c>
      <c r="C38" s="20" t="s">
        <v>1073</v>
      </c>
      <c r="D38" s="20" t="s">
        <v>216</v>
      </c>
      <c r="E38" s="13">
        <v>5982</v>
      </c>
      <c r="F38" s="11">
        <v>0</v>
      </c>
      <c r="G38" s="13">
        <v>0</v>
      </c>
      <c r="H38" s="11">
        <v>0</v>
      </c>
      <c r="I38" s="13">
        <f>E38+G38</f>
        <v>5982</v>
      </c>
      <c r="J38" s="11">
        <f>F38+H38</f>
        <v>0</v>
      </c>
      <c r="K38" s="13">
        <v>2487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2487</v>
      </c>
      <c r="R38" s="11">
        <f>L38+O38</f>
        <v>0</v>
      </c>
      <c r="S38" s="11">
        <f>M38+P38</f>
        <v>0</v>
      </c>
      <c r="T38" s="8">
        <f>I38-Q38</f>
        <v>3495</v>
      </c>
      <c r="U38" s="18">
        <v>-8.3315667097675614E-2</v>
      </c>
      <c r="V38" s="11">
        <v>0</v>
      </c>
      <c r="W38" s="11">
        <v>0</v>
      </c>
      <c r="X38" s="11">
        <v>1</v>
      </c>
      <c r="Y38" s="11">
        <v>0</v>
      </c>
    </row>
    <row r="39" spans="1:25" x14ac:dyDescent="0.25">
      <c r="A39" s="20" t="s">
        <v>1158</v>
      </c>
      <c r="B39" s="20" t="s">
        <v>83</v>
      </c>
      <c r="C39" s="20" t="s">
        <v>1103</v>
      </c>
      <c r="D39" s="20" t="s">
        <v>216</v>
      </c>
      <c r="E39" s="13">
        <v>8833.5400000000009</v>
      </c>
      <c r="F39" s="11">
        <v>1</v>
      </c>
      <c r="G39" s="13">
        <v>0</v>
      </c>
      <c r="H39" s="11">
        <v>0</v>
      </c>
      <c r="I39" s="13">
        <f>E39+G39</f>
        <v>8833.5400000000009</v>
      </c>
      <c r="J39" s="11">
        <f>F39+H39</f>
        <v>1</v>
      </c>
      <c r="K39" s="13">
        <v>9204</v>
      </c>
      <c r="L39" s="11">
        <v>1</v>
      </c>
      <c r="M39" s="11">
        <v>3</v>
      </c>
      <c r="N39" s="13">
        <v>951</v>
      </c>
      <c r="O39" s="11">
        <v>0</v>
      </c>
      <c r="P39" s="11">
        <v>1</v>
      </c>
      <c r="Q39" s="13">
        <f>K39+N39</f>
        <v>10155</v>
      </c>
      <c r="R39" s="11">
        <f>L39+O39</f>
        <v>1</v>
      </c>
      <c r="S39" s="11">
        <f>M39+P39</f>
        <v>4</v>
      </c>
      <c r="T39" s="8">
        <f>I39-Q39</f>
        <v>-1321.4599999999991</v>
      </c>
      <c r="U39" s="18">
        <v>-2.7095326862673186E-2</v>
      </c>
      <c r="V39" s="11">
        <v>0.24</v>
      </c>
      <c r="W39" s="11">
        <v>4</v>
      </c>
      <c r="X39" s="11">
        <v>13</v>
      </c>
      <c r="Y39" s="11">
        <v>7</v>
      </c>
    </row>
    <row r="40" spans="1:25" x14ac:dyDescent="0.25">
      <c r="A40" s="20" t="s">
        <v>430</v>
      </c>
      <c r="B40" s="20" t="s">
        <v>430</v>
      </c>
      <c r="C40" s="20" t="s">
        <v>431</v>
      </c>
      <c r="D40" s="20" t="s">
        <v>216</v>
      </c>
      <c r="E40" s="13">
        <v>15.07</v>
      </c>
      <c r="F40" s="11">
        <v>0</v>
      </c>
      <c r="G40" s="13">
        <v>15249.68</v>
      </c>
      <c r="H40" s="11">
        <v>1</v>
      </c>
      <c r="I40" s="13">
        <f>E40+G40</f>
        <v>15264.75</v>
      </c>
      <c r="J40" s="11">
        <f>F40+H40</f>
        <v>1</v>
      </c>
      <c r="K40" s="13">
        <v>130.03</v>
      </c>
      <c r="L40" s="11">
        <v>0</v>
      </c>
      <c r="M40" s="11">
        <v>0</v>
      </c>
      <c r="N40" s="13">
        <v>17191.349999999999</v>
      </c>
      <c r="O40" s="11">
        <v>2</v>
      </c>
      <c r="P40" s="11">
        <v>9</v>
      </c>
      <c r="Q40" s="13">
        <f>K40+N40</f>
        <v>17321.379999999997</v>
      </c>
      <c r="R40" s="11">
        <f>L40+O40</f>
        <v>2</v>
      </c>
      <c r="S40" s="11">
        <f>M40+P40</f>
        <v>9</v>
      </c>
      <c r="T40" s="8">
        <f>I40-Q40</f>
        <v>-2056.6299999999974</v>
      </c>
      <c r="U40" s="18">
        <v>0.14583126999787824</v>
      </c>
      <c r="V40" s="11">
        <v>0.28000000000000003</v>
      </c>
      <c r="W40" s="11">
        <v>8</v>
      </c>
      <c r="X40" s="11">
        <v>21</v>
      </c>
      <c r="Y40" s="11">
        <v>1</v>
      </c>
    </row>
    <row r="41" spans="1:25" x14ac:dyDescent="0.25">
      <c r="A41" s="20" t="s">
        <v>1159</v>
      </c>
      <c r="B41" s="20" t="s">
        <v>60</v>
      </c>
      <c r="C41" s="20" t="s">
        <v>1160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 t="s">
        <v>1803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1161</v>
      </c>
      <c r="B42" s="20" t="s">
        <v>60</v>
      </c>
      <c r="C42" s="20" t="s">
        <v>1162</v>
      </c>
      <c r="D42" s="20" t="s">
        <v>216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0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0</v>
      </c>
      <c r="R42" s="11">
        <f>L42+O42</f>
        <v>0</v>
      </c>
      <c r="S42" s="11">
        <f>M42+P42</f>
        <v>0</v>
      </c>
      <c r="T42" s="8">
        <f>I42-Q42</f>
        <v>0</v>
      </c>
      <c r="U42" s="18">
        <v>-1.0332103321033209E-2</v>
      </c>
      <c r="V42" s="11">
        <v>0</v>
      </c>
      <c r="W42" s="11">
        <v>0</v>
      </c>
      <c r="X42" s="11">
        <v>1</v>
      </c>
      <c r="Y42" s="11">
        <v>0</v>
      </c>
    </row>
    <row r="43" spans="1:25" x14ac:dyDescent="0.25">
      <c r="A43" s="20" t="s">
        <v>1163</v>
      </c>
      <c r="B43" s="20" t="s">
        <v>77</v>
      </c>
      <c r="C43" s="20" t="s">
        <v>1097</v>
      </c>
      <c r="D43" s="20" t="s">
        <v>216</v>
      </c>
      <c r="E43" s="13">
        <v>0</v>
      </c>
      <c r="F43" s="11">
        <v>0</v>
      </c>
      <c r="G43" s="13">
        <v>0</v>
      </c>
      <c r="H43" s="11">
        <v>0</v>
      </c>
      <c r="I43" s="13">
        <f>E43+G43</f>
        <v>0</v>
      </c>
      <c r="J43" s="11">
        <f>F43+H43</f>
        <v>0</v>
      </c>
      <c r="K43" s="13">
        <v>0</v>
      </c>
      <c r="L43" s="11">
        <v>0</v>
      </c>
      <c r="M43" s="11">
        <v>0</v>
      </c>
      <c r="N43" s="13">
        <v>0</v>
      </c>
      <c r="O43" s="11">
        <v>0</v>
      </c>
      <c r="P43" s="11">
        <v>0</v>
      </c>
      <c r="Q43" s="13">
        <f>K43+N43</f>
        <v>0</v>
      </c>
      <c r="R43" s="11">
        <f>L43+O43</f>
        <v>0</v>
      </c>
      <c r="S43" s="11">
        <f>M43+P43</f>
        <v>0</v>
      </c>
      <c r="T43" s="8">
        <f>I43-Q43</f>
        <v>0</v>
      </c>
      <c r="U43" s="18">
        <v>-0.12013887469250636</v>
      </c>
      <c r="V43" s="11">
        <v>0</v>
      </c>
      <c r="W43" s="11">
        <v>0</v>
      </c>
      <c r="X43" s="11">
        <v>0</v>
      </c>
      <c r="Y43" s="11">
        <v>0</v>
      </c>
    </row>
    <row r="44" spans="1:25" x14ac:dyDescent="0.25">
      <c r="A44" s="20" t="s">
        <v>1164</v>
      </c>
      <c r="B44" s="20" t="s">
        <v>124</v>
      </c>
      <c r="C44" s="20" t="s">
        <v>1165</v>
      </c>
      <c r="D44" s="20" t="s">
        <v>216</v>
      </c>
      <c r="E44" s="13">
        <v>8689</v>
      </c>
      <c r="F44" s="11">
        <v>0</v>
      </c>
      <c r="G44" s="13">
        <v>1101</v>
      </c>
      <c r="H44" s="11">
        <v>0</v>
      </c>
      <c r="I44" s="13">
        <f>E44+G44</f>
        <v>9790</v>
      </c>
      <c r="J44" s="11">
        <f>F44+H44</f>
        <v>0</v>
      </c>
      <c r="K44" s="13">
        <v>8673</v>
      </c>
      <c r="L44" s="11">
        <v>0</v>
      </c>
      <c r="M44" s="11">
        <v>0</v>
      </c>
      <c r="N44" s="13">
        <v>1101</v>
      </c>
      <c r="O44" s="11">
        <v>1</v>
      </c>
      <c r="P44" s="11">
        <v>2</v>
      </c>
      <c r="Q44" s="13">
        <f>K44+N44</f>
        <v>9774</v>
      </c>
      <c r="R44" s="11">
        <f>L44+O44</f>
        <v>1</v>
      </c>
      <c r="S44" s="11">
        <f>M44+P44</f>
        <v>2</v>
      </c>
      <c r="T44" s="8">
        <f>I44-Q44</f>
        <v>16</v>
      </c>
      <c r="U44" s="18">
        <v>1.8321574861270212E-2</v>
      </c>
      <c r="V44" s="11">
        <v>0.2</v>
      </c>
      <c r="W44" s="11">
        <v>1</v>
      </c>
      <c r="X44" s="11">
        <v>4</v>
      </c>
      <c r="Y44" s="11">
        <v>1</v>
      </c>
    </row>
    <row r="45" spans="1:25" x14ac:dyDescent="0.25">
      <c r="A45" s="20" t="s">
        <v>1166</v>
      </c>
      <c r="B45" s="20" t="s">
        <v>91</v>
      </c>
      <c r="C45" s="20" t="s">
        <v>1167</v>
      </c>
      <c r="D45" s="20" t="s">
        <v>216</v>
      </c>
      <c r="E45" s="13">
        <v>6212</v>
      </c>
      <c r="F45" s="11">
        <v>0</v>
      </c>
      <c r="G45" s="13">
        <v>2028</v>
      </c>
      <c r="H45" s="11">
        <v>1</v>
      </c>
      <c r="I45" s="13">
        <f>E45+G45</f>
        <v>8240</v>
      </c>
      <c r="J45" s="11">
        <f>F45+H45</f>
        <v>1</v>
      </c>
      <c r="K45" s="13">
        <v>0</v>
      </c>
      <c r="L45" s="11">
        <v>0</v>
      </c>
      <c r="M45" s="11">
        <v>0</v>
      </c>
      <c r="N45" s="13">
        <v>0</v>
      </c>
      <c r="O45" s="11">
        <v>0</v>
      </c>
      <c r="P45" s="11">
        <v>5</v>
      </c>
      <c r="Q45" s="13">
        <f>K45+N45</f>
        <v>0</v>
      </c>
      <c r="R45" s="11">
        <f>L45+O45</f>
        <v>0</v>
      </c>
      <c r="S45" s="11">
        <f>M45+P45</f>
        <v>5</v>
      </c>
      <c r="T45" s="8">
        <f>I45-Q45</f>
        <v>8240</v>
      </c>
      <c r="U45" s="18">
        <v>6.1253945803784661E-2</v>
      </c>
      <c r="V45" s="11">
        <v>0.38</v>
      </c>
      <c r="W45" s="11">
        <v>6</v>
      </c>
      <c r="X45" s="11">
        <v>10</v>
      </c>
      <c r="Y45" s="11">
        <v>0</v>
      </c>
    </row>
    <row r="46" spans="1:25" x14ac:dyDescent="0.25">
      <c r="A46" s="20" t="s">
        <v>519</v>
      </c>
      <c r="B46" s="20" t="s">
        <v>519</v>
      </c>
      <c r="C46" s="20" t="s">
        <v>221</v>
      </c>
      <c r="D46" s="20" t="s">
        <v>216</v>
      </c>
      <c r="E46" s="13">
        <v>6266</v>
      </c>
      <c r="F46" s="11">
        <v>0</v>
      </c>
      <c r="G46" s="13">
        <v>0</v>
      </c>
      <c r="H46" s="11">
        <v>0</v>
      </c>
      <c r="I46" s="13">
        <f>E46+G46</f>
        <v>6266</v>
      </c>
      <c r="J46" s="11">
        <f>F46+H46</f>
        <v>0</v>
      </c>
      <c r="K46" s="13">
        <v>6305</v>
      </c>
      <c r="L46" s="11">
        <v>0</v>
      </c>
      <c r="M46" s="11">
        <v>1</v>
      </c>
      <c r="N46" s="13">
        <v>0</v>
      </c>
      <c r="O46" s="11">
        <v>0</v>
      </c>
      <c r="P46" s="11">
        <v>0</v>
      </c>
      <c r="Q46" s="13">
        <f>K46+N46</f>
        <v>6305</v>
      </c>
      <c r="R46" s="11">
        <f>L46+O46</f>
        <v>0</v>
      </c>
      <c r="S46" s="11">
        <f>M46+P46</f>
        <v>1</v>
      </c>
      <c r="T46" s="8">
        <f>I46-Q46</f>
        <v>-39</v>
      </c>
      <c r="U46" s="18">
        <v>-9.6408881358283446E-2</v>
      </c>
      <c r="V46" s="11">
        <v>0.2</v>
      </c>
      <c r="W46" s="11">
        <v>1</v>
      </c>
      <c r="X46" s="11">
        <v>4</v>
      </c>
      <c r="Y46" s="11">
        <v>1</v>
      </c>
    </row>
    <row r="47" spans="1:25" x14ac:dyDescent="0.25">
      <c r="A47" s="20" t="s">
        <v>543</v>
      </c>
      <c r="B47" s="20" t="s">
        <v>60</v>
      </c>
      <c r="C47" s="20" t="s">
        <v>544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 t="s">
        <v>1803</v>
      </c>
      <c r="V47" s="11">
        <v>0</v>
      </c>
      <c r="W47" s="11">
        <v>0</v>
      </c>
      <c r="X47" s="11">
        <v>0</v>
      </c>
      <c r="Y47" s="11">
        <v>0</v>
      </c>
    </row>
    <row r="48" spans="1:25" x14ac:dyDescent="0.25">
      <c r="A48" s="20" t="s">
        <v>1171</v>
      </c>
      <c r="B48" s="20" t="s">
        <v>91</v>
      </c>
      <c r="C48" s="20" t="s">
        <v>1153</v>
      </c>
      <c r="D48" s="20" t="s">
        <v>216</v>
      </c>
      <c r="E48" s="13">
        <v>0</v>
      </c>
      <c r="F48" s="11">
        <v>0</v>
      </c>
      <c r="G48" s="13">
        <v>0</v>
      </c>
      <c r="H48" s="11">
        <v>0</v>
      </c>
      <c r="I48" s="13">
        <f>E48+G48</f>
        <v>0</v>
      </c>
      <c r="J48" s="11">
        <f>F48+H48</f>
        <v>0</v>
      </c>
      <c r="K48" s="13">
        <v>480</v>
      </c>
      <c r="L48" s="11">
        <v>0</v>
      </c>
      <c r="M48" s="11">
        <v>1</v>
      </c>
      <c r="N48" s="13">
        <v>1251</v>
      </c>
      <c r="O48" s="11">
        <v>0</v>
      </c>
      <c r="P48" s="11">
        <v>2</v>
      </c>
      <c r="Q48" s="13">
        <f>K48+N48</f>
        <v>1731</v>
      </c>
      <c r="R48" s="11">
        <f>L48+O48</f>
        <v>0</v>
      </c>
      <c r="S48" s="11">
        <f>M48+P48</f>
        <v>3</v>
      </c>
      <c r="T48" s="8">
        <f>I48-Q48</f>
        <v>-1731</v>
      </c>
      <c r="U48" s="18">
        <v>1.7316733349672781E-2</v>
      </c>
      <c r="V48" s="11">
        <v>0.43</v>
      </c>
      <c r="W48" s="11">
        <v>3</v>
      </c>
      <c r="X48" s="11">
        <v>4</v>
      </c>
      <c r="Y48" s="11">
        <v>1</v>
      </c>
    </row>
    <row r="49" spans="1:25" x14ac:dyDescent="0.25">
      <c r="A49" s="20" t="s">
        <v>1172</v>
      </c>
      <c r="B49" s="20" t="s">
        <v>77</v>
      </c>
      <c r="C49" s="20" t="s">
        <v>1173</v>
      </c>
      <c r="D49" s="20" t="s">
        <v>216</v>
      </c>
      <c r="E49" s="13">
        <v>5118.71</v>
      </c>
      <c r="F49" s="11">
        <v>0</v>
      </c>
      <c r="G49" s="13">
        <v>4750</v>
      </c>
      <c r="H49" s="11">
        <v>0</v>
      </c>
      <c r="I49" s="13">
        <f>E49+G49</f>
        <v>9868.7099999999991</v>
      </c>
      <c r="J49" s="11">
        <f>F49+H49</f>
        <v>0</v>
      </c>
      <c r="K49" s="13">
        <v>10961.05</v>
      </c>
      <c r="L49" s="11">
        <v>3</v>
      </c>
      <c r="M49" s="11">
        <v>7</v>
      </c>
      <c r="N49" s="13">
        <v>4550</v>
      </c>
      <c r="O49" s="11">
        <v>0</v>
      </c>
      <c r="P49" s="11">
        <v>0</v>
      </c>
      <c r="Q49" s="13">
        <f>K49+N49</f>
        <v>15511.05</v>
      </c>
      <c r="R49" s="11">
        <f>L49+O49</f>
        <v>3</v>
      </c>
      <c r="S49" s="11">
        <f>M49+P49</f>
        <v>7</v>
      </c>
      <c r="T49" s="8">
        <f>I49-Q49</f>
        <v>-5642.34</v>
      </c>
      <c r="U49" s="18">
        <v>-3.7343320720565509E-2</v>
      </c>
      <c r="V49" s="11">
        <v>0.67</v>
      </c>
      <c r="W49" s="11">
        <v>4</v>
      </c>
      <c r="X49" s="11">
        <v>2</v>
      </c>
      <c r="Y49" s="11">
        <v>2</v>
      </c>
    </row>
    <row r="50" spans="1:25" x14ac:dyDescent="0.25">
      <c r="A50" s="20" t="s">
        <v>1174</v>
      </c>
      <c r="B50" s="20" t="s">
        <v>60</v>
      </c>
      <c r="C50" s="20" t="s">
        <v>1175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 t="s">
        <v>1803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1176</v>
      </c>
      <c r="B51" s="20" t="s">
        <v>430</v>
      </c>
      <c r="C51" s="20" t="s">
        <v>431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0</v>
      </c>
      <c r="T51" s="8">
        <f>I51-Q51</f>
        <v>0</v>
      </c>
      <c r="U51" s="18">
        <v>-0.15036156007150936</v>
      </c>
      <c r="V51" s="11">
        <v>0</v>
      </c>
      <c r="W51" s="11">
        <v>0</v>
      </c>
      <c r="X51" s="11">
        <v>1</v>
      </c>
      <c r="Y51" s="11">
        <v>0</v>
      </c>
    </row>
    <row r="52" spans="1:25" x14ac:dyDescent="0.25">
      <c r="A52" s="20" t="s">
        <v>1532</v>
      </c>
      <c r="B52" s="20" t="s">
        <v>91</v>
      </c>
      <c r="C52" s="20" t="s">
        <v>1533</v>
      </c>
      <c r="D52" s="20" t="s">
        <v>216</v>
      </c>
      <c r="E52" s="13">
        <v>0</v>
      </c>
      <c r="F52" s="11">
        <v>0</v>
      </c>
      <c r="G52" s="13">
        <v>0</v>
      </c>
      <c r="H52" s="11">
        <v>0</v>
      </c>
      <c r="I52" s="13">
        <f>E52+G52</f>
        <v>0</v>
      </c>
      <c r="J52" s="11">
        <f>F52+H52</f>
        <v>0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0</v>
      </c>
      <c r="Q52" s="13">
        <f>K52+N52</f>
        <v>0</v>
      </c>
      <c r="R52" s="11">
        <f>L52+O52</f>
        <v>0</v>
      </c>
      <c r="S52" s="11">
        <f>M52+P52</f>
        <v>0</v>
      </c>
      <c r="T52" s="8">
        <f>I52-Q52</f>
        <v>0</v>
      </c>
      <c r="U52" s="18">
        <v>0.67377648536660284</v>
      </c>
      <c r="V52" s="11">
        <v>0</v>
      </c>
      <c r="W52" s="11">
        <v>0</v>
      </c>
      <c r="X52" s="11">
        <v>1</v>
      </c>
      <c r="Y52" s="11">
        <v>1</v>
      </c>
    </row>
    <row r="53" spans="1:25" x14ac:dyDescent="0.25">
      <c r="A53" s="20" t="s">
        <v>1180</v>
      </c>
      <c r="B53" s="20" t="s">
        <v>124</v>
      </c>
      <c r="C53" s="20" t="s">
        <v>1181</v>
      </c>
      <c r="D53" s="20" t="s">
        <v>216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0</v>
      </c>
      <c r="O53" s="11">
        <v>0</v>
      </c>
      <c r="P53" s="11">
        <v>0</v>
      </c>
      <c r="Q53" s="13">
        <f>K53+N53</f>
        <v>0</v>
      </c>
      <c r="R53" s="11">
        <f>L53+O53</f>
        <v>0</v>
      </c>
      <c r="S53" s="11">
        <f>M53+P53</f>
        <v>0</v>
      </c>
      <c r="T53" s="8">
        <f>I53-Q53</f>
        <v>0</v>
      </c>
      <c r="U53" s="18">
        <v>-0.10099130576094906</v>
      </c>
      <c r="V53" s="11">
        <v>0</v>
      </c>
      <c r="W53" s="11">
        <v>0</v>
      </c>
      <c r="X53" s="11">
        <v>3</v>
      </c>
      <c r="Y53" s="11">
        <v>0</v>
      </c>
    </row>
    <row r="54" spans="1:25" x14ac:dyDescent="0.25">
      <c r="A54" s="20" t="s">
        <v>1182</v>
      </c>
      <c r="B54" s="20" t="s">
        <v>218</v>
      </c>
      <c r="C54" s="20" t="s">
        <v>399</v>
      </c>
      <c r="D54" s="20" t="s">
        <v>216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0</v>
      </c>
      <c r="O54" s="11">
        <v>0</v>
      </c>
      <c r="P54" s="11">
        <v>1</v>
      </c>
      <c r="Q54" s="13">
        <f>K54+N54</f>
        <v>0</v>
      </c>
      <c r="R54" s="11">
        <f>L54+O54</f>
        <v>0</v>
      </c>
      <c r="S54" s="11">
        <f>M54+P54</f>
        <v>1</v>
      </c>
      <c r="T54" s="8">
        <f>I54-Q54</f>
        <v>0</v>
      </c>
      <c r="U54" s="18">
        <v>-9.8815253776914677E-2</v>
      </c>
      <c r="V54" s="11">
        <v>0.25</v>
      </c>
      <c r="W54" s="11">
        <v>1</v>
      </c>
      <c r="X54" s="11">
        <v>3</v>
      </c>
      <c r="Y54" s="11">
        <v>3</v>
      </c>
    </row>
    <row r="55" spans="1:25" x14ac:dyDescent="0.25">
      <c r="A55" s="20" t="s">
        <v>1183</v>
      </c>
      <c r="B55" s="20" t="s">
        <v>218</v>
      </c>
      <c r="C55" s="20" t="s">
        <v>399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>
        <v>0.27906735917061176</v>
      </c>
      <c r="V55" s="11">
        <v>0</v>
      </c>
      <c r="W55" s="11">
        <v>0</v>
      </c>
      <c r="X55" s="11">
        <v>1</v>
      </c>
      <c r="Y55" s="11">
        <v>0</v>
      </c>
    </row>
    <row r="56" spans="1:25" x14ac:dyDescent="0.25">
      <c r="A56" s="20" t="s">
        <v>1129</v>
      </c>
      <c r="B56" s="20" t="s">
        <v>1129</v>
      </c>
      <c r="C56" s="20" t="s">
        <v>1130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0</v>
      </c>
      <c r="O56" s="11">
        <v>0</v>
      </c>
      <c r="P56" s="11">
        <v>0</v>
      </c>
      <c r="Q56" s="13">
        <f>K56+N56</f>
        <v>0</v>
      </c>
      <c r="R56" s="11">
        <f>L56+O56</f>
        <v>0</v>
      </c>
      <c r="S56" s="11">
        <f>M56+P56</f>
        <v>0</v>
      </c>
      <c r="T56" s="8">
        <f>I56-Q56</f>
        <v>0</v>
      </c>
      <c r="U56" s="18">
        <v>-0.13182672715979457</v>
      </c>
      <c r="V56" s="11">
        <v>0</v>
      </c>
      <c r="W56" s="11">
        <v>0</v>
      </c>
      <c r="X56" s="11">
        <v>0</v>
      </c>
      <c r="Y56" s="11">
        <v>0</v>
      </c>
    </row>
    <row r="57" spans="1:25" x14ac:dyDescent="0.25">
      <c r="A57" s="20" t="s">
        <v>1185</v>
      </c>
      <c r="B57" s="20" t="s">
        <v>225</v>
      </c>
      <c r="C57" s="20" t="s">
        <v>1186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1</v>
      </c>
      <c r="N57" s="13">
        <v>3669</v>
      </c>
      <c r="O57" s="11">
        <v>0</v>
      </c>
      <c r="P57" s="11">
        <v>2</v>
      </c>
      <c r="Q57" s="13">
        <f>K57+N57</f>
        <v>3669</v>
      </c>
      <c r="R57" s="11">
        <f>L57+O57</f>
        <v>0</v>
      </c>
      <c r="S57" s="11">
        <f>M57+P57</f>
        <v>3</v>
      </c>
      <c r="T57" s="8">
        <f>I57-Q57</f>
        <v>-3669</v>
      </c>
      <c r="U57" s="18">
        <v>-9.3092343363174075E-3</v>
      </c>
      <c r="V57" s="11">
        <v>0.5</v>
      </c>
      <c r="W57" s="11">
        <v>3</v>
      </c>
      <c r="X57" s="11">
        <v>3</v>
      </c>
      <c r="Y57" s="11">
        <v>0</v>
      </c>
    </row>
    <row r="58" spans="1:25" x14ac:dyDescent="0.25">
      <c r="A58" s="20" t="s">
        <v>1189</v>
      </c>
      <c r="B58" s="20" t="s">
        <v>257</v>
      </c>
      <c r="C58" s="20" t="s">
        <v>1190</v>
      </c>
      <c r="D58" s="20" t="s">
        <v>216</v>
      </c>
      <c r="E58" s="13">
        <v>0</v>
      </c>
      <c r="F58" s="11">
        <v>0</v>
      </c>
      <c r="G58" s="13">
        <v>0</v>
      </c>
      <c r="H58" s="11">
        <v>0</v>
      </c>
      <c r="I58" s="13">
        <f>E58+G58</f>
        <v>0</v>
      </c>
      <c r="J58" s="11">
        <f>F58+H58</f>
        <v>0</v>
      </c>
      <c r="K58" s="13">
        <v>0</v>
      </c>
      <c r="L58" s="11">
        <v>0</v>
      </c>
      <c r="M58" s="11">
        <v>0</v>
      </c>
      <c r="N58" s="13">
        <v>0</v>
      </c>
      <c r="O58" s="11">
        <v>0</v>
      </c>
      <c r="P58" s="11">
        <v>0</v>
      </c>
      <c r="Q58" s="13">
        <f>K58+N58</f>
        <v>0</v>
      </c>
      <c r="R58" s="11">
        <f>L58+O58</f>
        <v>0</v>
      </c>
      <c r="S58" s="11">
        <f>M58+P58</f>
        <v>0</v>
      </c>
      <c r="T58" s="8">
        <f>I58-Q58</f>
        <v>0</v>
      </c>
      <c r="U58" s="18">
        <v>-1.5899663153208919E-2</v>
      </c>
      <c r="V58" s="11">
        <v>0</v>
      </c>
      <c r="W58" s="11">
        <v>0</v>
      </c>
      <c r="X58" s="11">
        <v>0</v>
      </c>
      <c r="Y58" s="11">
        <v>0</v>
      </c>
    </row>
    <row r="59" spans="1:25" x14ac:dyDescent="0.25">
      <c r="A59" s="20" t="s">
        <v>566</v>
      </c>
      <c r="B59" s="20" t="s">
        <v>519</v>
      </c>
      <c r="C59" s="20" t="s">
        <v>221</v>
      </c>
      <c r="D59" s="20" t="s">
        <v>216</v>
      </c>
      <c r="E59" s="13">
        <v>16565</v>
      </c>
      <c r="F59" s="11">
        <v>0</v>
      </c>
      <c r="G59" s="13">
        <v>4679</v>
      </c>
      <c r="H59" s="11">
        <v>0</v>
      </c>
      <c r="I59" s="13">
        <f>E59+G59</f>
        <v>21244</v>
      </c>
      <c r="J59" s="11">
        <f>F59+H59</f>
        <v>0</v>
      </c>
      <c r="K59" s="13">
        <v>17030</v>
      </c>
      <c r="L59" s="11">
        <v>0</v>
      </c>
      <c r="M59" s="11">
        <v>0</v>
      </c>
      <c r="N59" s="13">
        <v>4534</v>
      </c>
      <c r="O59" s="11">
        <v>0</v>
      </c>
      <c r="P59" s="11">
        <v>0</v>
      </c>
      <c r="Q59" s="13">
        <f>K59+N59</f>
        <v>21564</v>
      </c>
      <c r="R59" s="11">
        <f>L59+O59</f>
        <v>0</v>
      </c>
      <c r="S59" s="11">
        <f>M59+P59</f>
        <v>0</v>
      </c>
      <c r="T59" s="8">
        <f>I59-Q59</f>
        <v>-320</v>
      </c>
      <c r="U59" s="18">
        <v>6.2522749506739556E-2</v>
      </c>
      <c r="V59" s="11">
        <v>0</v>
      </c>
      <c r="W59" s="11">
        <v>0</v>
      </c>
      <c r="X59" s="11">
        <v>0</v>
      </c>
      <c r="Y59" s="11">
        <v>1</v>
      </c>
    </row>
    <row r="60" spans="1:25" x14ac:dyDescent="0.25">
      <c r="A60" s="20" t="s">
        <v>1191</v>
      </c>
      <c r="B60" s="20" t="s">
        <v>3096</v>
      </c>
      <c r="C60" s="20" t="s">
        <v>1192</v>
      </c>
      <c r="D60" s="20" t="s">
        <v>216</v>
      </c>
      <c r="E60" s="13">
        <v>0</v>
      </c>
      <c r="F60" s="11">
        <v>0</v>
      </c>
      <c r="G60" s="13">
        <v>5867</v>
      </c>
      <c r="H60" s="11">
        <v>0</v>
      </c>
      <c r="I60" s="13">
        <f>E60+G60</f>
        <v>5867</v>
      </c>
      <c r="J60" s="11">
        <f>F60+H60</f>
        <v>0</v>
      </c>
      <c r="K60" s="13">
        <v>0</v>
      </c>
      <c r="L60" s="11">
        <v>0</v>
      </c>
      <c r="M60" s="11">
        <v>0</v>
      </c>
      <c r="N60" s="13">
        <v>5687.88</v>
      </c>
      <c r="O60" s="11">
        <v>1</v>
      </c>
      <c r="P60" s="11">
        <v>1</v>
      </c>
      <c r="Q60" s="13">
        <f>K60+N60</f>
        <v>5687.88</v>
      </c>
      <c r="R60" s="11">
        <f>L60+O60</f>
        <v>1</v>
      </c>
      <c r="S60" s="11">
        <f>M60+P60</f>
        <v>1</v>
      </c>
      <c r="T60" s="8">
        <f>I60-Q60</f>
        <v>179.11999999999989</v>
      </c>
      <c r="U60" s="18">
        <v>3.5093969623493072E-2</v>
      </c>
      <c r="V60" s="11">
        <v>0</v>
      </c>
      <c r="W60" s="11">
        <v>0</v>
      </c>
      <c r="X60" s="11">
        <v>0</v>
      </c>
      <c r="Y60" s="11">
        <v>0</v>
      </c>
    </row>
    <row r="61" spans="1:25" x14ac:dyDescent="0.25">
      <c r="A61" s="20" t="s">
        <v>1195</v>
      </c>
      <c r="B61" s="20" t="s">
        <v>241</v>
      </c>
      <c r="C61" s="20" t="s">
        <v>1196</v>
      </c>
      <c r="D61" s="20" t="s">
        <v>216</v>
      </c>
      <c r="E61" s="13">
        <v>1321</v>
      </c>
      <c r="F61" s="11">
        <v>0</v>
      </c>
      <c r="G61" s="13">
        <v>0</v>
      </c>
      <c r="H61" s="11">
        <v>0</v>
      </c>
      <c r="I61" s="13">
        <f>E61+G61</f>
        <v>1321</v>
      </c>
      <c r="J61" s="11">
        <f>F61+H61</f>
        <v>0</v>
      </c>
      <c r="K61" s="13">
        <v>2121</v>
      </c>
      <c r="L61" s="11">
        <v>0</v>
      </c>
      <c r="M61" s="11">
        <v>0</v>
      </c>
      <c r="N61" s="13">
        <v>0</v>
      </c>
      <c r="O61" s="11">
        <v>0</v>
      </c>
      <c r="P61" s="11">
        <v>1</v>
      </c>
      <c r="Q61" s="13">
        <f>K61+N61</f>
        <v>2121</v>
      </c>
      <c r="R61" s="11">
        <f>L61+O61</f>
        <v>0</v>
      </c>
      <c r="S61" s="11">
        <f>M61+P61</f>
        <v>1</v>
      </c>
      <c r="T61" s="8">
        <f>I61-Q61</f>
        <v>-800</v>
      </c>
      <c r="U61" s="18">
        <v>-4.1659506388581633E-3</v>
      </c>
      <c r="V61" s="11">
        <v>0.5</v>
      </c>
      <c r="W61" s="11">
        <v>1</v>
      </c>
      <c r="X61" s="11">
        <v>1</v>
      </c>
      <c r="Y61" s="11">
        <v>0</v>
      </c>
    </row>
    <row r="62" spans="1:25" x14ac:dyDescent="0.25">
      <c r="A62" s="20" t="s">
        <v>3096</v>
      </c>
      <c r="B62" s="20" t="s">
        <v>3096</v>
      </c>
      <c r="C62" s="20" t="s">
        <v>2025</v>
      </c>
      <c r="D62" s="20" t="s">
        <v>216</v>
      </c>
      <c r="E62" s="13">
        <v>0</v>
      </c>
      <c r="F62" s="11">
        <v>0</v>
      </c>
      <c r="G62" s="13">
        <v>0</v>
      </c>
      <c r="H62" s="11">
        <v>0</v>
      </c>
      <c r="I62" s="13">
        <f>E62+G62</f>
        <v>0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0</v>
      </c>
      <c r="O62" s="11">
        <v>0</v>
      </c>
      <c r="P62" s="11">
        <v>0</v>
      </c>
      <c r="Q62" s="13">
        <f>K62+N62</f>
        <v>0</v>
      </c>
      <c r="R62" s="11">
        <f>L62+O62</f>
        <v>0</v>
      </c>
      <c r="S62" s="11">
        <f>M62+P62</f>
        <v>0</v>
      </c>
      <c r="T62" s="8">
        <f>I62-Q62</f>
        <v>0</v>
      </c>
      <c r="U62" s="18">
        <v>3.5047570170936793E-2</v>
      </c>
      <c r="V62" s="11">
        <v>0</v>
      </c>
      <c r="W62" s="11">
        <v>0</v>
      </c>
      <c r="X62" s="11">
        <v>0</v>
      </c>
      <c r="Y62" s="11">
        <v>0</v>
      </c>
    </row>
    <row r="63" spans="1:25" x14ac:dyDescent="0.25">
      <c r="A63" s="20" t="s">
        <v>1811</v>
      </c>
      <c r="B63" s="20" t="s">
        <v>77</v>
      </c>
      <c r="C63" s="20" t="s">
        <v>1812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0</v>
      </c>
      <c r="O63" s="11">
        <v>0</v>
      </c>
      <c r="P63" s="11">
        <v>0</v>
      </c>
      <c r="Q63" s="13">
        <f>K63+N63</f>
        <v>0</v>
      </c>
      <c r="R63" s="11">
        <f>L63+O63</f>
        <v>0</v>
      </c>
      <c r="S63" s="11">
        <f>M63+P63</f>
        <v>0</v>
      </c>
      <c r="T63" s="8">
        <f>I63-Q63</f>
        <v>0</v>
      </c>
      <c r="U63" s="18">
        <v>-2.0417896888485124E-2</v>
      </c>
      <c r="V63" s="11">
        <v>0</v>
      </c>
      <c r="W63" s="11">
        <v>0</v>
      </c>
      <c r="X63" s="11">
        <v>0</v>
      </c>
      <c r="Y63" s="11">
        <v>0</v>
      </c>
    </row>
    <row r="64" spans="1:25" x14ac:dyDescent="0.25">
      <c r="A64" s="20" t="s">
        <v>3037</v>
      </c>
      <c r="B64" s="20" t="s">
        <v>60</v>
      </c>
      <c r="C64" s="20" t="s">
        <v>3038</v>
      </c>
      <c r="D64" s="20" t="s">
        <v>216</v>
      </c>
      <c r="E64" s="13">
        <v>11790</v>
      </c>
      <c r="F64" s="11">
        <v>0</v>
      </c>
      <c r="G64" s="13">
        <v>0</v>
      </c>
      <c r="H64" s="11">
        <v>0</v>
      </c>
      <c r="I64" s="13">
        <f>E64+G64</f>
        <v>11790</v>
      </c>
      <c r="J64" s="11">
        <f>F64+H64</f>
        <v>0</v>
      </c>
      <c r="K64" s="13">
        <v>11848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11848</v>
      </c>
      <c r="R64" s="11">
        <f>L64+O64</f>
        <v>0</v>
      </c>
      <c r="S64" s="11">
        <f>M64+P64</f>
        <v>0</v>
      </c>
      <c r="T64" s="8">
        <f>I64-Q64</f>
        <v>-58</v>
      </c>
      <c r="U64" s="18">
        <v>0.26998403711043456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3112</v>
      </c>
      <c r="B65" s="20" t="s">
        <v>260</v>
      </c>
      <c r="C65" s="20" t="s">
        <v>286</v>
      </c>
      <c r="D65" s="20" t="s">
        <v>216</v>
      </c>
      <c r="E65" s="13">
        <v>0</v>
      </c>
      <c r="F65" s="11">
        <v>0</v>
      </c>
      <c r="G65" s="13">
        <v>0</v>
      </c>
      <c r="H65" s="11">
        <v>0</v>
      </c>
      <c r="I65" s="13">
        <f>E65+G65</f>
        <v>0</v>
      </c>
      <c r="J65" s="11">
        <f>F65+H65</f>
        <v>0</v>
      </c>
      <c r="K65" s="13">
        <v>0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0</v>
      </c>
      <c r="R65" s="11">
        <f>L65+O65</f>
        <v>0</v>
      </c>
      <c r="S65" s="11">
        <f>M65+P65</f>
        <v>0</v>
      </c>
      <c r="T65" s="8">
        <f>I65-Q65</f>
        <v>0</v>
      </c>
      <c r="U65" s="18">
        <v>-0.23855937796550911</v>
      </c>
      <c r="V65" s="11">
        <v>0</v>
      </c>
      <c r="W65" s="11">
        <v>0</v>
      </c>
      <c r="X65" s="11">
        <v>0</v>
      </c>
      <c r="Y65" s="11">
        <v>0</v>
      </c>
    </row>
    <row r="66" spans="1:25" x14ac:dyDescent="0.25">
      <c r="A66" s="20" t="s">
        <v>3176</v>
      </c>
      <c r="B66" s="20" t="s">
        <v>3096</v>
      </c>
      <c r="C66" s="20" t="s">
        <v>3177</v>
      </c>
      <c r="D66" s="20" t="s">
        <v>216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0</v>
      </c>
      <c r="L66" s="11">
        <v>0</v>
      </c>
      <c r="M66" s="11">
        <v>2</v>
      </c>
      <c r="N66" s="13">
        <v>0</v>
      </c>
      <c r="O66" s="11">
        <v>0</v>
      </c>
      <c r="P66" s="11">
        <v>0</v>
      </c>
      <c r="Q66" s="13">
        <f>K66+N66</f>
        <v>0</v>
      </c>
      <c r="R66" s="11">
        <f>L66+O66</f>
        <v>0</v>
      </c>
      <c r="S66" s="11">
        <f>M66+P66</f>
        <v>2</v>
      </c>
      <c r="T66" s="8">
        <f>I66-Q66</f>
        <v>0</v>
      </c>
      <c r="U66" s="18">
        <v>9.2566407256549563E-2</v>
      </c>
      <c r="V66" s="11">
        <v>0.33</v>
      </c>
      <c r="W66" s="11">
        <v>2</v>
      </c>
      <c r="X66" s="11">
        <v>4</v>
      </c>
      <c r="Y66" s="11">
        <v>3</v>
      </c>
    </row>
    <row r="67" spans="1:25" x14ac:dyDescent="0.25">
      <c r="A67" s="20" t="s">
        <v>3178</v>
      </c>
      <c r="B67" s="20" t="s">
        <v>3096</v>
      </c>
      <c r="C67" s="20" t="s">
        <v>3179</v>
      </c>
      <c r="D67" s="20" t="s">
        <v>216</v>
      </c>
      <c r="E67" s="13">
        <v>0</v>
      </c>
      <c r="F67" s="11">
        <v>0</v>
      </c>
      <c r="G67" s="13">
        <v>5664.5</v>
      </c>
      <c r="H67" s="11">
        <v>2</v>
      </c>
      <c r="I67" s="13">
        <f>E67+G67</f>
        <v>5664.5</v>
      </c>
      <c r="J67" s="11">
        <f>F67+H67</f>
        <v>2</v>
      </c>
      <c r="K67" s="13">
        <v>0</v>
      </c>
      <c r="L67" s="11">
        <v>0</v>
      </c>
      <c r="M67" s="11">
        <v>3</v>
      </c>
      <c r="N67" s="13">
        <v>0</v>
      </c>
      <c r="O67" s="11">
        <v>0</v>
      </c>
      <c r="P67" s="11">
        <v>5</v>
      </c>
      <c r="Q67" s="13">
        <f>K67+N67</f>
        <v>0</v>
      </c>
      <c r="R67" s="11">
        <f>L67+O67</f>
        <v>0</v>
      </c>
      <c r="S67" s="11">
        <f>M67+P67</f>
        <v>8</v>
      </c>
      <c r="T67" s="8">
        <f>I67-Q67</f>
        <v>5664.5</v>
      </c>
      <c r="U67" s="18">
        <v>0.11582334280668763</v>
      </c>
      <c r="V67" s="11">
        <v>0.53</v>
      </c>
      <c r="W67" s="11">
        <v>10</v>
      </c>
      <c r="X67" s="11">
        <v>9</v>
      </c>
      <c r="Y67" s="11">
        <v>2</v>
      </c>
    </row>
    <row r="68" spans="1:25" x14ac:dyDescent="0.25">
      <c r="A68" s="20" t="s">
        <v>3180</v>
      </c>
      <c r="B68" s="20" t="s">
        <v>202</v>
      </c>
      <c r="C68" s="20" t="s">
        <v>203</v>
      </c>
      <c r="D68" s="20" t="s">
        <v>216</v>
      </c>
      <c r="E68" s="13">
        <v>5673</v>
      </c>
      <c r="F68" s="11">
        <v>0</v>
      </c>
      <c r="G68" s="13">
        <v>1501</v>
      </c>
      <c r="H68" s="11">
        <v>1</v>
      </c>
      <c r="I68" s="13">
        <f>E68+G68</f>
        <v>7174</v>
      </c>
      <c r="J68" s="11">
        <f>F68+H68</f>
        <v>1</v>
      </c>
      <c r="K68" s="13">
        <v>5729</v>
      </c>
      <c r="L68" s="11">
        <v>0</v>
      </c>
      <c r="M68" s="11">
        <v>0</v>
      </c>
      <c r="N68" s="13">
        <v>-2700</v>
      </c>
      <c r="O68" s="11">
        <v>0</v>
      </c>
      <c r="P68" s="11">
        <v>1</v>
      </c>
      <c r="Q68" s="13">
        <f>K68+N68</f>
        <v>3029</v>
      </c>
      <c r="R68" s="11">
        <f>L68+O68</f>
        <v>0</v>
      </c>
      <c r="S68" s="11">
        <f>M68+P68</f>
        <v>1</v>
      </c>
      <c r="T68" s="8">
        <f>I68-Q68</f>
        <v>4145</v>
      </c>
      <c r="U68" s="18">
        <v>7.7993158434929558E-2</v>
      </c>
      <c r="V68" s="11">
        <v>0.4</v>
      </c>
      <c r="W68" s="11">
        <v>2</v>
      </c>
      <c r="X68" s="11">
        <v>3</v>
      </c>
      <c r="Y68" s="11">
        <v>1</v>
      </c>
    </row>
    <row r="69" spans="1:25" x14ac:dyDescent="0.25">
      <c r="A69" s="20" t="s">
        <v>3201</v>
      </c>
      <c r="B69" s="20" t="s">
        <v>60</v>
      </c>
      <c r="C69" s="20" t="s">
        <v>3202</v>
      </c>
      <c r="D69" s="20" t="s">
        <v>216</v>
      </c>
      <c r="E69" s="13">
        <v>0</v>
      </c>
      <c r="F69" s="11">
        <v>0</v>
      </c>
      <c r="G69" s="13">
        <v>0</v>
      </c>
      <c r="H69" s="11">
        <v>0</v>
      </c>
      <c r="I69" s="13">
        <f>E69+G69</f>
        <v>0</v>
      </c>
      <c r="J69" s="11">
        <f>F69+H69</f>
        <v>0</v>
      </c>
      <c r="K69" s="13">
        <v>0</v>
      </c>
      <c r="L69" s="11">
        <v>0</v>
      </c>
      <c r="M69" s="11">
        <v>0</v>
      </c>
      <c r="N69" s="13">
        <v>0</v>
      </c>
      <c r="O69" s="11">
        <v>0</v>
      </c>
      <c r="P69" s="11">
        <v>0</v>
      </c>
      <c r="Q69" s="13">
        <f>K69+N69</f>
        <v>0</v>
      </c>
      <c r="R69" s="11">
        <f>L69+O69</f>
        <v>0</v>
      </c>
      <c r="S69" s="11">
        <f>M69+P69</f>
        <v>0</v>
      </c>
      <c r="T69" s="8">
        <f>I69-Q69</f>
        <v>0</v>
      </c>
      <c r="U69" s="18">
        <v>9.5912585997571837E-4</v>
      </c>
      <c r="V69" s="11">
        <v>0</v>
      </c>
      <c r="W69" s="11">
        <v>0</v>
      </c>
      <c r="X69" s="11">
        <v>0</v>
      </c>
      <c r="Y69" s="11">
        <v>0</v>
      </c>
    </row>
    <row r="70" spans="1:25" x14ac:dyDescent="0.25">
      <c r="A70" s="20" t="s">
        <v>3222</v>
      </c>
      <c r="B70" s="20" t="s">
        <v>3340</v>
      </c>
      <c r="C70" s="20" t="s">
        <v>3223</v>
      </c>
      <c r="D70" s="20" t="s">
        <v>216</v>
      </c>
      <c r="E70" s="13">
        <v>5348.98</v>
      </c>
      <c r="F70" s="11">
        <v>0</v>
      </c>
      <c r="G70" s="13">
        <v>0</v>
      </c>
      <c r="H70" s="11">
        <v>0</v>
      </c>
      <c r="I70" s="13">
        <f>E70+G70</f>
        <v>5348.98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0</v>
      </c>
      <c r="O70" s="11">
        <v>0</v>
      </c>
      <c r="P70" s="11">
        <v>0</v>
      </c>
      <c r="Q70" s="13">
        <f>K70+N70</f>
        <v>0</v>
      </c>
      <c r="R70" s="11">
        <f>L70+O70</f>
        <v>0</v>
      </c>
      <c r="S70" s="11">
        <f>M70+P70</f>
        <v>0</v>
      </c>
      <c r="T70" s="8">
        <f>I70-Q70</f>
        <v>5348.98</v>
      </c>
      <c r="U70" s="18">
        <v>0.16142718365381073</v>
      </c>
      <c r="V70" s="11">
        <v>0</v>
      </c>
      <c r="W70" s="11">
        <v>0</v>
      </c>
      <c r="X70" s="11">
        <v>0</v>
      </c>
      <c r="Y70" s="11">
        <v>0</v>
      </c>
    </row>
    <row r="71" spans="1:25" x14ac:dyDescent="0.25">
      <c r="A71" s="20" t="s">
        <v>3237</v>
      </c>
      <c r="B71" s="20" t="s">
        <v>77</v>
      </c>
      <c r="C71" s="20" t="s">
        <v>3238</v>
      </c>
      <c r="D71" s="20" t="s">
        <v>216</v>
      </c>
      <c r="E71" s="13">
        <v>0</v>
      </c>
      <c r="F71" s="11">
        <v>0</v>
      </c>
      <c r="G71" s="13">
        <v>0</v>
      </c>
      <c r="H71" s="11">
        <v>0</v>
      </c>
      <c r="I71" s="13">
        <f>E71+G71</f>
        <v>0</v>
      </c>
      <c r="J71" s="11">
        <f>F71+H71</f>
        <v>0</v>
      </c>
      <c r="K71" s="13">
        <v>0</v>
      </c>
      <c r="L71" s="11">
        <v>0</v>
      </c>
      <c r="M71" s="11">
        <v>0</v>
      </c>
      <c r="N71" s="13">
        <v>0</v>
      </c>
      <c r="O71" s="11">
        <v>0</v>
      </c>
      <c r="P71" s="11">
        <v>0</v>
      </c>
      <c r="Q71" s="13">
        <f>K71+N71</f>
        <v>0</v>
      </c>
      <c r="R71" s="11">
        <f>L71+O71</f>
        <v>0</v>
      </c>
      <c r="S71" s="11">
        <f>M71+P71</f>
        <v>0</v>
      </c>
      <c r="T71" s="8">
        <f>I71-Q71</f>
        <v>0</v>
      </c>
      <c r="U71" s="18" t="s">
        <v>1803</v>
      </c>
      <c r="V71" s="11">
        <v>0</v>
      </c>
      <c r="W71" s="11">
        <v>0</v>
      </c>
      <c r="X71" s="11">
        <v>0</v>
      </c>
      <c r="Y71" s="11">
        <v>0</v>
      </c>
    </row>
    <row r="72" spans="1:25" x14ac:dyDescent="0.25">
      <c r="A72" s="20" t="s">
        <v>3239</v>
      </c>
      <c r="B72" s="20" t="s">
        <v>91</v>
      </c>
      <c r="C72" s="20" t="s">
        <v>3240</v>
      </c>
      <c r="D72" s="20" t="s">
        <v>216</v>
      </c>
      <c r="E72" s="13">
        <v>0</v>
      </c>
      <c r="F72" s="11">
        <v>0</v>
      </c>
      <c r="G72" s="13">
        <v>0</v>
      </c>
      <c r="H72" s="11">
        <v>0</v>
      </c>
      <c r="I72" s="13">
        <f>E72+G72</f>
        <v>0</v>
      </c>
      <c r="J72" s="11">
        <f>F72+H72</f>
        <v>0</v>
      </c>
      <c r="K72" s="13">
        <v>0</v>
      </c>
      <c r="L72" s="11">
        <v>0</v>
      </c>
      <c r="M72" s="11">
        <v>0</v>
      </c>
      <c r="N72" s="13">
        <v>0</v>
      </c>
      <c r="O72" s="11">
        <v>0</v>
      </c>
      <c r="P72" s="11">
        <v>0</v>
      </c>
      <c r="Q72" s="13">
        <f>K72+N72</f>
        <v>0</v>
      </c>
      <c r="R72" s="11">
        <f>L72+O72</f>
        <v>0</v>
      </c>
      <c r="S72" s="11">
        <f>M72+P72</f>
        <v>0</v>
      </c>
      <c r="T72" s="8">
        <f>I72-Q72</f>
        <v>0</v>
      </c>
      <c r="U72" s="18">
        <v>1.0108921350770466E-3</v>
      </c>
      <c r="V72" s="11">
        <v>0</v>
      </c>
      <c r="W72" s="11">
        <v>0</v>
      </c>
      <c r="X72" s="11">
        <v>2</v>
      </c>
      <c r="Y72" s="11">
        <v>1</v>
      </c>
    </row>
    <row r="73" spans="1:25" x14ac:dyDescent="0.25">
      <c r="A73" s="20" t="s">
        <v>3241</v>
      </c>
      <c r="B73" s="20" t="s">
        <v>91</v>
      </c>
      <c r="C73" s="20" t="s">
        <v>3242</v>
      </c>
      <c r="D73" s="20" t="s">
        <v>216</v>
      </c>
      <c r="E73" s="13">
        <v>4727</v>
      </c>
      <c r="F73" s="11">
        <v>0</v>
      </c>
      <c r="G73" s="13">
        <v>0</v>
      </c>
      <c r="H73" s="11">
        <v>0</v>
      </c>
      <c r="I73" s="13">
        <f>E73+G73</f>
        <v>4727</v>
      </c>
      <c r="J73" s="11">
        <f>F73+H73</f>
        <v>0</v>
      </c>
      <c r="K73" s="13">
        <v>4461</v>
      </c>
      <c r="L73" s="11">
        <v>0</v>
      </c>
      <c r="M73" s="11">
        <v>3</v>
      </c>
      <c r="N73" s="13">
        <v>0</v>
      </c>
      <c r="O73" s="11">
        <v>0</v>
      </c>
      <c r="P73" s="11">
        <v>2</v>
      </c>
      <c r="Q73" s="13">
        <f>K73+N73</f>
        <v>4461</v>
      </c>
      <c r="R73" s="11">
        <f>L73+O73</f>
        <v>0</v>
      </c>
      <c r="S73" s="11">
        <f>M73+P73</f>
        <v>5</v>
      </c>
      <c r="T73" s="8">
        <f>I73-Q73</f>
        <v>266</v>
      </c>
      <c r="U73" s="18">
        <v>5.7572944925669209E-2</v>
      </c>
      <c r="V73" s="11">
        <v>0.33</v>
      </c>
      <c r="W73" s="11">
        <v>5</v>
      </c>
      <c r="X73" s="11">
        <v>10</v>
      </c>
      <c r="Y73" s="11">
        <v>2</v>
      </c>
    </row>
    <row r="74" spans="1:25" x14ac:dyDescent="0.25">
      <c r="A74" s="20" t="s">
        <v>3256</v>
      </c>
      <c r="B74" s="20" t="s">
        <v>257</v>
      </c>
      <c r="C74" s="20" t="s">
        <v>1169</v>
      </c>
      <c r="D74" s="20" t="s">
        <v>216</v>
      </c>
      <c r="E74" s="13">
        <v>0</v>
      </c>
      <c r="F74" s="11">
        <v>0</v>
      </c>
      <c r="G74" s="13">
        <v>0</v>
      </c>
      <c r="H74" s="11">
        <v>0</v>
      </c>
      <c r="I74" s="13">
        <f>E74+G74</f>
        <v>0</v>
      </c>
      <c r="J74" s="11">
        <f>F74+H74</f>
        <v>0</v>
      </c>
      <c r="K74" s="13">
        <v>0</v>
      </c>
      <c r="L74" s="11">
        <v>0</v>
      </c>
      <c r="M74" s="11">
        <v>0</v>
      </c>
      <c r="N74" s="13">
        <v>0</v>
      </c>
      <c r="O74" s="11">
        <v>0</v>
      </c>
      <c r="P74" s="11">
        <v>0</v>
      </c>
      <c r="Q74" s="13">
        <f>K74+N74</f>
        <v>0</v>
      </c>
      <c r="R74" s="11">
        <f>L74+O74</f>
        <v>0</v>
      </c>
      <c r="S74" s="11">
        <f>M74+P74</f>
        <v>0</v>
      </c>
      <c r="T74" s="8">
        <f>I74-Q74</f>
        <v>0</v>
      </c>
      <c r="U74" s="18">
        <v>-4.9932081784029018E-2</v>
      </c>
      <c r="V74" s="11">
        <v>0</v>
      </c>
      <c r="W74" s="11">
        <v>0</v>
      </c>
      <c r="X74" s="11">
        <v>3</v>
      </c>
      <c r="Y74" s="11">
        <v>1</v>
      </c>
    </row>
    <row r="75" spans="1:25" x14ac:dyDescent="0.25">
      <c r="A75" s="20" t="s">
        <v>3311</v>
      </c>
      <c r="B75" s="20" t="s">
        <v>60</v>
      </c>
      <c r="C75" s="20" t="s">
        <v>3312</v>
      </c>
      <c r="D75" s="20" t="s">
        <v>216</v>
      </c>
      <c r="E75" s="13">
        <v>0</v>
      </c>
      <c r="F75" s="11">
        <v>0</v>
      </c>
      <c r="G75" s="13">
        <v>14319</v>
      </c>
      <c r="H75" s="11">
        <v>0</v>
      </c>
      <c r="I75" s="13">
        <f>E75+G75</f>
        <v>14319</v>
      </c>
      <c r="J75" s="11">
        <f>F75+H75</f>
        <v>0</v>
      </c>
      <c r="K75" s="13">
        <v>142.68</v>
      </c>
      <c r="L75" s="11">
        <v>0</v>
      </c>
      <c r="M75" s="11">
        <v>0</v>
      </c>
      <c r="N75" s="13">
        <v>11980</v>
      </c>
      <c r="O75" s="11">
        <v>0</v>
      </c>
      <c r="P75" s="11">
        <v>3</v>
      </c>
      <c r="Q75" s="13">
        <f>K75+N75</f>
        <v>12122.68</v>
      </c>
      <c r="R75" s="11">
        <f>L75+O75</f>
        <v>0</v>
      </c>
      <c r="S75" s="11">
        <f>M75+P75</f>
        <v>3</v>
      </c>
      <c r="T75" s="8">
        <f>I75-Q75</f>
        <v>2196.3199999999997</v>
      </c>
      <c r="U75" s="18">
        <v>8.9177852828398838E-2</v>
      </c>
      <c r="V75" s="11">
        <v>0.2</v>
      </c>
      <c r="W75" s="11">
        <v>3</v>
      </c>
      <c r="X75" s="11">
        <v>12</v>
      </c>
      <c r="Y75" s="11">
        <v>3</v>
      </c>
    </row>
    <row r="76" spans="1:25" x14ac:dyDescent="0.25">
      <c r="A76" s="20" t="s">
        <v>3403</v>
      </c>
      <c r="B76" s="20" t="s">
        <v>60</v>
      </c>
      <c r="C76" s="20" t="s">
        <v>3404</v>
      </c>
      <c r="D76" s="20" t="s">
        <v>216</v>
      </c>
      <c r="E76" s="13">
        <v>1663</v>
      </c>
      <c r="F76" s="11">
        <v>0</v>
      </c>
      <c r="G76" s="13">
        <v>-605.04999999999995</v>
      </c>
      <c r="H76" s="11">
        <v>0</v>
      </c>
      <c r="I76" s="13">
        <f>E76+G76</f>
        <v>1057.95</v>
      </c>
      <c r="J76" s="11">
        <f>F76+H76</f>
        <v>0</v>
      </c>
      <c r="K76" s="13">
        <v>1663</v>
      </c>
      <c r="L76" s="11">
        <v>1</v>
      </c>
      <c r="M76" s="11">
        <v>1</v>
      </c>
      <c r="N76" s="13">
        <v>0</v>
      </c>
      <c r="O76" s="11">
        <v>0</v>
      </c>
      <c r="P76" s="11">
        <v>10</v>
      </c>
      <c r="Q76" s="13">
        <f>K76+N76</f>
        <v>1663</v>
      </c>
      <c r="R76" s="11">
        <f>L76+O76</f>
        <v>1</v>
      </c>
      <c r="S76" s="11">
        <f>M76+P76</f>
        <v>11</v>
      </c>
      <c r="T76" s="8">
        <f>I76-Q76</f>
        <v>-605.04999999999995</v>
      </c>
      <c r="U76" s="18">
        <v>4.038174924728466</v>
      </c>
      <c r="V76" s="11">
        <v>0.25</v>
      </c>
      <c r="W76" s="11">
        <v>10</v>
      </c>
      <c r="X76" s="11">
        <v>30</v>
      </c>
      <c r="Y76" s="11">
        <v>0</v>
      </c>
    </row>
    <row r="77" spans="1:25" x14ac:dyDescent="0.25">
      <c r="A77" s="20" t="s">
        <v>3405</v>
      </c>
      <c r="B77" s="20" t="s">
        <v>104</v>
      </c>
      <c r="C77" s="20" t="s">
        <v>3406</v>
      </c>
      <c r="D77" s="20" t="s">
        <v>216</v>
      </c>
      <c r="E77" s="13">
        <v>0</v>
      </c>
      <c r="F77" s="11">
        <v>0</v>
      </c>
      <c r="G77" s="13">
        <v>0</v>
      </c>
      <c r="H77" s="11">
        <v>0</v>
      </c>
      <c r="I77" s="13">
        <f>E77+G77</f>
        <v>0</v>
      </c>
      <c r="J77" s="11">
        <f>F77+H77</f>
        <v>0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0</v>
      </c>
      <c r="U77" s="18" t="s">
        <v>1803</v>
      </c>
      <c r="V77" s="11">
        <v>0</v>
      </c>
      <c r="W77" s="11">
        <v>0</v>
      </c>
      <c r="X77" s="11">
        <v>0</v>
      </c>
      <c r="Y77" s="11">
        <v>0</v>
      </c>
    </row>
    <row r="78" spans="1:25" x14ac:dyDescent="0.25">
      <c r="A78" s="20" t="s">
        <v>3573</v>
      </c>
      <c r="B78" s="20" t="s">
        <v>60</v>
      </c>
      <c r="C78" s="20" t="s">
        <v>3574</v>
      </c>
      <c r="D78" s="20" t="s">
        <v>216</v>
      </c>
      <c r="E78" s="13">
        <v>0</v>
      </c>
      <c r="F78" s="11">
        <v>0</v>
      </c>
      <c r="G78" s="13">
        <v>0</v>
      </c>
      <c r="H78" s="11">
        <v>0</v>
      </c>
      <c r="I78" s="13">
        <f>E78+G78</f>
        <v>0</v>
      </c>
      <c r="J78" s="11">
        <f>F78+H78</f>
        <v>0</v>
      </c>
      <c r="K78" s="13">
        <v>0</v>
      </c>
      <c r="L78" s="11">
        <v>0</v>
      </c>
      <c r="M78" s="11">
        <v>1</v>
      </c>
      <c r="N78" s="13">
        <v>0</v>
      </c>
      <c r="O78" s="11">
        <v>0</v>
      </c>
      <c r="P78" s="11">
        <v>1</v>
      </c>
      <c r="Q78" s="13">
        <f>K78+N78</f>
        <v>0</v>
      </c>
      <c r="R78" s="11">
        <f>L78+O78</f>
        <v>0</v>
      </c>
      <c r="S78" s="11">
        <f>M78+P78</f>
        <v>2</v>
      </c>
      <c r="T78" s="8">
        <f>I78-Q78</f>
        <v>0</v>
      </c>
      <c r="U78" s="18">
        <v>5.1001829237186228E-2</v>
      </c>
      <c r="V78" s="11">
        <v>0.4</v>
      </c>
      <c r="W78" s="11">
        <v>2</v>
      </c>
      <c r="X78" s="11">
        <v>3</v>
      </c>
      <c r="Y78" s="11">
        <v>0</v>
      </c>
    </row>
    <row r="79" spans="1:25" x14ac:dyDescent="0.25">
      <c r="A79" s="20" t="s">
        <v>3575</v>
      </c>
      <c r="B79" s="20" t="s">
        <v>241</v>
      </c>
      <c r="C79" s="20" t="s">
        <v>1247</v>
      </c>
      <c r="D79" s="20" t="s">
        <v>216</v>
      </c>
      <c r="E79" s="13">
        <v>0</v>
      </c>
      <c r="F79" s="11">
        <v>0</v>
      </c>
      <c r="G79" s="13">
        <v>0</v>
      </c>
      <c r="H79" s="11">
        <v>0</v>
      </c>
      <c r="I79" s="13">
        <f>E79+G79</f>
        <v>0</v>
      </c>
      <c r="J79" s="11">
        <f>F79+H79</f>
        <v>0</v>
      </c>
      <c r="K79" s="13">
        <v>0</v>
      </c>
      <c r="L79" s="11">
        <v>0</v>
      </c>
      <c r="M79" s="11">
        <v>0</v>
      </c>
      <c r="N79" s="13">
        <v>0</v>
      </c>
      <c r="O79" s="11">
        <v>0</v>
      </c>
      <c r="P79" s="11">
        <v>1</v>
      </c>
      <c r="Q79" s="13">
        <f>K79+N79</f>
        <v>0</v>
      </c>
      <c r="R79" s="11">
        <f>L79+O79</f>
        <v>0</v>
      </c>
      <c r="S79" s="11">
        <f>M79+P79</f>
        <v>1</v>
      </c>
      <c r="T79" s="8">
        <f>I79-Q79</f>
        <v>0</v>
      </c>
      <c r="U79" s="18">
        <v>8.0714641664051984E-2</v>
      </c>
      <c r="V79" s="11">
        <v>0.33</v>
      </c>
      <c r="W79" s="11">
        <v>1</v>
      </c>
      <c r="X79" s="11">
        <v>2</v>
      </c>
      <c r="Y79" s="11">
        <v>0</v>
      </c>
    </row>
    <row r="80" spans="1:25" x14ac:dyDescent="0.25">
      <c r="A80" s="20" t="s">
        <v>3587</v>
      </c>
      <c r="B80" s="20" t="s">
        <v>241</v>
      </c>
      <c r="C80" s="20" t="s">
        <v>1102</v>
      </c>
      <c r="D80" s="20" t="s">
        <v>216</v>
      </c>
      <c r="E80" s="13">
        <v>0</v>
      </c>
      <c r="F80" s="11">
        <v>0</v>
      </c>
      <c r="G80" s="13">
        <v>0</v>
      </c>
      <c r="H80" s="11">
        <v>0</v>
      </c>
      <c r="I80" s="13">
        <f>E80+G80</f>
        <v>0</v>
      </c>
      <c r="J80" s="11">
        <f>F80+H80</f>
        <v>0</v>
      </c>
      <c r="K80" s="13">
        <v>0</v>
      </c>
      <c r="L80" s="11">
        <v>0</v>
      </c>
      <c r="M80" s="11">
        <v>0</v>
      </c>
      <c r="N80" s="13">
        <v>0</v>
      </c>
      <c r="O80" s="11">
        <v>0</v>
      </c>
      <c r="P80" s="11">
        <v>0</v>
      </c>
      <c r="Q80" s="13">
        <f>K80+N80</f>
        <v>0</v>
      </c>
      <c r="R80" s="11">
        <f>L80+O80</f>
        <v>0</v>
      </c>
      <c r="S80" s="11">
        <f>M80+P80</f>
        <v>0</v>
      </c>
      <c r="T80" s="8">
        <f>I80-Q80</f>
        <v>0</v>
      </c>
      <c r="U80" s="18">
        <v>-6.0282788771326614E-3</v>
      </c>
      <c r="V80" s="11">
        <v>0</v>
      </c>
      <c r="W80" s="11">
        <v>0</v>
      </c>
      <c r="X80" s="11">
        <v>0</v>
      </c>
      <c r="Y80" s="11">
        <v>0</v>
      </c>
    </row>
    <row r="81" spans="1:25" x14ac:dyDescent="0.25">
      <c r="A81" s="20" t="s">
        <v>1070</v>
      </c>
      <c r="B81" s="20" t="s">
        <v>1070</v>
      </c>
      <c r="C81" s="20" t="s">
        <v>1198</v>
      </c>
      <c r="D81" s="20" t="s">
        <v>216</v>
      </c>
      <c r="E81" s="13">
        <v>50408</v>
      </c>
      <c r="F81" s="11">
        <v>0</v>
      </c>
      <c r="G81" s="13">
        <v>11779</v>
      </c>
      <c r="H81" s="11">
        <v>0</v>
      </c>
      <c r="I81" s="13">
        <f>E81+G81</f>
        <v>62187</v>
      </c>
      <c r="J81" s="11">
        <f>F81+H81</f>
        <v>0</v>
      </c>
      <c r="K81" s="13">
        <v>60672.19</v>
      </c>
      <c r="L81" s="11">
        <v>0</v>
      </c>
      <c r="M81" s="11">
        <v>1</v>
      </c>
      <c r="N81" s="13">
        <v>11466</v>
      </c>
      <c r="O81" s="11">
        <v>1</v>
      </c>
      <c r="P81" s="11">
        <v>3</v>
      </c>
      <c r="Q81" s="13">
        <f>K81+N81</f>
        <v>72138.19</v>
      </c>
      <c r="R81" s="11">
        <f>L81+O81</f>
        <v>1</v>
      </c>
      <c r="S81" s="11">
        <f>M81+P81</f>
        <v>4</v>
      </c>
      <c r="T81" s="8">
        <f>I81-Q81</f>
        <v>-9951.1900000000023</v>
      </c>
      <c r="U81" s="18">
        <v>0.13968531137720872</v>
      </c>
      <c r="V81" s="11">
        <v>0.3</v>
      </c>
      <c r="W81" s="11">
        <v>3</v>
      </c>
      <c r="X81" s="11">
        <v>7</v>
      </c>
      <c r="Y81" s="11">
        <v>1</v>
      </c>
    </row>
    <row r="82" spans="1:25" x14ac:dyDescent="0.25">
      <c r="A82" s="20" t="s">
        <v>1805</v>
      </c>
      <c r="B82" s="20"/>
      <c r="C82" s="20"/>
      <c r="D82" s="20"/>
      <c r="E82" s="13">
        <f>SUBTOTAL(109,TableRCH[YTD WP])</f>
        <v>208228.24000000002</v>
      </c>
      <c r="F82" s="11">
        <f>SUBTOTAL(109,TableRCH[YTD NB '#])</f>
        <v>3</v>
      </c>
      <c r="G82" s="13">
        <f>SUBTOTAL(109,TableRCH[[YTD WP ]])</f>
        <v>149140.68000000002</v>
      </c>
      <c r="H82" s="11">
        <f>SUBTOTAL(109,TableRCH[YTD NB '# ])</f>
        <v>8</v>
      </c>
      <c r="I82" s="13">
        <f>SUBTOTAL(109,TableRCH[[YTD WP  ]])</f>
        <v>357368.92</v>
      </c>
      <c r="J82" s="11">
        <f>SUBTOTAL(109,TableRCH[YTD NB '#  ])</f>
        <v>11</v>
      </c>
      <c r="K82" s="13">
        <f>SUBTOTAL(109,TableRCH[PYTD WP])</f>
        <v>236007.46999999997</v>
      </c>
      <c r="L82" s="11">
        <f>SUBTOTAL(109,TableRCH[PYTD NB '#])</f>
        <v>8</v>
      </c>
      <c r="M82" s="11">
        <f>SUBTOTAL(109,TableRCH[PY Total NB '#])</f>
        <v>35</v>
      </c>
      <c r="N82" s="13">
        <f>SUBTOTAL(109,TableRCH[[PYTD WP ]])</f>
        <v>139578.59</v>
      </c>
      <c r="O82" s="11">
        <f>SUBTOTAL(109,TableRCH[PYTD NB '# ])</f>
        <v>7</v>
      </c>
      <c r="P82" s="11">
        <f>SUBTOTAL(109,TableRCH[PY Total NB '# ])</f>
        <v>69</v>
      </c>
      <c r="Q82" s="13">
        <f>SUBTOTAL(109,TableRCH[[PYTD WP  ]])</f>
        <v>375586.05999999994</v>
      </c>
      <c r="R82" s="11">
        <f>SUBTOTAL(109,TableRCH[PYTD NB '#  ])</f>
        <v>15</v>
      </c>
      <c r="S82" s="11">
        <f>SUBTOTAL(109,TableRCH[PY Total NB '#  ])</f>
        <v>104</v>
      </c>
      <c r="T82" s="8">
        <f>SUBTOTAL(109,TableRCH[Premium Change])</f>
        <v>-18217.139999999996</v>
      </c>
      <c r="V82" s="11">
        <f>ROUND(SUM(TableRCH[12 Mo Bound])/SUM(TableRCH[12 Mo Quoted])+ SUM(TableRCH[12 Mo Bound]), 2)</f>
        <v>102.35</v>
      </c>
      <c r="W82" s="11">
        <f>SUBTOTAL(109,TableRCH[12 Mo Bound])</f>
        <v>102</v>
      </c>
      <c r="X82" s="11">
        <f>SUBTOTAL(109,TableRCH[12 Mo Quoted])</f>
        <v>291</v>
      </c>
      <c r="Y82" s="11">
        <f>SUBTOTAL(109,TableRCH[12 Mo Declined])</f>
        <v>79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5B63-6FFF-4AD0-A6B6-E331336DDF14}">
  <sheetPr>
    <pageSetUpPr fitToPage="1"/>
  </sheetPr>
  <dimension ref="A1:Z33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71093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39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1200</v>
      </c>
      <c r="B7" s="20" t="s">
        <v>1088</v>
      </c>
      <c r="C7" s="20" t="s">
        <v>1201</v>
      </c>
      <c r="D7" s="20" t="s">
        <v>216</v>
      </c>
      <c r="E7" s="13">
        <v>8504</v>
      </c>
      <c r="F7" s="11">
        <v>0</v>
      </c>
      <c r="G7" s="13">
        <v>5835</v>
      </c>
      <c r="H7" s="11">
        <v>0</v>
      </c>
      <c r="I7" s="13">
        <f>E7+G7</f>
        <v>14339</v>
      </c>
      <c r="J7" s="11">
        <f>F7+H7</f>
        <v>0</v>
      </c>
      <c r="K7" s="13">
        <v>7920</v>
      </c>
      <c r="L7" s="11">
        <v>0</v>
      </c>
      <c r="M7" s="11">
        <v>0</v>
      </c>
      <c r="N7" s="13">
        <v>5334</v>
      </c>
      <c r="O7" s="11">
        <v>1</v>
      </c>
      <c r="P7" s="11">
        <v>4</v>
      </c>
      <c r="Q7" s="13">
        <f>K7+N7</f>
        <v>13254</v>
      </c>
      <c r="R7" s="11">
        <f>L7+O7</f>
        <v>1</v>
      </c>
      <c r="S7" s="11">
        <f>M7+P7</f>
        <v>4</v>
      </c>
      <c r="T7" s="8">
        <f>I7-Q7</f>
        <v>1085</v>
      </c>
      <c r="U7" s="18">
        <v>3.1292491402839402</v>
      </c>
      <c r="V7" s="11">
        <v>0.25</v>
      </c>
      <c r="W7" s="11">
        <v>3</v>
      </c>
      <c r="X7" s="11">
        <v>9</v>
      </c>
      <c r="Y7" s="11">
        <v>1</v>
      </c>
    </row>
    <row r="8" spans="1:26" x14ac:dyDescent="0.25">
      <c r="A8" s="20" t="s">
        <v>1207</v>
      </c>
      <c r="B8" s="20" t="s">
        <v>1088</v>
      </c>
      <c r="C8" s="20" t="s">
        <v>1208</v>
      </c>
      <c r="D8" s="20" t="s">
        <v>216</v>
      </c>
      <c r="E8" s="13">
        <v>5239</v>
      </c>
      <c r="F8" s="11">
        <v>0</v>
      </c>
      <c r="G8" s="13">
        <v>5285</v>
      </c>
      <c r="H8" s="11">
        <v>0</v>
      </c>
      <c r="I8" s="13">
        <f>E8+G8</f>
        <v>10524</v>
      </c>
      <c r="J8" s="11">
        <f>F8+H8</f>
        <v>0</v>
      </c>
      <c r="K8" s="13">
        <v>5029</v>
      </c>
      <c r="L8" s="11">
        <v>0</v>
      </c>
      <c r="M8" s="11">
        <v>0</v>
      </c>
      <c r="N8" s="13">
        <v>6313.5</v>
      </c>
      <c r="O8" s="11">
        <v>1</v>
      </c>
      <c r="P8" s="11">
        <v>2</v>
      </c>
      <c r="Q8" s="13">
        <f>K8+N8</f>
        <v>11342.5</v>
      </c>
      <c r="R8" s="11">
        <f>L8+O8</f>
        <v>1</v>
      </c>
      <c r="S8" s="11">
        <f>M8+P8</f>
        <v>2</v>
      </c>
      <c r="T8" s="8">
        <f>I8-Q8</f>
        <v>-818.5</v>
      </c>
      <c r="U8" s="18">
        <v>5.0026423332459859E-2</v>
      </c>
      <c r="V8" s="11">
        <v>0.33</v>
      </c>
      <c r="W8" s="11">
        <v>1</v>
      </c>
      <c r="X8" s="11">
        <v>2</v>
      </c>
      <c r="Y8" s="11">
        <v>2</v>
      </c>
    </row>
    <row r="9" spans="1:26" x14ac:dyDescent="0.25">
      <c r="A9" s="20" t="s">
        <v>1211</v>
      </c>
      <c r="B9" s="20" t="s">
        <v>60</v>
      </c>
      <c r="C9" s="20" t="s">
        <v>1212</v>
      </c>
      <c r="D9" s="20" t="s">
        <v>216</v>
      </c>
      <c r="E9" s="13">
        <v>8726.58</v>
      </c>
      <c r="F9" s="11">
        <v>0</v>
      </c>
      <c r="G9" s="13">
        <v>756</v>
      </c>
      <c r="H9" s="11">
        <v>1</v>
      </c>
      <c r="I9" s="13">
        <f>E9+G9</f>
        <v>9482.58</v>
      </c>
      <c r="J9" s="11">
        <f>F9+H9</f>
        <v>1</v>
      </c>
      <c r="K9" s="13">
        <v>9215</v>
      </c>
      <c r="L9" s="11">
        <v>0</v>
      </c>
      <c r="M9" s="11">
        <v>1</v>
      </c>
      <c r="N9" s="13">
        <v>0</v>
      </c>
      <c r="O9" s="11">
        <v>0</v>
      </c>
      <c r="P9" s="11">
        <v>2</v>
      </c>
      <c r="Q9" s="13">
        <f>K9+N9</f>
        <v>9215</v>
      </c>
      <c r="R9" s="11">
        <f>L9+O9</f>
        <v>0</v>
      </c>
      <c r="S9" s="11">
        <f>M9+P9</f>
        <v>3</v>
      </c>
      <c r="T9" s="8">
        <f>I9-Q9</f>
        <v>267.57999999999993</v>
      </c>
      <c r="U9" s="18">
        <v>0.11573069009885949</v>
      </c>
      <c r="V9" s="11">
        <v>0.22</v>
      </c>
      <c r="W9" s="11">
        <v>4</v>
      </c>
      <c r="X9" s="11">
        <v>14</v>
      </c>
      <c r="Y9" s="11">
        <v>7</v>
      </c>
    </row>
    <row r="10" spans="1:26" x14ac:dyDescent="0.25">
      <c r="A10" s="20" t="s">
        <v>1215</v>
      </c>
      <c r="B10" s="20" t="s">
        <v>60</v>
      </c>
      <c r="C10" s="20" t="s">
        <v>1216</v>
      </c>
      <c r="D10" s="20" t="s">
        <v>216</v>
      </c>
      <c r="E10" s="13">
        <v>1406</v>
      </c>
      <c r="F10" s="11">
        <v>0</v>
      </c>
      <c r="G10" s="13">
        <v>19375</v>
      </c>
      <c r="H10" s="11">
        <v>1</v>
      </c>
      <c r="I10" s="13">
        <f>E10+G10</f>
        <v>20781</v>
      </c>
      <c r="J10" s="11">
        <f>F10+H10</f>
        <v>1</v>
      </c>
      <c r="K10" s="13">
        <v>-655.95</v>
      </c>
      <c r="L10" s="11">
        <v>0</v>
      </c>
      <c r="M10" s="11">
        <v>0</v>
      </c>
      <c r="N10" s="13">
        <v>13057</v>
      </c>
      <c r="O10" s="11">
        <v>0</v>
      </c>
      <c r="P10" s="11">
        <v>0</v>
      </c>
      <c r="Q10" s="13">
        <f>K10+N10</f>
        <v>12401.05</v>
      </c>
      <c r="R10" s="11">
        <f>L10+O10</f>
        <v>0</v>
      </c>
      <c r="S10" s="11">
        <f>M10+P10</f>
        <v>0</v>
      </c>
      <c r="T10" s="8">
        <f>I10-Q10</f>
        <v>8379.9500000000007</v>
      </c>
      <c r="U10" s="18">
        <v>0.45069590196115228</v>
      </c>
      <c r="V10" s="11">
        <v>0.25</v>
      </c>
      <c r="W10" s="11">
        <v>1</v>
      </c>
      <c r="X10" s="11">
        <v>3</v>
      </c>
      <c r="Y10" s="11">
        <v>3</v>
      </c>
    </row>
    <row r="11" spans="1:26" x14ac:dyDescent="0.25">
      <c r="A11" s="20" t="s">
        <v>1217</v>
      </c>
      <c r="B11" s="20" t="s">
        <v>1088</v>
      </c>
      <c r="C11" s="20" t="s">
        <v>1218</v>
      </c>
      <c r="D11" s="20" t="s">
        <v>216</v>
      </c>
      <c r="E11" s="13">
        <v>4913</v>
      </c>
      <c r="F11" s="11">
        <v>0</v>
      </c>
      <c r="G11" s="13">
        <v>0</v>
      </c>
      <c r="H11" s="11">
        <v>0</v>
      </c>
      <c r="I11" s="13">
        <f>E11+G11</f>
        <v>4913</v>
      </c>
      <c r="J11" s="11">
        <f>F11+H11</f>
        <v>0</v>
      </c>
      <c r="K11" s="13">
        <v>2293</v>
      </c>
      <c r="L11" s="11">
        <v>0</v>
      </c>
      <c r="M11" s="11">
        <v>1</v>
      </c>
      <c r="N11" s="13">
        <v>0</v>
      </c>
      <c r="O11" s="11">
        <v>0</v>
      </c>
      <c r="P11" s="11">
        <v>2</v>
      </c>
      <c r="Q11" s="13">
        <f>K11+N11</f>
        <v>2293</v>
      </c>
      <c r="R11" s="11">
        <f>L11+O11</f>
        <v>0</v>
      </c>
      <c r="S11" s="11">
        <f>M11+P11</f>
        <v>3</v>
      </c>
      <c r="T11" s="8">
        <f>I11-Q11</f>
        <v>2620</v>
      </c>
      <c r="U11" s="18">
        <v>0.15148362428421855</v>
      </c>
      <c r="V11" s="11">
        <v>0.2</v>
      </c>
      <c r="W11" s="11">
        <v>3</v>
      </c>
      <c r="X11" s="11">
        <v>12</v>
      </c>
      <c r="Y11" s="11">
        <v>10</v>
      </c>
    </row>
    <row r="12" spans="1:26" x14ac:dyDescent="0.25">
      <c r="A12" s="20" t="s">
        <v>1220</v>
      </c>
      <c r="B12" s="20" t="s">
        <v>60</v>
      </c>
      <c r="C12" s="20" t="s">
        <v>1221</v>
      </c>
      <c r="D12" s="20" t="s">
        <v>216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0</v>
      </c>
      <c r="R12" s="11">
        <f>L12+O12</f>
        <v>0</v>
      </c>
      <c r="S12" s="11">
        <f>M12+P12</f>
        <v>0</v>
      </c>
      <c r="T12" s="8">
        <f>I12-Q12</f>
        <v>0</v>
      </c>
      <c r="U12" s="18">
        <v>-1.8414938166992105</v>
      </c>
      <c r="V12" s="11">
        <v>0</v>
      </c>
      <c r="W12" s="11">
        <v>0</v>
      </c>
      <c r="X12" s="11">
        <v>0</v>
      </c>
      <c r="Y12" s="11">
        <v>1</v>
      </c>
    </row>
    <row r="13" spans="1:26" x14ac:dyDescent="0.25">
      <c r="A13" s="20" t="s">
        <v>1222</v>
      </c>
      <c r="B13" s="20" t="s">
        <v>60</v>
      </c>
      <c r="C13" s="20" t="s">
        <v>1223</v>
      </c>
      <c r="D13" s="20" t="s">
        <v>216</v>
      </c>
      <c r="E13" s="13">
        <v>397.69</v>
      </c>
      <c r="F13" s="11">
        <v>0</v>
      </c>
      <c r="G13" s="13">
        <v>0</v>
      </c>
      <c r="H13" s="11">
        <v>0</v>
      </c>
      <c r="I13" s="13">
        <f>E13+G13</f>
        <v>397.69</v>
      </c>
      <c r="J13" s="11">
        <f>F13+H13</f>
        <v>0</v>
      </c>
      <c r="K13" s="13">
        <v>1514.4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1514.4</v>
      </c>
      <c r="R13" s="11">
        <f>L13+O13</f>
        <v>0</v>
      </c>
      <c r="S13" s="11">
        <f>M13+P13</f>
        <v>0</v>
      </c>
      <c r="T13" s="8">
        <f>I13-Q13</f>
        <v>-1116.71</v>
      </c>
      <c r="U13" s="18">
        <v>0.20261489291685014</v>
      </c>
      <c r="V13" s="11">
        <v>0</v>
      </c>
      <c r="W13" s="11">
        <v>0</v>
      </c>
      <c r="X13" s="11">
        <v>2</v>
      </c>
      <c r="Y13" s="11">
        <v>0</v>
      </c>
    </row>
    <row r="14" spans="1:26" x14ac:dyDescent="0.25">
      <c r="A14" s="20" t="s">
        <v>1199</v>
      </c>
      <c r="B14" s="20" t="s">
        <v>1199</v>
      </c>
      <c r="C14" s="20" t="s">
        <v>1224</v>
      </c>
      <c r="D14" s="20" t="s">
        <v>216</v>
      </c>
      <c r="E14" s="13">
        <v>8784.3700000000008</v>
      </c>
      <c r="F14" s="11">
        <v>0</v>
      </c>
      <c r="G14" s="13">
        <v>19065</v>
      </c>
      <c r="H14" s="11">
        <v>0</v>
      </c>
      <c r="I14" s="13">
        <f>E14+G14</f>
        <v>27849.370000000003</v>
      </c>
      <c r="J14" s="11">
        <f>F14+H14</f>
        <v>0</v>
      </c>
      <c r="K14" s="13">
        <v>6225</v>
      </c>
      <c r="L14" s="11">
        <v>0</v>
      </c>
      <c r="M14" s="11">
        <v>1</v>
      </c>
      <c r="N14" s="13">
        <v>4275.4399999999996</v>
      </c>
      <c r="O14" s="11">
        <v>0</v>
      </c>
      <c r="P14" s="11">
        <v>3</v>
      </c>
      <c r="Q14" s="13">
        <f>K14+N14</f>
        <v>10500.439999999999</v>
      </c>
      <c r="R14" s="11">
        <f>L14+O14</f>
        <v>0</v>
      </c>
      <c r="S14" s="11">
        <f>M14+P14</f>
        <v>4</v>
      </c>
      <c r="T14" s="8">
        <f>I14-Q14</f>
        <v>17348.930000000004</v>
      </c>
      <c r="U14" s="18">
        <v>2.5913344282066601E-2</v>
      </c>
      <c r="V14" s="11">
        <v>0.13</v>
      </c>
      <c r="W14" s="11">
        <v>4</v>
      </c>
      <c r="X14" s="11">
        <v>27</v>
      </c>
      <c r="Y14" s="11">
        <v>32</v>
      </c>
    </row>
    <row r="15" spans="1:26" x14ac:dyDescent="0.25">
      <c r="A15" s="20" t="s">
        <v>1219</v>
      </c>
      <c r="B15" s="20" t="s">
        <v>1219</v>
      </c>
      <c r="C15" s="20" t="s">
        <v>1225</v>
      </c>
      <c r="D15" s="20" t="s">
        <v>216</v>
      </c>
      <c r="E15" s="13">
        <v>654</v>
      </c>
      <c r="F15" s="11">
        <v>0</v>
      </c>
      <c r="G15" s="13">
        <v>0</v>
      </c>
      <c r="H15" s="11">
        <v>0</v>
      </c>
      <c r="I15" s="13">
        <f>E15+G15</f>
        <v>654</v>
      </c>
      <c r="J15" s="11">
        <f>F15+H15</f>
        <v>0</v>
      </c>
      <c r="K15" s="13">
        <v>646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646</v>
      </c>
      <c r="R15" s="11">
        <f>L15+O15</f>
        <v>0</v>
      </c>
      <c r="S15" s="11">
        <f>M15+P15</f>
        <v>0</v>
      </c>
      <c r="T15" s="8">
        <f>I15-Q15</f>
        <v>8</v>
      </c>
      <c r="U15" s="18">
        <v>0.18455863901729647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1088</v>
      </c>
      <c r="B16" s="20" t="s">
        <v>1088</v>
      </c>
      <c r="C16" s="20" t="s">
        <v>1230</v>
      </c>
      <c r="D16" s="20" t="s">
        <v>216</v>
      </c>
      <c r="E16" s="13">
        <v>0</v>
      </c>
      <c r="F16" s="11">
        <v>0</v>
      </c>
      <c r="G16" s="13">
        <v>0</v>
      </c>
      <c r="H16" s="11">
        <v>0</v>
      </c>
      <c r="I16" s="13">
        <f>E16+G16</f>
        <v>0</v>
      </c>
      <c r="J16" s="11">
        <f>F16+H16</f>
        <v>0</v>
      </c>
      <c r="K16" s="13">
        <v>0</v>
      </c>
      <c r="L16" s="11">
        <v>0</v>
      </c>
      <c r="M16" s="11">
        <v>0</v>
      </c>
      <c r="N16" s="13">
        <v>0</v>
      </c>
      <c r="O16" s="11">
        <v>0</v>
      </c>
      <c r="P16" s="11">
        <v>0</v>
      </c>
      <c r="Q16" s="13">
        <f>K16+N16</f>
        <v>0</v>
      </c>
      <c r="R16" s="11">
        <f>L16+O16</f>
        <v>0</v>
      </c>
      <c r="S16" s="11">
        <f>M16+P16</f>
        <v>0</v>
      </c>
      <c r="T16" s="8">
        <f>I16-Q16</f>
        <v>0</v>
      </c>
      <c r="U16" s="18" t="s">
        <v>1803</v>
      </c>
      <c r="V16" s="11">
        <v>0</v>
      </c>
      <c r="W16" s="11">
        <v>0</v>
      </c>
      <c r="X16" s="11">
        <v>0</v>
      </c>
      <c r="Y16" s="11">
        <v>0</v>
      </c>
    </row>
    <row r="17" spans="1:25" x14ac:dyDescent="0.25">
      <c r="A17" s="20" t="s">
        <v>1232</v>
      </c>
      <c r="B17" s="20" t="s">
        <v>60</v>
      </c>
      <c r="C17" s="20" t="s">
        <v>1233</v>
      </c>
      <c r="D17" s="20" t="s">
        <v>216</v>
      </c>
      <c r="E17" s="13">
        <v>2851</v>
      </c>
      <c r="F17" s="11">
        <v>0</v>
      </c>
      <c r="G17" s="13">
        <v>0</v>
      </c>
      <c r="H17" s="11">
        <v>0</v>
      </c>
      <c r="I17" s="13">
        <f>E17+G17</f>
        <v>2851</v>
      </c>
      <c r="J17" s="11">
        <f>F17+H17</f>
        <v>0</v>
      </c>
      <c r="K17" s="13">
        <v>0</v>
      </c>
      <c r="L17" s="11">
        <v>0</v>
      </c>
      <c r="M17" s="11">
        <v>1</v>
      </c>
      <c r="N17" s="13">
        <v>0</v>
      </c>
      <c r="O17" s="11">
        <v>0</v>
      </c>
      <c r="P17" s="11">
        <v>0</v>
      </c>
      <c r="Q17" s="13">
        <f>K17+N17</f>
        <v>0</v>
      </c>
      <c r="R17" s="11">
        <f>L17+O17</f>
        <v>0</v>
      </c>
      <c r="S17" s="11">
        <f>M17+P17</f>
        <v>1</v>
      </c>
      <c r="T17" s="8">
        <f>I17-Q17</f>
        <v>2851</v>
      </c>
      <c r="U17" s="18">
        <v>5.284947008334033E-3</v>
      </c>
      <c r="V17" s="11">
        <v>0.5</v>
      </c>
      <c r="W17" s="11">
        <v>1</v>
      </c>
      <c r="X17" s="11">
        <v>1</v>
      </c>
      <c r="Y17" s="11">
        <v>0</v>
      </c>
    </row>
    <row r="18" spans="1:25" x14ac:dyDescent="0.25">
      <c r="A18" s="20" t="s">
        <v>1234</v>
      </c>
      <c r="B18" s="20" t="s">
        <v>477</v>
      </c>
      <c r="C18" s="20" t="s">
        <v>1235</v>
      </c>
      <c r="D18" s="20" t="s">
        <v>216</v>
      </c>
      <c r="E18" s="13">
        <v>47858.77</v>
      </c>
      <c r="F18" s="11">
        <v>0</v>
      </c>
      <c r="G18" s="13">
        <v>38885.78</v>
      </c>
      <c r="H18" s="11">
        <v>1</v>
      </c>
      <c r="I18" s="13">
        <f>E18+G18</f>
        <v>86744.549999999988</v>
      </c>
      <c r="J18" s="11">
        <f>F18+H18</f>
        <v>1</v>
      </c>
      <c r="K18" s="13">
        <v>46727.3</v>
      </c>
      <c r="L18" s="11">
        <v>0</v>
      </c>
      <c r="M18" s="11">
        <v>0</v>
      </c>
      <c r="N18" s="13">
        <v>48937</v>
      </c>
      <c r="O18" s="11">
        <v>0</v>
      </c>
      <c r="P18" s="11">
        <v>3</v>
      </c>
      <c r="Q18" s="13">
        <f>K18+N18</f>
        <v>95664.3</v>
      </c>
      <c r="R18" s="11">
        <f>L18+O18</f>
        <v>0</v>
      </c>
      <c r="S18" s="11">
        <f>M18+P18</f>
        <v>3</v>
      </c>
      <c r="T18" s="8">
        <f>I18-Q18</f>
        <v>-8919.7500000000146</v>
      </c>
      <c r="U18" s="18">
        <v>0.14254774207871015</v>
      </c>
      <c r="V18" s="11">
        <v>0.13</v>
      </c>
      <c r="W18" s="11">
        <v>4</v>
      </c>
      <c r="X18" s="11">
        <v>26</v>
      </c>
      <c r="Y18" s="11">
        <v>24</v>
      </c>
    </row>
    <row r="19" spans="1:25" x14ac:dyDescent="0.25">
      <c r="A19" s="20" t="s">
        <v>1238</v>
      </c>
      <c r="B19" s="20" t="s">
        <v>91</v>
      </c>
      <c r="C19" s="20" t="s">
        <v>1226</v>
      </c>
      <c r="D19" s="20" t="s">
        <v>216</v>
      </c>
      <c r="E19" s="13">
        <v>0</v>
      </c>
      <c r="F19" s="11">
        <v>0</v>
      </c>
      <c r="G19" s="13">
        <v>1576</v>
      </c>
      <c r="H19" s="11">
        <v>0</v>
      </c>
      <c r="I19" s="13">
        <f>E19+G19</f>
        <v>1576</v>
      </c>
      <c r="J19" s="11">
        <f>F19+H19</f>
        <v>0</v>
      </c>
      <c r="K19" s="13">
        <v>0</v>
      </c>
      <c r="L19" s="11">
        <v>0</v>
      </c>
      <c r="M19" s="11">
        <v>0</v>
      </c>
      <c r="N19" s="13">
        <v>1448</v>
      </c>
      <c r="O19" s="11">
        <v>0</v>
      </c>
      <c r="P19" s="11">
        <v>0</v>
      </c>
      <c r="Q19" s="13">
        <f>K19+N19</f>
        <v>1448</v>
      </c>
      <c r="R19" s="11">
        <f>L19+O19</f>
        <v>0</v>
      </c>
      <c r="S19" s="11">
        <f>M19+P19</f>
        <v>0</v>
      </c>
      <c r="T19" s="8">
        <f>I19-Q19</f>
        <v>128</v>
      </c>
      <c r="U19" s="18">
        <v>-0.19397286830566363</v>
      </c>
      <c r="V19" s="11">
        <v>0</v>
      </c>
      <c r="W19" s="11">
        <v>0</v>
      </c>
      <c r="X19" s="11">
        <v>3</v>
      </c>
      <c r="Y19" s="11">
        <v>6</v>
      </c>
    </row>
    <row r="20" spans="1:25" x14ac:dyDescent="0.25">
      <c r="A20" s="20" t="s">
        <v>1241</v>
      </c>
      <c r="B20" s="20" t="s">
        <v>1179</v>
      </c>
      <c r="C20" s="20" t="s">
        <v>1203</v>
      </c>
      <c r="D20" s="20" t="s">
        <v>216</v>
      </c>
      <c r="E20" s="13">
        <v>16874.25</v>
      </c>
      <c r="F20" s="11">
        <v>0</v>
      </c>
      <c r="G20" s="13">
        <v>-17682.580000000002</v>
      </c>
      <c r="H20" s="11">
        <v>0</v>
      </c>
      <c r="I20" s="13">
        <f>E20+G20</f>
        <v>-808.33000000000175</v>
      </c>
      <c r="J20" s="11">
        <f>F20+H20</f>
        <v>0</v>
      </c>
      <c r="K20" s="13">
        <v>15504</v>
      </c>
      <c r="L20" s="11">
        <v>0</v>
      </c>
      <c r="M20" s="11">
        <v>1</v>
      </c>
      <c r="N20" s="13">
        <v>22274</v>
      </c>
      <c r="O20" s="11">
        <v>0</v>
      </c>
      <c r="P20" s="11">
        <v>0</v>
      </c>
      <c r="Q20" s="13">
        <f>K20+N20</f>
        <v>37778</v>
      </c>
      <c r="R20" s="11">
        <f>L20+O20</f>
        <v>0</v>
      </c>
      <c r="S20" s="11">
        <f>M20+P20</f>
        <v>1</v>
      </c>
      <c r="T20" s="8">
        <f>I20-Q20</f>
        <v>-38586.33</v>
      </c>
      <c r="U20" s="18">
        <v>0.3538447835674709</v>
      </c>
      <c r="V20" s="11">
        <v>0.17</v>
      </c>
      <c r="W20" s="11">
        <v>1</v>
      </c>
      <c r="X20" s="11">
        <v>5</v>
      </c>
      <c r="Y20" s="11">
        <v>0</v>
      </c>
    </row>
    <row r="21" spans="1:25" x14ac:dyDescent="0.25">
      <c r="A21" s="20" t="s">
        <v>1179</v>
      </c>
      <c r="B21" s="20" t="s">
        <v>1179</v>
      </c>
      <c r="C21" s="20" t="s">
        <v>1242</v>
      </c>
      <c r="D21" s="20" t="s">
        <v>216</v>
      </c>
      <c r="E21" s="13">
        <v>4441</v>
      </c>
      <c r="F21" s="11">
        <v>0</v>
      </c>
      <c r="G21" s="13">
        <v>0</v>
      </c>
      <c r="H21" s="11">
        <v>0</v>
      </c>
      <c r="I21" s="13">
        <f>E21+G21</f>
        <v>4441</v>
      </c>
      <c r="J21" s="11">
        <f>F21+H21</f>
        <v>0</v>
      </c>
      <c r="K21" s="13">
        <v>4036</v>
      </c>
      <c r="L21" s="11">
        <v>0</v>
      </c>
      <c r="M21" s="11">
        <v>0</v>
      </c>
      <c r="N21" s="13">
        <v>3000</v>
      </c>
      <c r="O21" s="11">
        <v>0</v>
      </c>
      <c r="P21" s="11">
        <v>0</v>
      </c>
      <c r="Q21" s="13">
        <f>K21+N21</f>
        <v>7036</v>
      </c>
      <c r="R21" s="11">
        <f>L21+O21</f>
        <v>0</v>
      </c>
      <c r="S21" s="11">
        <f>M21+P21</f>
        <v>0</v>
      </c>
      <c r="T21" s="8">
        <f>I21-Q21</f>
        <v>-2595</v>
      </c>
      <c r="U21" s="18">
        <v>-4.8229068440835696E-3</v>
      </c>
      <c r="V21" s="11">
        <v>0</v>
      </c>
      <c r="W21" s="11">
        <v>0</v>
      </c>
      <c r="X21" s="11">
        <v>0</v>
      </c>
      <c r="Y21" s="11">
        <v>0</v>
      </c>
    </row>
    <row r="22" spans="1:25" x14ac:dyDescent="0.25">
      <c r="A22" s="20" t="s">
        <v>1205</v>
      </c>
      <c r="B22" s="20" t="s">
        <v>1205</v>
      </c>
      <c r="C22" s="20" t="s">
        <v>1243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0</v>
      </c>
      <c r="O22" s="11">
        <v>0</v>
      </c>
      <c r="P22" s="11">
        <v>0</v>
      </c>
      <c r="Q22" s="13">
        <f>K22+N22</f>
        <v>0</v>
      </c>
      <c r="R22" s="11">
        <f>L22+O22</f>
        <v>0</v>
      </c>
      <c r="S22" s="11">
        <f>M22+P22</f>
        <v>0</v>
      </c>
      <c r="T22" s="8">
        <f>I22-Q22</f>
        <v>0</v>
      </c>
      <c r="U22" s="18" t="s">
        <v>1803</v>
      </c>
      <c r="V22" s="11">
        <v>0</v>
      </c>
      <c r="W22" s="11">
        <v>0</v>
      </c>
      <c r="X22" s="11">
        <v>0</v>
      </c>
      <c r="Y22" s="11">
        <v>0</v>
      </c>
    </row>
    <row r="23" spans="1:25" x14ac:dyDescent="0.25">
      <c r="A23" s="20" t="s">
        <v>1244</v>
      </c>
      <c r="B23" s="20" t="s">
        <v>60</v>
      </c>
      <c r="C23" s="20" t="s">
        <v>1245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0</v>
      </c>
      <c r="T23" s="8">
        <f>I23-Q23</f>
        <v>0</v>
      </c>
      <c r="U23" s="18">
        <v>5.1900963306018941E-4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1538</v>
      </c>
      <c r="B24" s="20" t="s">
        <v>477</v>
      </c>
      <c r="C24" s="20" t="s">
        <v>1235</v>
      </c>
      <c r="D24" s="20" t="s">
        <v>215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2546</v>
      </c>
      <c r="O24" s="11">
        <v>0</v>
      </c>
      <c r="P24" s="11">
        <v>1</v>
      </c>
      <c r="Q24" s="13">
        <f>K24+N24</f>
        <v>2546</v>
      </c>
      <c r="R24" s="11">
        <f>L24+O24</f>
        <v>0</v>
      </c>
      <c r="S24" s="11">
        <f>M24+P24</f>
        <v>1</v>
      </c>
      <c r="T24" s="8">
        <f>I24-Q24</f>
        <v>-2546</v>
      </c>
      <c r="U24" s="18" t="s">
        <v>1803</v>
      </c>
      <c r="V24" s="11">
        <v>0.12</v>
      </c>
      <c r="W24" s="11">
        <v>1</v>
      </c>
      <c r="X24" s="11">
        <v>7</v>
      </c>
      <c r="Y24" s="11">
        <v>0</v>
      </c>
    </row>
    <row r="25" spans="1:25" x14ac:dyDescent="0.25">
      <c r="A25" s="20" t="s">
        <v>1248</v>
      </c>
      <c r="B25" s="20" t="s">
        <v>1199</v>
      </c>
      <c r="C25" s="20" t="s">
        <v>1224</v>
      </c>
      <c r="D25" s="20" t="s">
        <v>215</v>
      </c>
      <c r="E25" s="13">
        <v>-4208.54</v>
      </c>
      <c r="F25" s="11">
        <v>0</v>
      </c>
      <c r="G25" s="13">
        <v>2771.39</v>
      </c>
      <c r="H25" s="11">
        <v>0</v>
      </c>
      <c r="I25" s="13">
        <f>E25+G25</f>
        <v>-1437.15</v>
      </c>
      <c r="J25" s="11">
        <f>F25+H25</f>
        <v>0</v>
      </c>
      <c r="K25" s="13">
        <v>1033</v>
      </c>
      <c r="L25" s="11">
        <v>0</v>
      </c>
      <c r="M25" s="11">
        <v>0</v>
      </c>
      <c r="N25" s="13">
        <v>16864.41</v>
      </c>
      <c r="O25" s="11">
        <v>2</v>
      </c>
      <c r="P25" s="11">
        <v>2</v>
      </c>
      <c r="Q25" s="13">
        <f>K25+N25</f>
        <v>17897.41</v>
      </c>
      <c r="R25" s="11">
        <f>L25+O25</f>
        <v>2</v>
      </c>
      <c r="S25" s="11">
        <f>M25+P25</f>
        <v>2</v>
      </c>
      <c r="T25" s="8">
        <f>I25-Q25</f>
        <v>-19334.560000000001</v>
      </c>
      <c r="U25" s="18" t="s">
        <v>1803</v>
      </c>
      <c r="V25" s="11">
        <v>0</v>
      </c>
      <c r="W25" s="11">
        <v>0</v>
      </c>
      <c r="X25" s="11">
        <v>2</v>
      </c>
      <c r="Y25" s="11">
        <v>5</v>
      </c>
    </row>
    <row r="26" spans="1:25" x14ac:dyDescent="0.25">
      <c r="A26" s="20" t="s">
        <v>1249</v>
      </c>
      <c r="B26" s="20" t="s">
        <v>241</v>
      </c>
      <c r="C26" s="20" t="s">
        <v>1247</v>
      </c>
      <c r="D26" s="20" t="s">
        <v>216</v>
      </c>
      <c r="E26" s="13">
        <v>0</v>
      </c>
      <c r="F26" s="11">
        <v>0</v>
      </c>
      <c r="G26" s="13">
        <v>788.25</v>
      </c>
      <c r="H26" s="11">
        <v>1</v>
      </c>
      <c r="I26" s="13">
        <f>E26+G26</f>
        <v>788.25</v>
      </c>
      <c r="J26" s="11">
        <f>F26+H26</f>
        <v>1</v>
      </c>
      <c r="K26" s="13">
        <v>0</v>
      </c>
      <c r="L26" s="11">
        <v>0</v>
      </c>
      <c r="M26" s="11">
        <v>0</v>
      </c>
      <c r="N26" s="13">
        <v>0</v>
      </c>
      <c r="O26" s="11">
        <v>0</v>
      </c>
      <c r="P26" s="11">
        <v>0</v>
      </c>
      <c r="Q26" s="13">
        <f>K26+N26</f>
        <v>0</v>
      </c>
      <c r="R26" s="11">
        <f>L26+O26</f>
        <v>0</v>
      </c>
      <c r="S26" s="11">
        <f>M26+P26</f>
        <v>0</v>
      </c>
      <c r="T26" s="8">
        <f>I26-Q26</f>
        <v>788.25</v>
      </c>
      <c r="U26" s="18">
        <v>7.0224756960794582E-2</v>
      </c>
      <c r="V26" s="11">
        <v>0.33</v>
      </c>
      <c r="W26" s="11">
        <v>1</v>
      </c>
      <c r="X26" s="11">
        <v>2</v>
      </c>
      <c r="Y26" s="11">
        <v>0</v>
      </c>
    </row>
    <row r="27" spans="1:25" x14ac:dyDescent="0.25">
      <c r="A27" s="20" t="s">
        <v>1250</v>
      </c>
      <c r="B27" s="20" t="s">
        <v>58</v>
      </c>
      <c r="C27" s="20" t="s">
        <v>1237</v>
      </c>
      <c r="D27" s="20" t="s">
        <v>216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0</v>
      </c>
      <c r="L27" s="11">
        <v>0</v>
      </c>
      <c r="M27" s="11">
        <v>0</v>
      </c>
      <c r="N27" s="13">
        <v>0</v>
      </c>
      <c r="O27" s="11">
        <v>0</v>
      </c>
      <c r="P27" s="11">
        <v>0</v>
      </c>
      <c r="Q27" s="13">
        <f>K27+N27</f>
        <v>0</v>
      </c>
      <c r="R27" s="11">
        <f>L27+O27</f>
        <v>0</v>
      </c>
      <c r="S27" s="11">
        <f>M27+P27</f>
        <v>0</v>
      </c>
      <c r="T27" s="8">
        <f>I27-Q27</f>
        <v>0</v>
      </c>
      <c r="U27" s="18">
        <v>-0.53991846627420981</v>
      </c>
      <c r="V27" s="11">
        <v>0</v>
      </c>
      <c r="W27" s="11">
        <v>0</v>
      </c>
      <c r="X27" s="11">
        <v>0</v>
      </c>
      <c r="Y27" s="11">
        <v>0</v>
      </c>
    </row>
    <row r="28" spans="1:25" x14ac:dyDescent="0.25">
      <c r="A28" s="20" t="s">
        <v>2097</v>
      </c>
      <c r="B28" s="20" t="s">
        <v>2097</v>
      </c>
      <c r="C28" s="20" t="s">
        <v>1054</v>
      </c>
      <c r="D28" s="20" t="s">
        <v>216</v>
      </c>
      <c r="E28" s="13">
        <v>11159.96</v>
      </c>
      <c r="F28" s="11">
        <v>0</v>
      </c>
      <c r="G28" s="13">
        <v>12988</v>
      </c>
      <c r="H28" s="11">
        <v>0</v>
      </c>
      <c r="I28" s="13">
        <f>E28+G28</f>
        <v>24147.96</v>
      </c>
      <c r="J28" s="11">
        <f>F28+H28</f>
        <v>0</v>
      </c>
      <c r="K28" s="13">
        <v>11980</v>
      </c>
      <c r="L28" s="11">
        <v>0</v>
      </c>
      <c r="M28" s="11">
        <v>0</v>
      </c>
      <c r="N28" s="13">
        <v>11487</v>
      </c>
      <c r="O28" s="11">
        <v>0</v>
      </c>
      <c r="P28" s="11">
        <v>0</v>
      </c>
      <c r="Q28" s="13">
        <f>K28+N28</f>
        <v>23467</v>
      </c>
      <c r="R28" s="11">
        <f>L28+O28</f>
        <v>0</v>
      </c>
      <c r="S28" s="11">
        <f>M28+P28</f>
        <v>0</v>
      </c>
      <c r="T28" s="8">
        <f>I28-Q28</f>
        <v>680.95999999999913</v>
      </c>
      <c r="U28" s="18">
        <v>-8.3362169339114625E-3</v>
      </c>
      <c r="V28" s="11">
        <v>0</v>
      </c>
      <c r="W28" s="11">
        <v>0</v>
      </c>
      <c r="X28" s="11">
        <v>3</v>
      </c>
      <c r="Y28" s="11">
        <v>0</v>
      </c>
    </row>
    <row r="29" spans="1:25" x14ac:dyDescent="0.25">
      <c r="A29" s="20" t="s">
        <v>3040</v>
      </c>
      <c r="B29" s="20" t="s">
        <v>77</v>
      </c>
      <c r="C29" s="20" t="s">
        <v>3039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0</v>
      </c>
      <c r="U29" s="18">
        <v>-1.7929892337148329E-2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3181</v>
      </c>
      <c r="B30" s="20" t="s">
        <v>1096</v>
      </c>
      <c r="C30" s="20" t="s">
        <v>1214</v>
      </c>
      <c r="D30" s="20" t="s">
        <v>216</v>
      </c>
      <c r="E30" s="13">
        <v>6857</v>
      </c>
      <c r="F30" s="11">
        <v>0</v>
      </c>
      <c r="G30" s="13">
        <v>-2348</v>
      </c>
      <c r="H30" s="11">
        <v>0</v>
      </c>
      <c r="I30" s="13">
        <f>E30+G30</f>
        <v>4509</v>
      </c>
      <c r="J30" s="11">
        <f>F30+H30</f>
        <v>0</v>
      </c>
      <c r="K30" s="13">
        <v>9960</v>
      </c>
      <c r="L30" s="11">
        <v>0</v>
      </c>
      <c r="M30" s="11">
        <v>2</v>
      </c>
      <c r="N30" s="13">
        <v>18581</v>
      </c>
      <c r="O30" s="11">
        <v>2</v>
      </c>
      <c r="P30" s="11">
        <v>7</v>
      </c>
      <c r="Q30" s="13">
        <f>K30+N30</f>
        <v>28541</v>
      </c>
      <c r="R30" s="11">
        <f>L30+O30</f>
        <v>2</v>
      </c>
      <c r="S30" s="11">
        <f>M30+P30</f>
        <v>9</v>
      </c>
      <c r="T30" s="8">
        <f>I30-Q30</f>
        <v>-24032</v>
      </c>
      <c r="U30" s="18">
        <v>0.32822608189083624</v>
      </c>
      <c r="V30" s="11">
        <v>0.3</v>
      </c>
      <c r="W30" s="11">
        <v>7</v>
      </c>
      <c r="X30" s="11">
        <v>16</v>
      </c>
      <c r="Y30" s="11">
        <v>1</v>
      </c>
    </row>
    <row r="31" spans="1:25" x14ac:dyDescent="0.25">
      <c r="A31" s="20" t="s">
        <v>3243</v>
      </c>
      <c r="B31" s="20" t="s">
        <v>1199</v>
      </c>
      <c r="C31" s="20" t="s">
        <v>1224</v>
      </c>
      <c r="D31" s="20" t="s">
        <v>215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7951</v>
      </c>
      <c r="L31" s="11">
        <v>1</v>
      </c>
      <c r="M31" s="11">
        <v>1</v>
      </c>
      <c r="N31" s="13">
        <v>8927.27</v>
      </c>
      <c r="O31" s="11">
        <v>0</v>
      </c>
      <c r="P31" s="11">
        <v>1</v>
      </c>
      <c r="Q31" s="13">
        <f>K31+N31</f>
        <v>16878.27</v>
      </c>
      <c r="R31" s="11">
        <f>L31+O31</f>
        <v>1</v>
      </c>
      <c r="S31" s="11">
        <f>M31+P31</f>
        <v>2</v>
      </c>
      <c r="T31" s="8">
        <f>I31-Q31</f>
        <v>-16878.27</v>
      </c>
      <c r="U31" s="18" t="s">
        <v>1803</v>
      </c>
      <c r="V31" s="11">
        <v>0</v>
      </c>
      <c r="W31" s="11">
        <v>0</v>
      </c>
      <c r="X31" s="11">
        <v>4</v>
      </c>
      <c r="Y31" s="11">
        <v>0</v>
      </c>
    </row>
    <row r="32" spans="1:25" x14ac:dyDescent="0.25">
      <c r="A32" s="20" t="s">
        <v>3313</v>
      </c>
      <c r="B32" s="20" t="s">
        <v>3203</v>
      </c>
      <c r="C32" s="20" t="s">
        <v>3011</v>
      </c>
      <c r="D32" s="20" t="s">
        <v>216</v>
      </c>
      <c r="E32" s="13">
        <v>250</v>
      </c>
      <c r="F32" s="11">
        <v>0</v>
      </c>
      <c r="G32" s="13">
        <v>-1525.29</v>
      </c>
      <c r="H32" s="11">
        <v>0</v>
      </c>
      <c r="I32" s="13">
        <f>E32+G32</f>
        <v>-1275.29</v>
      </c>
      <c r="J32" s="11">
        <f>F32+H32</f>
        <v>0</v>
      </c>
      <c r="K32" s="13">
        <v>250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250</v>
      </c>
      <c r="R32" s="11">
        <f>L32+O32</f>
        <v>0</v>
      </c>
      <c r="S32" s="11">
        <f>M32+P32</f>
        <v>0</v>
      </c>
      <c r="T32" s="8">
        <f>I32-Q32</f>
        <v>-1525.29</v>
      </c>
      <c r="U32" s="18">
        <v>3.1927879139886685E-2</v>
      </c>
      <c r="V32" s="11">
        <v>0</v>
      </c>
      <c r="W32" s="11">
        <v>0</v>
      </c>
      <c r="X32" s="11">
        <v>0</v>
      </c>
      <c r="Y32" s="11">
        <v>2</v>
      </c>
    </row>
    <row r="33" spans="1:25" x14ac:dyDescent="0.25">
      <c r="A33" s="20" t="s">
        <v>1805</v>
      </c>
      <c r="B33" s="20"/>
      <c r="C33" s="20"/>
      <c r="D33" s="20"/>
      <c r="E33" s="13">
        <f>SUBTOTAL(109,TableREN[YTD WP])</f>
        <v>124708.08000000002</v>
      </c>
      <c r="F33" s="11">
        <f>SUBTOTAL(109,TableREN[YTD NB '#])</f>
        <v>0</v>
      </c>
      <c r="G33" s="13">
        <f>SUBTOTAL(109,TableREN[[YTD WP ]])</f>
        <v>85769.55</v>
      </c>
      <c r="H33" s="11">
        <f>SUBTOTAL(109,TableREN[YTD NB '# ])</f>
        <v>4</v>
      </c>
      <c r="I33" s="13">
        <f>SUBTOTAL(109,TableREN[[YTD WP  ]])</f>
        <v>210477.62999999998</v>
      </c>
      <c r="J33" s="11">
        <f>SUBTOTAL(109,TableREN[YTD NB '#  ])</f>
        <v>4</v>
      </c>
      <c r="K33" s="13">
        <f>SUBTOTAL(109,TableREN[PYTD WP])</f>
        <v>129627.75</v>
      </c>
      <c r="L33" s="11">
        <f>SUBTOTAL(109,TableREN[PYTD NB '#])</f>
        <v>1</v>
      </c>
      <c r="M33" s="11">
        <f>SUBTOTAL(109,TableREN[PY Total NB '#])</f>
        <v>8</v>
      </c>
      <c r="N33" s="13">
        <f>SUBTOTAL(109,TableREN[[PYTD WP ]])</f>
        <v>163044.62</v>
      </c>
      <c r="O33" s="11">
        <f>SUBTOTAL(109,TableREN[PYTD NB '# ])</f>
        <v>6</v>
      </c>
      <c r="P33" s="11">
        <f>SUBTOTAL(109,TableREN[PY Total NB '# ])</f>
        <v>27</v>
      </c>
      <c r="Q33" s="13">
        <f>SUBTOTAL(109,TableREN[[PYTD WP  ]])</f>
        <v>292672.37</v>
      </c>
      <c r="R33" s="11">
        <f>SUBTOTAL(109,TableREN[PYTD NB '#  ])</f>
        <v>7</v>
      </c>
      <c r="S33" s="11">
        <f>SUBTOTAL(109,TableREN[PY Total NB '#  ])</f>
        <v>35</v>
      </c>
      <c r="T33" s="8">
        <f>SUBTOTAL(109,TableREN[Premium Change])</f>
        <v>-82194.740000000005</v>
      </c>
      <c r="V33" s="11">
        <f>ROUND(SUM(TableREN[12 Mo Bound])/SUM(TableREN[12 Mo Quoted])+ SUM(TableREN[12 Mo Bound]), 2)</f>
        <v>31.22</v>
      </c>
      <c r="W33" s="11">
        <f>SUBTOTAL(109,TableREN[12 Mo Bound])</f>
        <v>31</v>
      </c>
      <c r="X33" s="11">
        <f>SUBTOTAL(109,TableREN[12 Mo Quoted])</f>
        <v>138</v>
      </c>
      <c r="Y33" s="11">
        <f>SUBTOTAL(109,TableREN[12 Mo Declined])</f>
        <v>94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orientation="landscape" horizontalDpi="300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833E-5F1B-47E6-8287-5E0F1425DFD7}">
  <sheetPr>
    <pageSetUpPr fitToPage="1"/>
  </sheetPr>
  <dimension ref="A1:Z89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855468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56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1256</v>
      </c>
      <c r="B7" s="20" t="s">
        <v>60</v>
      </c>
      <c r="C7" s="20" t="s">
        <v>1257</v>
      </c>
      <c r="D7" s="20" t="s">
        <v>216</v>
      </c>
      <c r="E7" s="13">
        <v>0</v>
      </c>
      <c r="F7" s="11">
        <v>0</v>
      </c>
      <c r="G7" s="13">
        <v>0</v>
      </c>
      <c r="H7" s="11">
        <v>0</v>
      </c>
      <c r="I7" s="13">
        <f>E7+G7</f>
        <v>0</v>
      </c>
      <c r="J7" s="11">
        <f>F7+H7</f>
        <v>0</v>
      </c>
      <c r="K7" s="13">
        <v>0</v>
      </c>
      <c r="L7" s="11">
        <v>0</v>
      </c>
      <c r="M7" s="11">
        <v>0</v>
      </c>
      <c r="N7" s="13">
        <v>0</v>
      </c>
      <c r="O7" s="11">
        <v>0</v>
      </c>
      <c r="P7" s="11">
        <v>0</v>
      </c>
      <c r="Q7" s="13">
        <f>K7+N7</f>
        <v>0</v>
      </c>
      <c r="R7" s="11">
        <f>L7+O7</f>
        <v>0</v>
      </c>
      <c r="S7" s="11">
        <f>M7+P7</f>
        <v>0</v>
      </c>
      <c r="T7" s="8">
        <f>I7-Q7</f>
        <v>0</v>
      </c>
      <c r="U7" s="18">
        <v>-1.3895974792879524E-2</v>
      </c>
      <c r="V7" s="11">
        <v>0</v>
      </c>
      <c r="W7" s="11">
        <v>0</v>
      </c>
      <c r="X7" s="11">
        <v>1</v>
      </c>
      <c r="Y7" s="11">
        <v>2</v>
      </c>
    </row>
    <row r="8" spans="1:26" x14ac:dyDescent="0.25">
      <c r="A8" s="20" t="s">
        <v>1251</v>
      </c>
      <c r="B8" s="20" t="s">
        <v>1251</v>
      </c>
      <c r="C8" s="20" t="s">
        <v>1252</v>
      </c>
      <c r="D8" s="20" t="s">
        <v>216</v>
      </c>
      <c r="E8" s="13">
        <v>9482</v>
      </c>
      <c r="F8" s="11">
        <v>0</v>
      </c>
      <c r="G8" s="13">
        <v>6656</v>
      </c>
      <c r="H8" s="11">
        <v>1</v>
      </c>
      <c r="I8" s="13">
        <f>E8+G8</f>
        <v>16138</v>
      </c>
      <c r="J8" s="11">
        <f>F8+H8</f>
        <v>1</v>
      </c>
      <c r="K8" s="13">
        <v>7864</v>
      </c>
      <c r="L8" s="11">
        <v>0</v>
      </c>
      <c r="M8" s="11">
        <v>0</v>
      </c>
      <c r="N8" s="13">
        <v>0</v>
      </c>
      <c r="O8" s="11">
        <v>0</v>
      </c>
      <c r="P8" s="11">
        <v>0</v>
      </c>
      <c r="Q8" s="13">
        <f>K8+N8</f>
        <v>7864</v>
      </c>
      <c r="R8" s="11">
        <f>L8+O8</f>
        <v>0</v>
      </c>
      <c r="S8" s="11">
        <f>M8+P8</f>
        <v>0</v>
      </c>
      <c r="T8" s="8">
        <f>I8-Q8</f>
        <v>8274</v>
      </c>
      <c r="U8" s="18">
        <v>0.17185393264624627</v>
      </c>
      <c r="V8" s="11">
        <v>0.25</v>
      </c>
      <c r="W8" s="11">
        <v>1</v>
      </c>
      <c r="X8" s="11">
        <v>3</v>
      </c>
      <c r="Y8" s="11">
        <v>0</v>
      </c>
    </row>
    <row r="9" spans="1:26" x14ac:dyDescent="0.25">
      <c r="A9" s="20" t="s">
        <v>1258</v>
      </c>
      <c r="B9" s="20" t="s">
        <v>124</v>
      </c>
      <c r="C9" s="20" t="s">
        <v>1259</v>
      </c>
      <c r="D9" s="20" t="s">
        <v>216</v>
      </c>
      <c r="E9" s="13">
        <v>0</v>
      </c>
      <c r="F9" s="11">
        <v>0</v>
      </c>
      <c r="G9" s="13">
        <v>25446</v>
      </c>
      <c r="H9" s="11">
        <v>0</v>
      </c>
      <c r="I9" s="13">
        <f>E9+G9</f>
        <v>25446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23367</v>
      </c>
      <c r="O9" s="11">
        <v>0</v>
      </c>
      <c r="P9" s="11">
        <v>0</v>
      </c>
      <c r="Q9" s="13">
        <f>K9+N9</f>
        <v>23367</v>
      </c>
      <c r="R9" s="11">
        <f>L9+O9</f>
        <v>0</v>
      </c>
      <c r="S9" s="11">
        <f>M9+P9</f>
        <v>0</v>
      </c>
      <c r="T9" s="8">
        <f>I9-Q9</f>
        <v>2079</v>
      </c>
      <c r="U9" s="18">
        <v>7.8188743039338121E-2</v>
      </c>
      <c r="V9" s="11">
        <v>0</v>
      </c>
      <c r="W9" s="11">
        <v>0</v>
      </c>
      <c r="X9" s="11">
        <v>1</v>
      </c>
      <c r="Y9" s="11">
        <v>0</v>
      </c>
    </row>
    <row r="10" spans="1:26" x14ac:dyDescent="0.25">
      <c r="A10" s="20" t="s">
        <v>1262</v>
      </c>
      <c r="B10" s="20" t="s">
        <v>60</v>
      </c>
      <c r="C10" s="20" t="s">
        <v>1263</v>
      </c>
      <c r="D10" s="20" t="s">
        <v>216</v>
      </c>
      <c r="E10" s="13">
        <v>5432</v>
      </c>
      <c r="F10" s="11">
        <v>0</v>
      </c>
      <c r="G10" s="13">
        <v>0</v>
      </c>
      <c r="H10" s="11">
        <v>0</v>
      </c>
      <c r="I10" s="13">
        <f>E10+G10</f>
        <v>5432</v>
      </c>
      <c r="J10" s="11">
        <f>F10+H10</f>
        <v>0</v>
      </c>
      <c r="K10" s="13">
        <v>4919</v>
      </c>
      <c r="L10" s="11">
        <v>0</v>
      </c>
      <c r="M10" s="11">
        <v>0</v>
      </c>
      <c r="N10" s="13">
        <v>0</v>
      </c>
      <c r="O10" s="11">
        <v>0</v>
      </c>
      <c r="P10" s="11">
        <v>0</v>
      </c>
      <c r="Q10" s="13">
        <f>K10+N10</f>
        <v>4919</v>
      </c>
      <c r="R10" s="11">
        <f>L10+O10</f>
        <v>0</v>
      </c>
      <c r="S10" s="11">
        <f>M10+P10</f>
        <v>0</v>
      </c>
      <c r="T10" s="8">
        <f>I10-Q10</f>
        <v>513</v>
      </c>
      <c r="U10" s="18">
        <v>0.63374654938608344</v>
      </c>
      <c r="V10" s="11">
        <v>0</v>
      </c>
      <c r="W10" s="11">
        <v>0</v>
      </c>
      <c r="X10" s="11">
        <v>1</v>
      </c>
      <c r="Y10" s="11">
        <v>0</v>
      </c>
    </row>
    <row r="11" spans="1:26" x14ac:dyDescent="0.25">
      <c r="A11" s="20" t="s">
        <v>1264</v>
      </c>
      <c r="B11" s="20" t="s">
        <v>124</v>
      </c>
      <c r="C11" s="20" t="s">
        <v>470</v>
      </c>
      <c r="D11" s="20" t="s">
        <v>216</v>
      </c>
      <c r="E11" s="13">
        <v>0</v>
      </c>
      <c r="F11" s="11">
        <v>0</v>
      </c>
      <c r="G11" s="13">
        <v>20894</v>
      </c>
      <c r="H11" s="11">
        <v>0</v>
      </c>
      <c r="I11" s="13">
        <f>E11+G11</f>
        <v>20894</v>
      </c>
      <c r="J11" s="11">
        <f>F11+H11</f>
        <v>0</v>
      </c>
      <c r="K11" s="13">
        <v>0</v>
      </c>
      <c r="L11" s="11">
        <v>0</v>
      </c>
      <c r="M11" s="11">
        <v>0</v>
      </c>
      <c r="N11" s="13">
        <v>19071.5</v>
      </c>
      <c r="O11" s="11">
        <v>1</v>
      </c>
      <c r="P11" s="11">
        <v>2</v>
      </c>
      <c r="Q11" s="13">
        <f>K11+N11</f>
        <v>19071.5</v>
      </c>
      <c r="R11" s="11">
        <f>L11+O11</f>
        <v>1</v>
      </c>
      <c r="S11" s="11">
        <f>M11+P11</f>
        <v>2</v>
      </c>
      <c r="T11" s="8">
        <f>I11-Q11</f>
        <v>1822.5</v>
      </c>
      <c r="U11" s="18">
        <v>0.93016715004620121</v>
      </c>
      <c r="V11" s="11">
        <v>0.33</v>
      </c>
      <c r="W11" s="11">
        <v>1</v>
      </c>
      <c r="X11" s="11">
        <v>2</v>
      </c>
      <c r="Y11" s="11">
        <v>0</v>
      </c>
    </row>
    <row r="12" spans="1:26" x14ac:dyDescent="0.25">
      <c r="A12" s="20" t="s">
        <v>1267</v>
      </c>
      <c r="B12" s="20" t="s">
        <v>60</v>
      </c>
      <c r="C12" s="20" t="s">
        <v>3097</v>
      </c>
      <c r="D12" s="20" t="s">
        <v>216</v>
      </c>
      <c r="E12" s="13">
        <v>0</v>
      </c>
      <c r="F12" s="11">
        <v>0</v>
      </c>
      <c r="G12" s="13">
        <v>0</v>
      </c>
      <c r="H12" s="11">
        <v>0</v>
      </c>
      <c r="I12" s="13">
        <f>E12+G12</f>
        <v>0</v>
      </c>
      <c r="J12" s="11">
        <f>F12+H12</f>
        <v>0</v>
      </c>
      <c r="K12" s="13">
        <v>0</v>
      </c>
      <c r="L12" s="11">
        <v>0</v>
      </c>
      <c r="M12" s="11">
        <v>0</v>
      </c>
      <c r="N12" s="13">
        <v>0</v>
      </c>
      <c r="O12" s="11">
        <v>0</v>
      </c>
      <c r="P12" s="11">
        <v>0</v>
      </c>
      <c r="Q12" s="13">
        <f>K12+N12</f>
        <v>0</v>
      </c>
      <c r="R12" s="11">
        <f>L12+O12</f>
        <v>0</v>
      </c>
      <c r="S12" s="11">
        <f>M12+P12</f>
        <v>0</v>
      </c>
      <c r="T12" s="8">
        <f>I12-Q12</f>
        <v>0</v>
      </c>
      <c r="U12" s="18">
        <v>-0.3968773202526869</v>
      </c>
      <c r="V12" s="11">
        <v>0</v>
      </c>
      <c r="W12" s="11">
        <v>0</v>
      </c>
      <c r="X12" s="11">
        <v>0</v>
      </c>
      <c r="Y12" s="11">
        <v>0</v>
      </c>
    </row>
    <row r="13" spans="1:26" x14ac:dyDescent="0.25">
      <c r="A13" s="20" t="s">
        <v>1270</v>
      </c>
      <c r="B13" s="20" t="s">
        <v>91</v>
      </c>
      <c r="C13" s="20" t="s">
        <v>1271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0</v>
      </c>
      <c r="R13" s="11">
        <f>L13+O13</f>
        <v>0</v>
      </c>
      <c r="S13" s="11">
        <f>M13+P13</f>
        <v>0</v>
      </c>
      <c r="T13" s="8">
        <f>I13-Q13</f>
        <v>0</v>
      </c>
      <c r="U13" s="18">
        <v>-3.9919685744524953</v>
      </c>
      <c r="V13" s="11">
        <v>0</v>
      </c>
      <c r="W13" s="11">
        <v>0</v>
      </c>
      <c r="X13" s="11">
        <v>0</v>
      </c>
      <c r="Y13" s="11">
        <v>0</v>
      </c>
    </row>
    <row r="14" spans="1:26" x14ac:dyDescent="0.25">
      <c r="A14" s="20" t="s">
        <v>1266</v>
      </c>
      <c r="B14" s="20" t="s">
        <v>1266</v>
      </c>
      <c r="C14" s="20" t="s">
        <v>1273</v>
      </c>
      <c r="D14" s="20" t="s">
        <v>216</v>
      </c>
      <c r="E14" s="13">
        <v>17267</v>
      </c>
      <c r="F14" s="11">
        <v>1</v>
      </c>
      <c r="G14" s="13">
        <v>11376</v>
      </c>
      <c r="H14" s="11">
        <v>0</v>
      </c>
      <c r="I14" s="13">
        <f>E14+G14</f>
        <v>28643</v>
      </c>
      <c r="J14" s="11">
        <f>F14+H14</f>
        <v>1</v>
      </c>
      <c r="K14" s="13">
        <v>6259</v>
      </c>
      <c r="L14" s="11">
        <v>0</v>
      </c>
      <c r="M14" s="11">
        <v>1</v>
      </c>
      <c r="N14" s="13">
        <v>3050</v>
      </c>
      <c r="O14" s="11">
        <v>0</v>
      </c>
      <c r="P14" s="11">
        <v>4</v>
      </c>
      <c r="Q14" s="13">
        <f>K14+N14</f>
        <v>9309</v>
      </c>
      <c r="R14" s="11">
        <f>L14+O14</f>
        <v>0</v>
      </c>
      <c r="S14" s="11">
        <f>M14+P14</f>
        <v>5</v>
      </c>
      <c r="T14" s="8">
        <f>I14-Q14</f>
        <v>19334</v>
      </c>
      <c r="U14" s="18">
        <v>8.3349517476327781E-2</v>
      </c>
      <c r="V14" s="11">
        <v>0.35</v>
      </c>
      <c r="W14" s="11">
        <v>6</v>
      </c>
      <c r="X14" s="11">
        <v>11</v>
      </c>
      <c r="Y14" s="11">
        <v>2</v>
      </c>
    </row>
    <row r="15" spans="1:26" x14ac:dyDescent="0.25">
      <c r="A15" s="20" t="s">
        <v>1274</v>
      </c>
      <c r="B15" s="20" t="s">
        <v>58</v>
      </c>
      <c r="C15" s="20" t="s">
        <v>1054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0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0</v>
      </c>
      <c r="R15" s="11">
        <f>L15+O15</f>
        <v>0</v>
      </c>
      <c r="S15" s="11">
        <f>M15+P15</f>
        <v>0</v>
      </c>
      <c r="T15" s="8">
        <f>I15-Q15</f>
        <v>0</v>
      </c>
      <c r="U15" s="18">
        <v>-0.14658742306420128</v>
      </c>
      <c r="V15" s="11">
        <v>0</v>
      </c>
      <c r="W15" s="11">
        <v>0</v>
      </c>
      <c r="X15" s="11">
        <v>0</v>
      </c>
      <c r="Y15" s="11">
        <v>0</v>
      </c>
    </row>
    <row r="16" spans="1:26" x14ac:dyDescent="0.25">
      <c r="A16" s="20" t="s">
        <v>1275</v>
      </c>
      <c r="B16" s="20" t="s">
        <v>1275</v>
      </c>
      <c r="C16" s="20" t="s">
        <v>1276</v>
      </c>
      <c r="D16" s="20" t="s">
        <v>216</v>
      </c>
      <c r="E16" s="13">
        <v>10090</v>
      </c>
      <c r="F16" s="11">
        <v>0</v>
      </c>
      <c r="G16" s="13">
        <v>0</v>
      </c>
      <c r="H16" s="11">
        <v>0</v>
      </c>
      <c r="I16" s="13">
        <f>E16+G16</f>
        <v>10090</v>
      </c>
      <c r="J16" s="11">
        <f>F16+H16</f>
        <v>0</v>
      </c>
      <c r="K16" s="13">
        <v>17391</v>
      </c>
      <c r="L16" s="11">
        <v>1</v>
      </c>
      <c r="M16" s="11">
        <v>1</v>
      </c>
      <c r="N16" s="13">
        <v>0</v>
      </c>
      <c r="O16" s="11">
        <v>0</v>
      </c>
      <c r="P16" s="11">
        <v>0</v>
      </c>
      <c r="Q16" s="13">
        <f>K16+N16</f>
        <v>17391</v>
      </c>
      <c r="R16" s="11">
        <f>L16+O16</f>
        <v>1</v>
      </c>
      <c r="S16" s="11">
        <f>M16+P16</f>
        <v>1</v>
      </c>
      <c r="T16" s="8">
        <f>I16-Q16</f>
        <v>-7301</v>
      </c>
      <c r="U16" s="18">
        <v>-2.5329328427260728E-2</v>
      </c>
      <c r="V16" s="11">
        <v>0</v>
      </c>
      <c r="W16" s="11">
        <v>0</v>
      </c>
      <c r="X16" s="11">
        <v>1</v>
      </c>
      <c r="Y16" s="11">
        <v>1</v>
      </c>
    </row>
    <row r="17" spans="1:25" x14ac:dyDescent="0.25">
      <c r="A17" s="20" t="s">
        <v>1277</v>
      </c>
      <c r="B17" s="20" t="s">
        <v>60</v>
      </c>
      <c r="C17" s="20" t="s">
        <v>1278</v>
      </c>
      <c r="D17" s="20" t="s">
        <v>216</v>
      </c>
      <c r="E17" s="13">
        <v>13083</v>
      </c>
      <c r="F17" s="11">
        <v>0</v>
      </c>
      <c r="G17" s="13">
        <v>19912</v>
      </c>
      <c r="H17" s="11">
        <v>0</v>
      </c>
      <c r="I17" s="13">
        <f>E17+G17</f>
        <v>32995</v>
      </c>
      <c r="J17" s="11">
        <f>F17+H17</f>
        <v>0</v>
      </c>
      <c r="K17" s="13">
        <v>20302</v>
      </c>
      <c r="L17" s="11">
        <v>0</v>
      </c>
      <c r="M17" s="11">
        <v>0</v>
      </c>
      <c r="N17" s="13">
        <v>0</v>
      </c>
      <c r="O17" s="11">
        <v>0</v>
      </c>
      <c r="P17" s="11">
        <v>2</v>
      </c>
      <c r="Q17" s="13">
        <f>K17+N17</f>
        <v>20302</v>
      </c>
      <c r="R17" s="11">
        <f>L17+O17</f>
        <v>0</v>
      </c>
      <c r="S17" s="11">
        <f>M17+P17</f>
        <v>2</v>
      </c>
      <c r="T17" s="8">
        <f>I17-Q17</f>
        <v>12693</v>
      </c>
      <c r="U17" s="18">
        <v>0.12277315417667667</v>
      </c>
      <c r="V17" s="11">
        <v>0.5</v>
      </c>
      <c r="W17" s="11">
        <v>2</v>
      </c>
      <c r="X17" s="11">
        <v>2</v>
      </c>
      <c r="Y17" s="11">
        <v>0</v>
      </c>
    </row>
    <row r="18" spans="1:25" x14ac:dyDescent="0.25">
      <c r="A18" s="20" t="s">
        <v>1254</v>
      </c>
      <c r="B18" s="20" t="s">
        <v>1254</v>
      </c>
      <c r="C18" s="20" t="s">
        <v>3182</v>
      </c>
      <c r="D18" s="20" t="s">
        <v>216</v>
      </c>
      <c r="E18" s="13">
        <v>10711</v>
      </c>
      <c r="F18" s="11">
        <v>0</v>
      </c>
      <c r="G18" s="13">
        <v>0</v>
      </c>
      <c r="H18" s="11">
        <v>0</v>
      </c>
      <c r="I18" s="13">
        <f>E18+G18</f>
        <v>10711</v>
      </c>
      <c r="J18" s="11">
        <f>F18+H18</f>
        <v>0</v>
      </c>
      <c r="K18" s="13">
        <v>11086</v>
      </c>
      <c r="L18" s="11">
        <v>0</v>
      </c>
      <c r="M18" s="11">
        <v>0</v>
      </c>
      <c r="N18" s="13">
        <v>0</v>
      </c>
      <c r="O18" s="11">
        <v>0</v>
      </c>
      <c r="P18" s="11">
        <v>0</v>
      </c>
      <c r="Q18" s="13">
        <f>K18+N18</f>
        <v>11086</v>
      </c>
      <c r="R18" s="11">
        <f>L18+O18</f>
        <v>0</v>
      </c>
      <c r="S18" s="11">
        <f>M18+P18</f>
        <v>0</v>
      </c>
      <c r="T18" s="8">
        <f>I18-Q18</f>
        <v>-375</v>
      </c>
      <c r="U18" s="18">
        <v>2.3004431736579217E-2</v>
      </c>
      <c r="V18" s="11">
        <v>0</v>
      </c>
      <c r="W18" s="11">
        <v>0</v>
      </c>
      <c r="X18" s="11">
        <v>0</v>
      </c>
      <c r="Y18" s="11">
        <v>0</v>
      </c>
    </row>
    <row r="19" spans="1:25" x14ac:dyDescent="0.25">
      <c r="A19" s="20" t="s">
        <v>429</v>
      </c>
      <c r="B19" s="20" t="s">
        <v>430</v>
      </c>
      <c r="C19" s="20" t="s">
        <v>431</v>
      </c>
      <c r="D19" s="20" t="s">
        <v>216</v>
      </c>
      <c r="E19" s="13">
        <v>-515.9</v>
      </c>
      <c r="F19" s="11">
        <v>0</v>
      </c>
      <c r="G19" s="13">
        <v>0</v>
      </c>
      <c r="H19" s="11">
        <v>0</v>
      </c>
      <c r="I19" s="13">
        <f>E19+G19</f>
        <v>-515.9</v>
      </c>
      <c r="J19" s="11">
        <f>F19+H19</f>
        <v>0</v>
      </c>
      <c r="K19" s="13">
        <v>0</v>
      </c>
      <c r="L19" s="11">
        <v>0</v>
      </c>
      <c r="M19" s="11">
        <v>1</v>
      </c>
      <c r="N19" s="13">
        <v>8943.65</v>
      </c>
      <c r="O19" s="11">
        <v>1</v>
      </c>
      <c r="P19" s="11">
        <v>2</v>
      </c>
      <c r="Q19" s="13">
        <f>K19+N19</f>
        <v>8943.65</v>
      </c>
      <c r="R19" s="11">
        <f>L19+O19</f>
        <v>1</v>
      </c>
      <c r="S19" s="11">
        <f>M19+P19</f>
        <v>3</v>
      </c>
      <c r="T19" s="8">
        <f>I19-Q19</f>
        <v>-9459.5499999999993</v>
      </c>
      <c r="U19" s="18">
        <v>0.24493374371008969</v>
      </c>
      <c r="V19" s="11">
        <v>0.33</v>
      </c>
      <c r="W19" s="11">
        <v>2</v>
      </c>
      <c r="X19" s="11">
        <v>4</v>
      </c>
      <c r="Y19" s="11">
        <v>2</v>
      </c>
    </row>
    <row r="20" spans="1:25" x14ac:dyDescent="0.25">
      <c r="A20" s="20" t="s">
        <v>447</v>
      </c>
      <c r="B20" s="20" t="s">
        <v>390</v>
      </c>
      <c r="C20" s="20" t="s">
        <v>448</v>
      </c>
      <c r="D20" s="20" t="s">
        <v>216</v>
      </c>
      <c r="E20" s="13">
        <v>0</v>
      </c>
      <c r="F20" s="11">
        <v>0</v>
      </c>
      <c r="G20" s="13">
        <v>0</v>
      </c>
      <c r="H20" s="11">
        <v>0</v>
      </c>
      <c r="I20" s="13">
        <f>E20+G20</f>
        <v>0</v>
      </c>
      <c r="J20" s="11">
        <f>F20+H20</f>
        <v>0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0</v>
      </c>
      <c r="Q20" s="13">
        <f>K20+N20</f>
        <v>0</v>
      </c>
      <c r="R20" s="11">
        <f>L20+O20</f>
        <v>0</v>
      </c>
      <c r="S20" s="11">
        <f>M20+P20</f>
        <v>0</v>
      </c>
      <c r="T20" s="8">
        <f>I20-Q20</f>
        <v>0</v>
      </c>
      <c r="U20" s="18">
        <v>-1.6146557169930511</v>
      </c>
      <c r="V20" s="11">
        <v>0</v>
      </c>
      <c r="W20" s="11">
        <v>0</v>
      </c>
      <c r="X20" s="11">
        <v>0</v>
      </c>
      <c r="Y20" s="11">
        <v>0</v>
      </c>
    </row>
    <row r="21" spans="1:25" x14ac:dyDescent="0.25">
      <c r="A21" s="20" t="s">
        <v>1282</v>
      </c>
      <c r="B21" s="20" t="s">
        <v>91</v>
      </c>
      <c r="C21" s="20" t="s">
        <v>1283</v>
      </c>
      <c r="D21" s="20" t="s">
        <v>216</v>
      </c>
      <c r="E21" s="13">
        <v>4910</v>
      </c>
      <c r="F21" s="11">
        <v>1</v>
      </c>
      <c r="G21" s="13">
        <v>0</v>
      </c>
      <c r="H21" s="11">
        <v>0</v>
      </c>
      <c r="I21" s="13">
        <f>E21+G21</f>
        <v>4910</v>
      </c>
      <c r="J21" s="11">
        <f>F21+H21</f>
        <v>1</v>
      </c>
      <c r="K21" s="13">
        <v>905</v>
      </c>
      <c r="L21" s="11">
        <v>0</v>
      </c>
      <c r="M21" s="11">
        <v>3</v>
      </c>
      <c r="N21" s="13">
        <v>0</v>
      </c>
      <c r="O21" s="11">
        <v>0</v>
      </c>
      <c r="P21" s="11">
        <v>0</v>
      </c>
      <c r="Q21" s="13">
        <f>K21+N21</f>
        <v>905</v>
      </c>
      <c r="R21" s="11">
        <f>L21+O21</f>
        <v>0</v>
      </c>
      <c r="S21" s="11">
        <f>M21+P21</f>
        <v>3</v>
      </c>
      <c r="T21" s="8">
        <f>I21-Q21</f>
        <v>4005</v>
      </c>
      <c r="U21" s="18">
        <v>2.1953864058006985E-2</v>
      </c>
      <c r="V21" s="11">
        <v>0.28999999999999998</v>
      </c>
      <c r="W21" s="11">
        <v>4</v>
      </c>
      <c r="X21" s="11">
        <v>10</v>
      </c>
      <c r="Y21" s="11">
        <v>1</v>
      </c>
    </row>
    <row r="22" spans="1:25" x14ac:dyDescent="0.25">
      <c r="A22" s="20" t="s">
        <v>390</v>
      </c>
      <c r="B22" s="20" t="s">
        <v>390</v>
      </c>
      <c r="C22" s="20" t="s">
        <v>1284</v>
      </c>
      <c r="D22" s="20" t="s">
        <v>216</v>
      </c>
      <c r="E22" s="13">
        <v>0</v>
      </c>
      <c r="F22" s="11">
        <v>0</v>
      </c>
      <c r="G22" s="13">
        <v>0</v>
      </c>
      <c r="H22" s="11">
        <v>0</v>
      </c>
      <c r="I22" s="13">
        <f>E22+G22</f>
        <v>0</v>
      </c>
      <c r="J22" s="11">
        <f>F22+H22</f>
        <v>0</v>
      </c>
      <c r="K22" s="13">
        <v>0</v>
      </c>
      <c r="L22" s="11">
        <v>0</v>
      </c>
      <c r="M22" s="11">
        <v>0</v>
      </c>
      <c r="N22" s="13">
        <v>3716</v>
      </c>
      <c r="O22" s="11">
        <v>0</v>
      </c>
      <c r="P22" s="11">
        <v>0</v>
      </c>
      <c r="Q22" s="13">
        <f>K22+N22</f>
        <v>3716</v>
      </c>
      <c r="R22" s="11">
        <f>L22+O22</f>
        <v>0</v>
      </c>
      <c r="S22" s="11">
        <f>M22+P22</f>
        <v>0</v>
      </c>
      <c r="T22" s="8">
        <f>I22-Q22</f>
        <v>-3716</v>
      </c>
      <c r="U22" s="18">
        <v>5.6350758527118225E-2</v>
      </c>
      <c r="V22" s="11">
        <v>0</v>
      </c>
      <c r="W22" s="11">
        <v>0</v>
      </c>
      <c r="X22" s="11">
        <v>0</v>
      </c>
      <c r="Y22" s="11">
        <v>0</v>
      </c>
    </row>
    <row r="23" spans="1:25" x14ac:dyDescent="0.25">
      <c r="A23" s="20" t="s">
        <v>1285</v>
      </c>
      <c r="B23" s="20" t="s">
        <v>60</v>
      </c>
      <c r="C23" s="20" t="s">
        <v>1286</v>
      </c>
      <c r="D23" s="20" t="s">
        <v>216</v>
      </c>
      <c r="E23" s="13">
        <v>14963</v>
      </c>
      <c r="F23" s="11">
        <v>0</v>
      </c>
      <c r="G23" s="13">
        <v>2182</v>
      </c>
      <c r="H23" s="11">
        <v>0</v>
      </c>
      <c r="I23" s="13">
        <f>E23+G23</f>
        <v>17145</v>
      </c>
      <c r="J23" s="11">
        <f>F23+H23</f>
        <v>0</v>
      </c>
      <c r="K23" s="13">
        <v>23143.94</v>
      </c>
      <c r="L23" s="11">
        <v>0</v>
      </c>
      <c r="M23" s="11">
        <v>6</v>
      </c>
      <c r="N23" s="13">
        <v>2400</v>
      </c>
      <c r="O23" s="11">
        <v>0</v>
      </c>
      <c r="P23" s="11">
        <v>0</v>
      </c>
      <c r="Q23" s="13">
        <f>K23+N23</f>
        <v>25543.94</v>
      </c>
      <c r="R23" s="11">
        <f>L23+O23</f>
        <v>0</v>
      </c>
      <c r="S23" s="11">
        <f>M23+P23</f>
        <v>6</v>
      </c>
      <c r="T23" s="8">
        <f>I23-Q23</f>
        <v>-8398.9399999999987</v>
      </c>
      <c r="U23" s="18">
        <v>2.4216935313842969</v>
      </c>
      <c r="V23" s="11">
        <v>0.3</v>
      </c>
      <c r="W23" s="11">
        <v>6</v>
      </c>
      <c r="X23" s="11">
        <v>14</v>
      </c>
      <c r="Y23" s="11">
        <v>0</v>
      </c>
    </row>
    <row r="24" spans="1:25" x14ac:dyDescent="0.25">
      <c r="A24" s="20" t="s">
        <v>471</v>
      </c>
      <c r="B24" s="20" t="s">
        <v>60</v>
      </c>
      <c r="C24" s="20" t="s">
        <v>3098</v>
      </c>
      <c r="D24" s="20" t="s">
        <v>216</v>
      </c>
      <c r="E24" s="13">
        <v>0</v>
      </c>
      <c r="F24" s="11">
        <v>0</v>
      </c>
      <c r="G24" s="13">
        <v>0</v>
      </c>
      <c r="H24" s="11">
        <v>0</v>
      </c>
      <c r="I24" s="13">
        <f>E24+G24</f>
        <v>0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0</v>
      </c>
      <c r="R24" s="11">
        <f>L24+O24</f>
        <v>0</v>
      </c>
      <c r="S24" s="11">
        <f>M24+P24</f>
        <v>0</v>
      </c>
      <c r="T24" s="8">
        <f>I24-Q24</f>
        <v>0</v>
      </c>
      <c r="U24" s="18" t="s">
        <v>1803</v>
      </c>
      <c r="V24" s="11">
        <v>0</v>
      </c>
      <c r="W24" s="11">
        <v>0</v>
      </c>
      <c r="X24" s="11">
        <v>0</v>
      </c>
      <c r="Y24" s="11">
        <v>0</v>
      </c>
    </row>
    <row r="25" spans="1:25" x14ac:dyDescent="0.25">
      <c r="A25" s="20" t="s">
        <v>425</v>
      </c>
      <c r="B25" s="20" t="s">
        <v>425</v>
      </c>
      <c r="C25" s="20" t="s">
        <v>1288</v>
      </c>
      <c r="D25" s="20" t="s">
        <v>216</v>
      </c>
      <c r="E25" s="13">
        <v>19465</v>
      </c>
      <c r="F25" s="11">
        <v>0</v>
      </c>
      <c r="G25" s="13">
        <v>0</v>
      </c>
      <c r="H25" s="11">
        <v>0</v>
      </c>
      <c r="I25" s="13">
        <f>E25+G25</f>
        <v>19465</v>
      </c>
      <c r="J25" s="11">
        <f>F25+H25</f>
        <v>0</v>
      </c>
      <c r="K25" s="13">
        <v>21615.77</v>
      </c>
      <c r="L25" s="11">
        <v>0</v>
      </c>
      <c r="M25" s="11">
        <v>0</v>
      </c>
      <c r="N25" s="13">
        <v>5500</v>
      </c>
      <c r="O25" s="11">
        <v>0</v>
      </c>
      <c r="P25" s="11">
        <v>0</v>
      </c>
      <c r="Q25" s="13">
        <f>K25+N25</f>
        <v>27115.77</v>
      </c>
      <c r="R25" s="11">
        <f>L25+O25</f>
        <v>0</v>
      </c>
      <c r="S25" s="11">
        <f>M25+P25</f>
        <v>0</v>
      </c>
      <c r="T25" s="8">
        <f>I25-Q25</f>
        <v>-7650.77</v>
      </c>
      <c r="U25" s="18">
        <v>0.18810725007907589</v>
      </c>
      <c r="V25" s="11">
        <v>0</v>
      </c>
      <c r="W25" s="11">
        <v>0</v>
      </c>
      <c r="X25" s="11">
        <v>1</v>
      </c>
      <c r="Y25" s="11">
        <v>0</v>
      </c>
    </row>
    <row r="26" spans="1:25" x14ac:dyDescent="0.25">
      <c r="A26" s="20" t="s">
        <v>467</v>
      </c>
      <c r="B26" s="20" t="s">
        <v>467</v>
      </c>
      <c r="C26" s="20" t="s">
        <v>468</v>
      </c>
      <c r="D26" s="20" t="s">
        <v>216</v>
      </c>
      <c r="E26" s="13">
        <v>0</v>
      </c>
      <c r="F26" s="11">
        <v>0</v>
      </c>
      <c r="G26" s="13">
        <v>1684</v>
      </c>
      <c r="H26" s="11">
        <v>0</v>
      </c>
      <c r="I26" s="13">
        <f>E26+G26</f>
        <v>1684</v>
      </c>
      <c r="J26" s="11">
        <f>F26+H26</f>
        <v>0</v>
      </c>
      <c r="K26" s="13">
        <v>2107.02</v>
      </c>
      <c r="L26" s="11">
        <v>0</v>
      </c>
      <c r="M26" s="11">
        <v>0</v>
      </c>
      <c r="N26" s="13">
        <v>10966</v>
      </c>
      <c r="O26" s="11">
        <v>0</v>
      </c>
      <c r="P26" s="11">
        <v>1</v>
      </c>
      <c r="Q26" s="13">
        <f>K26+N26</f>
        <v>13073.02</v>
      </c>
      <c r="R26" s="11">
        <f>L26+O26</f>
        <v>0</v>
      </c>
      <c r="S26" s="11">
        <f>M26+P26</f>
        <v>1</v>
      </c>
      <c r="T26" s="8">
        <f>I26-Q26</f>
        <v>-11389.02</v>
      </c>
      <c r="U26" s="18">
        <v>-7.7836091454114908E-2</v>
      </c>
      <c r="V26" s="11">
        <v>0.33</v>
      </c>
      <c r="W26" s="11">
        <v>1</v>
      </c>
      <c r="X26" s="11">
        <v>2</v>
      </c>
      <c r="Y26" s="11">
        <v>1</v>
      </c>
    </row>
    <row r="27" spans="1:25" x14ac:dyDescent="0.25">
      <c r="A27" s="20" t="s">
        <v>1290</v>
      </c>
      <c r="B27" s="20" t="s">
        <v>91</v>
      </c>
      <c r="C27" s="20" t="s">
        <v>1291</v>
      </c>
      <c r="D27" s="20" t="s">
        <v>215</v>
      </c>
      <c r="E27" s="13">
        <v>0</v>
      </c>
      <c r="F27" s="11">
        <v>0</v>
      </c>
      <c r="G27" s="13">
        <v>0</v>
      </c>
      <c r="H27" s="11">
        <v>0</v>
      </c>
      <c r="I27" s="13">
        <f>E27+G27</f>
        <v>0</v>
      </c>
      <c r="J27" s="11">
        <f>F27+H27</f>
        <v>0</v>
      </c>
      <c r="K27" s="13">
        <v>32966</v>
      </c>
      <c r="L27" s="11">
        <v>0</v>
      </c>
      <c r="M27" s="11">
        <v>0</v>
      </c>
      <c r="N27" s="13">
        <v>11678</v>
      </c>
      <c r="O27" s="11">
        <v>1</v>
      </c>
      <c r="P27" s="11">
        <v>2</v>
      </c>
      <c r="Q27" s="13">
        <f>K27+N27</f>
        <v>44644</v>
      </c>
      <c r="R27" s="11">
        <f>L27+O27</f>
        <v>1</v>
      </c>
      <c r="S27" s="11">
        <f>M27+P27</f>
        <v>2</v>
      </c>
      <c r="T27" s="8">
        <f>I27-Q27</f>
        <v>-44644</v>
      </c>
      <c r="U27" s="18">
        <v>2.2192717698894948</v>
      </c>
      <c r="V27" s="11">
        <v>0.33</v>
      </c>
      <c r="W27" s="11">
        <v>1</v>
      </c>
      <c r="X27" s="11">
        <v>2</v>
      </c>
      <c r="Y27" s="11">
        <v>0</v>
      </c>
    </row>
    <row r="28" spans="1:25" x14ac:dyDescent="0.25">
      <c r="A28" s="20" t="s">
        <v>1293</v>
      </c>
      <c r="B28" s="20" t="s">
        <v>124</v>
      </c>
      <c r="C28" s="20" t="s">
        <v>1294</v>
      </c>
      <c r="D28" s="20" t="s">
        <v>216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0</v>
      </c>
      <c r="O28" s="11">
        <v>0</v>
      </c>
      <c r="P28" s="11">
        <v>0</v>
      </c>
      <c r="Q28" s="13">
        <f>K28+N28</f>
        <v>0</v>
      </c>
      <c r="R28" s="11">
        <f>L28+O28</f>
        <v>0</v>
      </c>
      <c r="S28" s="11">
        <f>M28+P28</f>
        <v>0</v>
      </c>
      <c r="T28" s="8">
        <f>I28-Q28</f>
        <v>0</v>
      </c>
      <c r="U28" s="18">
        <v>-2.5281548584033344E-3</v>
      </c>
      <c r="V28" s="11">
        <v>0</v>
      </c>
      <c r="W28" s="11">
        <v>0</v>
      </c>
      <c r="X28" s="11">
        <v>1</v>
      </c>
      <c r="Y28" s="11">
        <v>3</v>
      </c>
    </row>
    <row r="29" spans="1:25" x14ac:dyDescent="0.25">
      <c r="A29" s="20" t="s">
        <v>493</v>
      </c>
      <c r="B29" s="20" t="s">
        <v>124</v>
      </c>
      <c r="C29" s="20" t="s">
        <v>494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1</v>
      </c>
      <c r="Q29" s="13">
        <f>K29+N29</f>
        <v>0</v>
      </c>
      <c r="R29" s="11">
        <f>L29+O29</f>
        <v>0</v>
      </c>
      <c r="S29" s="11">
        <f>M29+P29</f>
        <v>1</v>
      </c>
      <c r="T29" s="8">
        <f>I29-Q29</f>
        <v>0</v>
      </c>
      <c r="U29" s="18">
        <v>5.6089236119706331E-3</v>
      </c>
      <c r="V29" s="11">
        <v>0.33</v>
      </c>
      <c r="W29" s="11">
        <v>1</v>
      </c>
      <c r="X29" s="11">
        <v>2</v>
      </c>
      <c r="Y29" s="11">
        <v>0</v>
      </c>
    </row>
    <row r="30" spans="1:25" x14ac:dyDescent="0.25">
      <c r="A30" s="20" t="s">
        <v>1296</v>
      </c>
      <c r="B30" s="20" t="s">
        <v>724</v>
      </c>
      <c r="C30" s="20" t="s">
        <v>3407</v>
      </c>
      <c r="D30" s="20" t="s">
        <v>216</v>
      </c>
      <c r="E30" s="13">
        <v>71283.66</v>
      </c>
      <c r="F30" s="11">
        <v>0</v>
      </c>
      <c r="G30" s="13">
        <v>3008.21</v>
      </c>
      <c r="H30" s="11">
        <v>0</v>
      </c>
      <c r="I30" s="13">
        <f>E30+G30</f>
        <v>74291.87000000001</v>
      </c>
      <c r="J30" s="11">
        <f>F30+H30</f>
        <v>0</v>
      </c>
      <c r="K30" s="13">
        <v>87615.74</v>
      </c>
      <c r="L30" s="11">
        <v>0</v>
      </c>
      <c r="M30" s="11">
        <v>2</v>
      </c>
      <c r="N30" s="13">
        <v>30391.41</v>
      </c>
      <c r="O30" s="11">
        <v>0</v>
      </c>
      <c r="P30" s="11">
        <v>3</v>
      </c>
      <c r="Q30" s="13">
        <f>K30+N30</f>
        <v>118007.15000000001</v>
      </c>
      <c r="R30" s="11">
        <f>L30+O30</f>
        <v>0</v>
      </c>
      <c r="S30" s="11">
        <f>M30+P30</f>
        <v>5</v>
      </c>
      <c r="T30" s="8">
        <f>I30-Q30</f>
        <v>-43715.28</v>
      </c>
      <c r="U30" s="18">
        <v>9.0172290822852372E-2</v>
      </c>
      <c r="V30" s="11">
        <v>0.38</v>
      </c>
      <c r="W30" s="11">
        <v>5</v>
      </c>
      <c r="X30" s="11">
        <v>8</v>
      </c>
      <c r="Y30" s="11">
        <v>0</v>
      </c>
    </row>
    <row r="31" spans="1:25" x14ac:dyDescent="0.25">
      <c r="A31" s="20" t="s">
        <v>1297</v>
      </c>
      <c r="B31" s="20" t="s">
        <v>91</v>
      </c>
      <c r="C31" s="20" t="s">
        <v>1298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>
        <v>-0.11055959889344144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1300</v>
      </c>
      <c r="B32" s="20" t="s">
        <v>124</v>
      </c>
      <c r="C32" s="20" t="s">
        <v>1301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>
        <v>-1.3098000834850389E-2</v>
      </c>
      <c r="V32" s="11">
        <v>0</v>
      </c>
      <c r="W32" s="11">
        <v>0</v>
      </c>
      <c r="X32" s="11">
        <v>0</v>
      </c>
      <c r="Y32" s="11">
        <v>0</v>
      </c>
    </row>
    <row r="33" spans="1:25" x14ac:dyDescent="0.25">
      <c r="A33" s="20" t="s">
        <v>172</v>
      </c>
      <c r="B33" s="20" t="s">
        <v>172</v>
      </c>
      <c r="C33" s="20" t="s">
        <v>3099</v>
      </c>
      <c r="D33" s="20" t="s">
        <v>216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0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0</v>
      </c>
      <c r="R33" s="11">
        <f>L33+O33</f>
        <v>0</v>
      </c>
      <c r="S33" s="11">
        <f>M33+P33</f>
        <v>0</v>
      </c>
      <c r="T33" s="8">
        <f>I33-Q33</f>
        <v>0</v>
      </c>
      <c r="U33" s="18">
        <v>0.24483642139718517</v>
      </c>
      <c r="V33" s="11">
        <v>0</v>
      </c>
      <c r="W33" s="11">
        <v>0</v>
      </c>
      <c r="X33" s="11">
        <v>0</v>
      </c>
      <c r="Y33" s="11">
        <v>2</v>
      </c>
    </row>
    <row r="34" spans="1:25" x14ac:dyDescent="0.25">
      <c r="A34" s="20" t="s">
        <v>1303</v>
      </c>
      <c r="B34" s="20" t="s">
        <v>91</v>
      </c>
      <c r="C34" s="20" t="s">
        <v>1304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0</v>
      </c>
      <c r="Q34" s="13">
        <f>K34+N34</f>
        <v>0</v>
      </c>
      <c r="R34" s="11">
        <f>L34+O34</f>
        <v>0</v>
      </c>
      <c r="S34" s="11">
        <f>M34+P34</f>
        <v>0</v>
      </c>
      <c r="T34" s="8">
        <f>I34-Q34</f>
        <v>0</v>
      </c>
      <c r="U34" s="18">
        <v>8.25960852488428E-3</v>
      </c>
      <c r="V34" s="11">
        <v>0</v>
      </c>
      <c r="W34" s="11">
        <v>0</v>
      </c>
      <c r="X34" s="11">
        <v>0</v>
      </c>
      <c r="Y34" s="11">
        <v>0</v>
      </c>
    </row>
    <row r="35" spans="1:25" x14ac:dyDescent="0.25">
      <c r="A35" s="20" t="s">
        <v>515</v>
      </c>
      <c r="B35" s="20" t="s">
        <v>60</v>
      </c>
      <c r="C35" s="20" t="s">
        <v>516</v>
      </c>
      <c r="D35" s="20" t="s">
        <v>216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0</v>
      </c>
      <c r="O35" s="11">
        <v>0</v>
      </c>
      <c r="P35" s="11">
        <v>0</v>
      </c>
      <c r="Q35" s="13">
        <f>K35+N35</f>
        <v>0</v>
      </c>
      <c r="R35" s="11">
        <f>L35+O35</f>
        <v>0</v>
      </c>
      <c r="S35" s="11">
        <f>M35+P35</f>
        <v>0</v>
      </c>
      <c r="T35" s="8">
        <f>I35-Q35</f>
        <v>0</v>
      </c>
      <c r="U35" s="18">
        <v>-1.7649940702920568</v>
      </c>
      <c r="V35" s="11">
        <v>0</v>
      </c>
      <c r="W35" s="11">
        <v>0</v>
      </c>
      <c r="X35" s="11">
        <v>0</v>
      </c>
      <c r="Y35" s="11">
        <v>0</v>
      </c>
    </row>
    <row r="36" spans="1:25" x14ac:dyDescent="0.25">
      <c r="A36" s="20" t="s">
        <v>1305</v>
      </c>
      <c r="B36" s="20" t="s">
        <v>60</v>
      </c>
      <c r="C36" s="20" t="s">
        <v>3100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>
        <v>-0.15802911538732789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1307</v>
      </c>
      <c r="B37" s="20" t="s">
        <v>83</v>
      </c>
      <c r="C37" s="20" t="s">
        <v>1308</v>
      </c>
      <c r="D37" s="20" t="s">
        <v>216</v>
      </c>
      <c r="E37" s="13">
        <v>0</v>
      </c>
      <c r="F37" s="11">
        <v>0</v>
      </c>
      <c r="G37" s="13">
        <v>0</v>
      </c>
      <c r="H37" s="11">
        <v>0</v>
      </c>
      <c r="I37" s="13">
        <f>E37+G37</f>
        <v>0</v>
      </c>
      <c r="J37" s="11">
        <f>F37+H37</f>
        <v>0</v>
      </c>
      <c r="K37" s="13">
        <v>0</v>
      </c>
      <c r="L37" s="11">
        <v>0</v>
      </c>
      <c r="M37" s="11">
        <v>0</v>
      </c>
      <c r="N37" s="13">
        <v>0</v>
      </c>
      <c r="O37" s="11">
        <v>0</v>
      </c>
      <c r="P37" s="11">
        <v>0</v>
      </c>
      <c r="Q37" s="13">
        <f>K37+N37</f>
        <v>0</v>
      </c>
      <c r="R37" s="11">
        <f>L37+O37</f>
        <v>0</v>
      </c>
      <c r="S37" s="11">
        <f>M37+P37</f>
        <v>0</v>
      </c>
      <c r="T37" s="8">
        <f>I37-Q37</f>
        <v>0</v>
      </c>
      <c r="U37" s="18">
        <v>-6.0163332013683755E-2</v>
      </c>
      <c r="V37" s="11">
        <v>0</v>
      </c>
      <c r="W37" s="11">
        <v>0</v>
      </c>
      <c r="X37" s="11">
        <v>0</v>
      </c>
      <c r="Y37" s="11">
        <v>1</v>
      </c>
    </row>
    <row r="38" spans="1:25" x14ac:dyDescent="0.25">
      <c r="A38" s="20" t="s">
        <v>1309</v>
      </c>
      <c r="B38" s="20" t="s">
        <v>1309</v>
      </c>
      <c r="C38" s="20" t="s">
        <v>1310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0</v>
      </c>
      <c r="R38" s="11">
        <f>L38+O38</f>
        <v>0</v>
      </c>
      <c r="S38" s="11">
        <f>M38+P38</f>
        <v>0</v>
      </c>
      <c r="T38" s="8">
        <f>I38-Q38</f>
        <v>0</v>
      </c>
      <c r="U38" s="18" t="s">
        <v>1803</v>
      </c>
      <c r="V38" s="11">
        <v>0</v>
      </c>
      <c r="W38" s="11">
        <v>0</v>
      </c>
      <c r="X38" s="11">
        <v>0</v>
      </c>
      <c r="Y38" s="11">
        <v>0</v>
      </c>
    </row>
    <row r="39" spans="1:25" x14ac:dyDescent="0.25">
      <c r="A39" s="20" t="s">
        <v>524</v>
      </c>
      <c r="B39" s="20" t="s">
        <v>91</v>
      </c>
      <c r="C39" s="20" t="s">
        <v>525</v>
      </c>
      <c r="D39" s="20" t="s">
        <v>216</v>
      </c>
      <c r="E39" s="13">
        <v>7789</v>
      </c>
      <c r="F39" s="11">
        <v>0</v>
      </c>
      <c r="G39" s="13">
        <v>0</v>
      </c>
      <c r="H39" s="11">
        <v>0</v>
      </c>
      <c r="I39" s="13">
        <f>E39+G39</f>
        <v>7789</v>
      </c>
      <c r="J39" s="11">
        <f>F39+H39</f>
        <v>0</v>
      </c>
      <c r="K39" s="13">
        <v>7972.02</v>
      </c>
      <c r="L39" s="11">
        <v>1</v>
      </c>
      <c r="M39" s="11">
        <v>2</v>
      </c>
      <c r="N39" s="13">
        <v>0</v>
      </c>
      <c r="O39" s="11">
        <v>0</v>
      </c>
      <c r="P39" s="11">
        <v>0</v>
      </c>
      <c r="Q39" s="13">
        <f>K39+N39</f>
        <v>7972.02</v>
      </c>
      <c r="R39" s="11">
        <f>L39+O39</f>
        <v>1</v>
      </c>
      <c r="S39" s="11">
        <f>M39+P39</f>
        <v>2</v>
      </c>
      <c r="T39" s="8">
        <f>I39-Q39</f>
        <v>-183.02000000000044</v>
      </c>
      <c r="U39" s="18">
        <v>0.16725895028465212</v>
      </c>
      <c r="V39" s="11">
        <v>0.14000000000000001</v>
      </c>
      <c r="W39" s="11">
        <v>1</v>
      </c>
      <c r="X39" s="11">
        <v>6</v>
      </c>
      <c r="Y39" s="11">
        <v>1</v>
      </c>
    </row>
    <row r="40" spans="1:25" x14ac:dyDescent="0.25">
      <c r="A40" s="20" t="s">
        <v>1313</v>
      </c>
      <c r="B40" s="20" t="s">
        <v>91</v>
      </c>
      <c r="C40" s="20" t="s">
        <v>1314</v>
      </c>
      <c r="D40" s="20" t="s">
        <v>216</v>
      </c>
      <c r="E40" s="13">
        <v>0</v>
      </c>
      <c r="F40" s="11">
        <v>0</v>
      </c>
      <c r="G40" s="13">
        <v>0</v>
      </c>
      <c r="H40" s="11">
        <v>0</v>
      </c>
      <c r="I40" s="13">
        <f>E40+G40</f>
        <v>0</v>
      </c>
      <c r="J40" s="11">
        <f>F40+H40</f>
        <v>0</v>
      </c>
      <c r="K40" s="13">
        <v>0</v>
      </c>
      <c r="L40" s="11">
        <v>0</v>
      </c>
      <c r="M40" s="11">
        <v>0</v>
      </c>
      <c r="N40" s="13">
        <v>0</v>
      </c>
      <c r="O40" s="11">
        <v>0</v>
      </c>
      <c r="P40" s="11">
        <v>0</v>
      </c>
      <c r="Q40" s="13">
        <f>K40+N40</f>
        <v>0</v>
      </c>
      <c r="R40" s="11">
        <f>L40+O40</f>
        <v>0</v>
      </c>
      <c r="S40" s="11">
        <f>M40+P40</f>
        <v>0</v>
      </c>
      <c r="T40" s="8">
        <f>I40-Q40</f>
        <v>0</v>
      </c>
      <c r="U40" s="18" t="s">
        <v>1803</v>
      </c>
      <c r="V40" s="11">
        <v>0</v>
      </c>
      <c r="W40" s="11">
        <v>0</v>
      </c>
      <c r="X40" s="11">
        <v>2</v>
      </c>
      <c r="Y40" s="11">
        <v>0</v>
      </c>
    </row>
    <row r="41" spans="1:25" x14ac:dyDescent="0.25">
      <c r="A41" s="20" t="s">
        <v>1316</v>
      </c>
      <c r="B41" s="20" t="s">
        <v>60</v>
      </c>
      <c r="C41" s="20" t="s">
        <v>1317</v>
      </c>
      <c r="D41" s="20" t="s">
        <v>216</v>
      </c>
      <c r="E41" s="13">
        <v>5313</v>
      </c>
      <c r="F41" s="11">
        <v>0</v>
      </c>
      <c r="G41" s="13">
        <v>713.5</v>
      </c>
      <c r="H41" s="11">
        <v>0</v>
      </c>
      <c r="I41" s="13">
        <f>E41+G41</f>
        <v>6026.5</v>
      </c>
      <c r="J41" s="11">
        <f>F41+H41</f>
        <v>0</v>
      </c>
      <c r="K41" s="13">
        <v>17328.98</v>
      </c>
      <c r="L41" s="11">
        <v>0</v>
      </c>
      <c r="M41" s="11">
        <v>0</v>
      </c>
      <c r="N41" s="13">
        <v>1159</v>
      </c>
      <c r="O41" s="11">
        <v>0</v>
      </c>
      <c r="P41" s="11">
        <v>0</v>
      </c>
      <c r="Q41" s="13">
        <f>K41+N41</f>
        <v>18487.98</v>
      </c>
      <c r="R41" s="11">
        <f>L41+O41</f>
        <v>0</v>
      </c>
      <c r="S41" s="11">
        <f>M41+P41</f>
        <v>0</v>
      </c>
      <c r="T41" s="8">
        <f>I41-Q41</f>
        <v>-12461.48</v>
      </c>
      <c r="U41" s="18">
        <v>4.1116650803293034E-2</v>
      </c>
      <c r="V41" s="11">
        <v>0</v>
      </c>
      <c r="W41" s="11">
        <v>0</v>
      </c>
      <c r="X41" s="11">
        <v>0</v>
      </c>
      <c r="Y41" s="11">
        <v>1</v>
      </c>
    </row>
    <row r="42" spans="1:25" x14ac:dyDescent="0.25">
      <c r="A42" s="20" t="s">
        <v>1320</v>
      </c>
      <c r="B42" s="20" t="s">
        <v>91</v>
      </c>
      <c r="C42" s="20" t="s">
        <v>1321</v>
      </c>
      <c r="D42" s="20" t="s">
        <v>216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0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0</v>
      </c>
      <c r="R42" s="11">
        <f>L42+O42</f>
        <v>0</v>
      </c>
      <c r="S42" s="11">
        <f>M42+P42</f>
        <v>0</v>
      </c>
      <c r="T42" s="8">
        <f>I42-Q42</f>
        <v>0</v>
      </c>
      <c r="U42" s="18">
        <v>7.3910653725599615E-2</v>
      </c>
      <c r="V42" s="11">
        <v>0</v>
      </c>
      <c r="W42" s="11">
        <v>0</v>
      </c>
      <c r="X42" s="11">
        <v>3</v>
      </c>
      <c r="Y42" s="11">
        <v>1</v>
      </c>
    </row>
    <row r="43" spans="1:25" x14ac:dyDescent="0.25">
      <c r="A43" s="20" t="s">
        <v>533</v>
      </c>
      <c r="B43" s="20" t="s">
        <v>533</v>
      </c>
      <c r="C43" s="20" t="s">
        <v>534</v>
      </c>
      <c r="D43" s="20" t="s">
        <v>216</v>
      </c>
      <c r="E43" s="13">
        <v>13398</v>
      </c>
      <c r="F43" s="11">
        <v>0</v>
      </c>
      <c r="G43" s="13">
        <v>0</v>
      </c>
      <c r="H43" s="11">
        <v>0</v>
      </c>
      <c r="I43" s="13">
        <f>E43+G43</f>
        <v>13398</v>
      </c>
      <c r="J43" s="11">
        <f>F43+H43</f>
        <v>0</v>
      </c>
      <c r="K43" s="13">
        <v>11993</v>
      </c>
      <c r="L43" s="11">
        <v>0</v>
      </c>
      <c r="M43" s="11">
        <v>0</v>
      </c>
      <c r="N43" s="13">
        <v>0</v>
      </c>
      <c r="O43" s="11">
        <v>0</v>
      </c>
      <c r="P43" s="11">
        <v>0</v>
      </c>
      <c r="Q43" s="13">
        <f>K43+N43</f>
        <v>11993</v>
      </c>
      <c r="R43" s="11">
        <f>L43+O43</f>
        <v>0</v>
      </c>
      <c r="S43" s="11">
        <f>M43+P43</f>
        <v>0</v>
      </c>
      <c r="T43" s="8">
        <f>I43-Q43</f>
        <v>1405</v>
      </c>
      <c r="U43" s="18">
        <v>-0.10807657508347192</v>
      </c>
      <c r="V43" s="11">
        <v>0</v>
      </c>
      <c r="W43" s="11">
        <v>0</v>
      </c>
      <c r="X43" s="11">
        <v>0</v>
      </c>
      <c r="Y43" s="11">
        <v>1</v>
      </c>
    </row>
    <row r="44" spans="1:25" x14ac:dyDescent="0.25">
      <c r="A44" s="20" t="s">
        <v>535</v>
      </c>
      <c r="B44" s="20" t="s">
        <v>83</v>
      </c>
      <c r="C44" s="20" t="s">
        <v>536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0</v>
      </c>
      <c r="O44" s="11">
        <v>0</v>
      </c>
      <c r="P44" s="11">
        <v>0</v>
      </c>
      <c r="Q44" s="13">
        <f>K44+N44</f>
        <v>0</v>
      </c>
      <c r="R44" s="11">
        <f>L44+O44</f>
        <v>0</v>
      </c>
      <c r="S44" s="11">
        <f>M44+P44</f>
        <v>0</v>
      </c>
      <c r="T44" s="8">
        <f>I44-Q44</f>
        <v>0</v>
      </c>
      <c r="U44" s="18">
        <v>-0.10386603359889988</v>
      </c>
      <c r="V44" s="11">
        <v>0</v>
      </c>
      <c r="W44" s="11">
        <v>0</v>
      </c>
      <c r="X44" s="11">
        <v>1</v>
      </c>
      <c r="Y44" s="11">
        <v>0</v>
      </c>
    </row>
    <row r="45" spans="1:25" x14ac:dyDescent="0.25">
      <c r="A45" s="20" t="s">
        <v>546</v>
      </c>
      <c r="B45" s="20" t="s">
        <v>91</v>
      </c>
      <c r="C45" s="20" t="s">
        <v>547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0</v>
      </c>
      <c r="L45" s="11">
        <v>0</v>
      </c>
      <c r="M45" s="11">
        <v>0</v>
      </c>
      <c r="N45" s="13">
        <v>0</v>
      </c>
      <c r="O45" s="11">
        <v>0</v>
      </c>
      <c r="P45" s="11">
        <v>0</v>
      </c>
      <c r="Q45" s="13">
        <f>K45+N45</f>
        <v>0</v>
      </c>
      <c r="R45" s="11">
        <f>L45+O45</f>
        <v>0</v>
      </c>
      <c r="S45" s="11">
        <f>M45+P45</f>
        <v>0</v>
      </c>
      <c r="T45" s="8">
        <f>I45-Q45</f>
        <v>0</v>
      </c>
      <c r="U45" s="18">
        <v>5.7046096829902047E-2</v>
      </c>
      <c r="V45" s="11">
        <v>0</v>
      </c>
      <c r="W45" s="11">
        <v>0</v>
      </c>
      <c r="X45" s="11">
        <v>0</v>
      </c>
      <c r="Y45" s="11">
        <v>0</v>
      </c>
    </row>
    <row r="46" spans="1:25" x14ac:dyDescent="0.25">
      <c r="A46" s="20" t="s">
        <v>1326</v>
      </c>
      <c r="B46" s="20" t="s">
        <v>218</v>
      </c>
      <c r="C46" s="20" t="s">
        <v>399</v>
      </c>
      <c r="D46" s="20" t="s">
        <v>216</v>
      </c>
      <c r="E46" s="13">
        <v>0</v>
      </c>
      <c r="F46" s="11">
        <v>1</v>
      </c>
      <c r="G46" s="13">
        <v>0</v>
      </c>
      <c r="H46" s="11">
        <v>0</v>
      </c>
      <c r="I46" s="13">
        <f>E46+G46</f>
        <v>0</v>
      </c>
      <c r="J46" s="11">
        <f>F46+H46</f>
        <v>1</v>
      </c>
      <c r="K46" s="13">
        <v>9126.69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9126.69</v>
      </c>
      <c r="R46" s="11">
        <f>L46+O46</f>
        <v>0</v>
      </c>
      <c r="S46" s="11">
        <f>M46+P46</f>
        <v>0</v>
      </c>
      <c r="T46" s="8">
        <f>I46-Q46</f>
        <v>-9126.69</v>
      </c>
      <c r="U46" s="18">
        <v>0.39953369395993449</v>
      </c>
      <c r="V46" s="11">
        <v>0</v>
      </c>
      <c r="W46" s="11">
        <v>1</v>
      </c>
      <c r="Y46" s="11">
        <v>0</v>
      </c>
    </row>
    <row r="47" spans="1:25" x14ac:dyDescent="0.25">
      <c r="A47" s="20" t="s">
        <v>1327</v>
      </c>
      <c r="B47" s="20" t="s">
        <v>218</v>
      </c>
      <c r="C47" s="20" t="s">
        <v>219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5874.75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5874.75</v>
      </c>
      <c r="R47" s="11">
        <f>L47+O47</f>
        <v>0</v>
      </c>
      <c r="S47" s="11">
        <f>M47+P47</f>
        <v>0</v>
      </c>
      <c r="T47" s="8">
        <f>I47-Q47</f>
        <v>-5874.75</v>
      </c>
      <c r="U47" s="18">
        <v>1.5829471913335635E-3</v>
      </c>
      <c r="V47" s="11">
        <v>0</v>
      </c>
      <c r="W47" s="11">
        <v>0</v>
      </c>
      <c r="X47" s="11">
        <v>0</v>
      </c>
      <c r="Y47" s="11">
        <v>0</v>
      </c>
    </row>
    <row r="48" spans="1:25" x14ac:dyDescent="0.25">
      <c r="A48" s="20" t="s">
        <v>1329</v>
      </c>
      <c r="B48" s="20" t="s">
        <v>77</v>
      </c>
      <c r="C48" s="20" t="s">
        <v>1330</v>
      </c>
      <c r="D48" s="20" t="s">
        <v>216</v>
      </c>
      <c r="E48" s="13">
        <v>0</v>
      </c>
      <c r="F48" s="11">
        <v>0</v>
      </c>
      <c r="G48" s="13">
        <v>0</v>
      </c>
      <c r="H48" s="11">
        <v>0</v>
      </c>
      <c r="I48" s="13">
        <f>E48+G48</f>
        <v>0</v>
      </c>
      <c r="J48" s="11">
        <f>F48+H48</f>
        <v>0</v>
      </c>
      <c r="K48" s="13">
        <v>0</v>
      </c>
      <c r="L48" s="11">
        <v>0</v>
      </c>
      <c r="M48" s="11">
        <v>0</v>
      </c>
      <c r="N48" s="13">
        <v>0</v>
      </c>
      <c r="O48" s="11">
        <v>0</v>
      </c>
      <c r="P48" s="11">
        <v>0</v>
      </c>
      <c r="Q48" s="13">
        <f>K48+N48</f>
        <v>0</v>
      </c>
      <c r="R48" s="11">
        <f>L48+O48</f>
        <v>0</v>
      </c>
      <c r="S48" s="11">
        <f>M48+P48</f>
        <v>0</v>
      </c>
      <c r="T48" s="8">
        <f>I48-Q48</f>
        <v>0</v>
      </c>
      <c r="U48" s="18">
        <v>-0.63766862677274294</v>
      </c>
      <c r="V48" s="11">
        <v>0</v>
      </c>
      <c r="W48" s="11">
        <v>0</v>
      </c>
      <c r="X48" s="11">
        <v>0</v>
      </c>
      <c r="Y48" s="11">
        <v>0</v>
      </c>
    </row>
    <row r="49" spans="1:25" x14ac:dyDescent="0.25">
      <c r="A49" s="20" t="s">
        <v>1331</v>
      </c>
      <c r="B49" s="20" t="s">
        <v>77</v>
      </c>
      <c r="C49" s="20" t="s">
        <v>1261</v>
      </c>
      <c r="D49" s="20" t="s">
        <v>216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0</v>
      </c>
      <c r="L49" s="11">
        <v>0</v>
      </c>
      <c r="M49" s="11">
        <v>0</v>
      </c>
      <c r="N49" s="13">
        <v>0</v>
      </c>
      <c r="O49" s="11">
        <v>0</v>
      </c>
      <c r="P49" s="11">
        <v>0</v>
      </c>
      <c r="Q49" s="13">
        <f>K49+N49</f>
        <v>0</v>
      </c>
      <c r="R49" s="11">
        <f>L49+O49</f>
        <v>0</v>
      </c>
      <c r="S49" s="11">
        <f>M49+P49</f>
        <v>0</v>
      </c>
      <c r="T49" s="8">
        <f>I49-Q49</f>
        <v>0</v>
      </c>
      <c r="U49" s="18">
        <v>6.3767006693029815E-2</v>
      </c>
      <c r="V49" s="11">
        <v>0</v>
      </c>
      <c r="W49" s="11">
        <v>0</v>
      </c>
      <c r="X49" s="11">
        <v>0</v>
      </c>
      <c r="Y49" s="11">
        <v>0</v>
      </c>
    </row>
    <row r="50" spans="1:25" x14ac:dyDescent="0.25">
      <c r="A50" s="20" t="s">
        <v>1332</v>
      </c>
      <c r="B50" s="20" t="s">
        <v>83</v>
      </c>
      <c r="C50" s="20" t="s">
        <v>266</v>
      </c>
      <c r="D50" s="20" t="s">
        <v>216</v>
      </c>
      <c r="E50" s="13">
        <v>0</v>
      </c>
      <c r="F50" s="11">
        <v>0</v>
      </c>
      <c r="G50" s="13">
        <v>0</v>
      </c>
      <c r="H50" s="11">
        <v>0</v>
      </c>
      <c r="I50" s="13">
        <f>E50+G50</f>
        <v>0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0</v>
      </c>
      <c r="U50" s="18">
        <v>-5.7360368479918135E-2</v>
      </c>
      <c r="V50" s="11">
        <v>0</v>
      </c>
      <c r="W50" s="11">
        <v>0</v>
      </c>
      <c r="X50" s="11">
        <v>1</v>
      </c>
      <c r="Y50" s="11">
        <v>0</v>
      </c>
    </row>
    <row r="51" spans="1:25" x14ac:dyDescent="0.25">
      <c r="A51" s="20" t="s">
        <v>1333</v>
      </c>
      <c r="B51" s="20" t="s">
        <v>60</v>
      </c>
      <c r="C51" s="20" t="s">
        <v>1334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1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1</v>
      </c>
      <c r="T51" s="8">
        <f>I51-Q51</f>
        <v>0</v>
      </c>
      <c r="U51" s="18">
        <v>4.549289046624546E-2</v>
      </c>
      <c r="V51" s="11">
        <v>0.25</v>
      </c>
      <c r="W51" s="11">
        <v>1</v>
      </c>
      <c r="X51" s="11">
        <v>3</v>
      </c>
      <c r="Y51" s="11">
        <v>0</v>
      </c>
    </row>
    <row r="52" spans="1:25" x14ac:dyDescent="0.25">
      <c r="A52" s="20" t="s">
        <v>1335</v>
      </c>
      <c r="B52" s="20" t="s">
        <v>91</v>
      </c>
      <c r="C52" s="20" t="s">
        <v>3102</v>
      </c>
      <c r="D52" s="20" t="s">
        <v>216</v>
      </c>
      <c r="E52" s="13">
        <v>0</v>
      </c>
      <c r="F52" s="11">
        <v>0</v>
      </c>
      <c r="G52" s="13">
        <v>0</v>
      </c>
      <c r="H52" s="11">
        <v>0</v>
      </c>
      <c r="I52" s="13">
        <f>E52+G52</f>
        <v>0</v>
      </c>
      <c r="J52" s="11">
        <f>F52+H52</f>
        <v>0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0</v>
      </c>
      <c r="Q52" s="13">
        <f>K52+N52</f>
        <v>0</v>
      </c>
      <c r="R52" s="11">
        <f>L52+O52</f>
        <v>0</v>
      </c>
      <c r="S52" s="11">
        <f>M52+P52</f>
        <v>0</v>
      </c>
      <c r="T52" s="8">
        <f>I52-Q52</f>
        <v>0</v>
      </c>
      <c r="U52" s="18">
        <v>-0.11720933700234508</v>
      </c>
      <c r="V52" s="11">
        <v>0</v>
      </c>
      <c r="W52" s="11">
        <v>0</v>
      </c>
      <c r="X52" s="11">
        <v>0</v>
      </c>
      <c r="Y52" s="11">
        <v>0</v>
      </c>
    </row>
    <row r="53" spans="1:25" x14ac:dyDescent="0.25">
      <c r="A53" s="20" t="s">
        <v>1336</v>
      </c>
      <c r="B53" s="20" t="s">
        <v>3096</v>
      </c>
      <c r="C53" s="20" t="s">
        <v>1337</v>
      </c>
      <c r="D53" s="20" t="s">
        <v>216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0</v>
      </c>
      <c r="O53" s="11">
        <v>0</v>
      </c>
      <c r="P53" s="11">
        <v>0</v>
      </c>
      <c r="Q53" s="13">
        <f>K53+N53</f>
        <v>0</v>
      </c>
      <c r="R53" s="11">
        <f>L53+O53</f>
        <v>0</v>
      </c>
      <c r="S53" s="11">
        <f>M53+P53</f>
        <v>0</v>
      </c>
      <c r="T53" s="8">
        <f>I53-Q53</f>
        <v>0</v>
      </c>
      <c r="U53" s="18" t="s">
        <v>1803</v>
      </c>
      <c r="V53" s="11">
        <v>0</v>
      </c>
      <c r="W53" s="11">
        <v>0</v>
      </c>
      <c r="X53" s="11">
        <v>0</v>
      </c>
      <c r="Y53" s="11">
        <v>0</v>
      </c>
    </row>
    <row r="54" spans="1:25" x14ac:dyDescent="0.25">
      <c r="A54" s="20" t="s">
        <v>568</v>
      </c>
      <c r="B54" s="20" t="s">
        <v>3096</v>
      </c>
      <c r="C54" s="20" t="s">
        <v>569</v>
      </c>
      <c r="D54" s="20" t="s">
        <v>216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0</v>
      </c>
      <c r="O54" s="11">
        <v>0</v>
      </c>
      <c r="P54" s="11">
        <v>0</v>
      </c>
      <c r="Q54" s="13">
        <f>K54+N54</f>
        <v>0</v>
      </c>
      <c r="R54" s="11">
        <f>L54+O54</f>
        <v>0</v>
      </c>
      <c r="S54" s="11">
        <f>M54+P54</f>
        <v>0</v>
      </c>
      <c r="T54" s="8">
        <f>I54-Q54</f>
        <v>0</v>
      </c>
      <c r="U54" s="18" t="s">
        <v>1803</v>
      </c>
      <c r="V54" s="11">
        <v>0</v>
      </c>
      <c r="W54" s="11">
        <v>0</v>
      </c>
      <c r="X54" s="11">
        <v>0</v>
      </c>
      <c r="Y54" s="11">
        <v>0</v>
      </c>
    </row>
    <row r="55" spans="1:25" x14ac:dyDescent="0.25">
      <c r="A55" s="20" t="s">
        <v>1338</v>
      </c>
      <c r="B55" s="20" t="s">
        <v>83</v>
      </c>
      <c r="C55" s="20" t="s">
        <v>266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0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0</v>
      </c>
      <c r="R55" s="11">
        <f>L55+O55</f>
        <v>0</v>
      </c>
      <c r="S55" s="11">
        <f>M55+P55</f>
        <v>0</v>
      </c>
      <c r="T55" s="8">
        <f>I55-Q55</f>
        <v>0</v>
      </c>
      <c r="U55" s="18" t="s">
        <v>1803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1339</v>
      </c>
      <c r="B56" s="20" t="s">
        <v>77</v>
      </c>
      <c r="C56" s="20" t="s">
        <v>1340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0</v>
      </c>
      <c r="O56" s="11">
        <v>0</v>
      </c>
      <c r="P56" s="11">
        <v>0</v>
      </c>
      <c r="Q56" s="13">
        <f>K56+N56</f>
        <v>0</v>
      </c>
      <c r="R56" s="11">
        <f>L56+O56</f>
        <v>0</v>
      </c>
      <c r="S56" s="11">
        <f>M56+P56</f>
        <v>0</v>
      </c>
      <c r="T56" s="8">
        <f>I56-Q56</f>
        <v>0</v>
      </c>
      <c r="U56" s="18" t="s">
        <v>1803</v>
      </c>
      <c r="V56" s="11">
        <v>0</v>
      </c>
      <c r="W56" s="11">
        <v>0</v>
      </c>
      <c r="X56" s="11">
        <v>0</v>
      </c>
      <c r="Y56" s="11">
        <v>0</v>
      </c>
    </row>
    <row r="57" spans="1:25" x14ac:dyDescent="0.25">
      <c r="A57" s="20" t="s">
        <v>1341</v>
      </c>
      <c r="B57" s="20" t="s">
        <v>3096</v>
      </c>
      <c r="C57" s="20" t="s">
        <v>1342</v>
      </c>
      <c r="D57" s="20" t="s">
        <v>216</v>
      </c>
      <c r="E57" s="13">
        <v>0</v>
      </c>
      <c r="F57" s="11">
        <v>0</v>
      </c>
      <c r="G57" s="13">
        <v>0</v>
      </c>
      <c r="H57" s="11">
        <v>0</v>
      </c>
      <c r="I57" s="13">
        <f>E57+G57</f>
        <v>0</v>
      </c>
      <c r="J57" s="11">
        <f>F57+H57</f>
        <v>0</v>
      </c>
      <c r="K57" s="13">
        <v>0</v>
      </c>
      <c r="L57" s="11">
        <v>0</v>
      </c>
      <c r="M57" s="11">
        <v>0</v>
      </c>
      <c r="N57" s="13">
        <v>0</v>
      </c>
      <c r="O57" s="11">
        <v>0</v>
      </c>
      <c r="P57" s="11">
        <v>0</v>
      </c>
      <c r="Q57" s="13">
        <f>K57+N57</f>
        <v>0</v>
      </c>
      <c r="R57" s="11">
        <f>L57+O57</f>
        <v>0</v>
      </c>
      <c r="S57" s="11">
        <f>M57+P57</f>
        <v>0</v>
      </c>
      <c r="T57" s="8">
        <f>I57-Q57</f>
        <v>0</v>
      </c>
      <c r="U57" s="18" t="s">
        <v>1803</v>
      </c>
      <c r="V57" s="11">
        <v>0</v>
      </c>
      <c r="W57" s="11">
        <v>0</v>
      </c>
      <c r="X57" s="11">
        <v>0</v>
      </c>
      <c r="Y57" s="11">
        <v>0</v>
      </c>
    </row>
    <row r="58" spans="1:25" x14ac:dyDescent="0.25">
      <c r="A58" s="20" t="s">
        <v>1343</v>
      </c>
      <c r="B58" s="20" t="s">
        <v>3096</v>
      </c>
      <c r="C58" s="20" t="s">
        <v>1344</v>
      </c>
      <c r="D58" s="20" t="s">
        <v>216</v>
      </c>
      <c r="E58" s="13">
        <v>8503</v>
      </c>
      <c r="F58" s="11">
        <v>0</v>
      </c>
      <c r="G58" s="13">
        <v>9196.8700000000008</v>
      </c>
      <c r="H58" s="11">
        <v>0</v>
      </c>
      <c r="I58" s="13">
        <f>E58+G58</f>
        <v>17699.870000000003</v>
      </c>
      <c r="J58" s="11">
        <f>F58+H58</f>
        <v>0</v>
      </c>
      <c r="K58" s="13">
        <v>8313</v>
      </c>
      <c r="L58" s="11">
        <v>0</v>
      </c>
      <c r="M58" s="11">
        <v>2</v>
      </c>
      <c r="N58" s="13">
        <v>9322</v>
      </c>
      <c r="O58" s="11">
        <v>0</v>
      </c>
      <c r="P58" s="11">
        <v>0</v>
      </c>
      <c r="Q58" s="13">
        <f>K58+N58</f>
        <v>17635</v>
      </c>
      <c r="R58" s="11">
        <f>L58+O58</f>
        <v>0</v>
      </c>
      <c r="S58" s="11">
        <f>M58+P58</f>
        <v>2</v>
      </c>
      <c r="T58" s="8">
        <f>I58-Q58</f>
        <v>64.870000000002619</v>
      </c>
      <c r="U58" s="18">
        <v>0.1033037025218789</v>
      </c>
      <c r="V58" s="11">
        <v>0.33</v>
      </c>
      <c r="W58" s="11">
        <v>2</v>
      </c>
      <c r="X58" s="11">
        <v>4</v>
      </c>
      <c r="Y58" s="11">
        <v>0</v>
      </c>
    </row>
    <row r="59" spans="1:25" x14ac:dyDescent="0.25">
      <c r="A59" s="20" t="s">
        <v>573</v>
      </c>
      <c r="B59" s="20" t="s">
        <v>81</v>
      </c>
      <c r="C59" s="20" t="s">
        <v>419</v>
      </c>
      <c r="D59" s="20" t="s">
        <v>216</v>
      </c>
      <c r="E59" s="13">
        <v>0</v>
      </c>
      <c r="F59" s="11">
        <v>0</v>
      </c>
      <c r="G59" s="13">
        <v>0</v>
      </c>
      <c r="H59" s="11">
        <v>0</v>
      </c>
      <c r="I59" s="13">
        <f>E59+G59</f>
        <v>0</v>
      </c>
      <c r="J59" s="11">
        <f>F59+H59</f>
        <v>0</v>
      </c>
      <c r="K59" s="13">
        <v>0</v>
      </c>
      <c r="L59" s="11">
        <v>0</v>
      </c>
      <c r="M59" s="11">
        <v>1</v>
      </c>
      <c r="N59" s="13">
        <v>0</v>
      </c>
      <c r="O59" s="11">
        <v>0</v>
      </c>
      <c r="P59" s="11">
        <v>0</v>
      </c>
      <c r="Q59" s="13">
        <f>K59+N59</f>
        <v>0</v>
      </c>
      <c r="R59" s="11">
        <f>L59+O59</f>
        <v>0</v>
      </c>
      <c r="S59" s="11">
        <f>M59+P59</f>
        <v>1</v>
      </c>
      <c r="T59" s="8">
        <f>I59-Q59</f>
        <v>0</v>
      </c>
      <c r="U59" s="18">
        <v>8.4532818531545591E-4</v>
      </c>
      <c r="V59" s="11">
        <v>0</v>
      </c>
      <c r="W59" s="11">
        <v>1</v>
      </c>
      <c r="Y59" s="11">
        <v>0</v>
      </c>
    </row>
    <row r="60" spans="1:25" x14ac:dyDescent="0.25">
      <c r="A60" s="20" t="s">
        <v>574</v>
      </c>
      <c r="B60" s="20" t="s">
        <v>77</v>
      </c>
      <c r="C60" s="20" t="s">
        <v>473</v>
      </c>
      <c r="D60" s="20" t="s">
        <v>216</v>
      </c>
      <c r="E60" s="13">
        <v>0</v>
      </c>
      <c r="F60" s="11">
        <v>0</v>
      </c>
      <c r="G60" s="13">
        <v>0</v>
      </c>
      <c r="H60" s="11">
        <v>0</v>
      </c>
      <c r="I60" s="13">
        <f>E60+G60</f>
        <v>0</v>
      </c>
      <c r="J60" s="11">
        <f>F60+H60</f>
        <v>0</v>
      </c>
      <c r="K60" s="13">
        <v>0</v>
      </c>
      <c r="L60" s="11">
        <v>0</v>
      </c>
      <c r="M60" s="11">
        <v>0</v>
      </c>
      <c r="N60" s="13">
        <v>1054.79</v>
      </c>
      <c r="O60" s="11">
        <v>0</v>
      </c>
      <c r="P60" s="11">
        <v>0</v>
      </c>
      <c r="Q60" s="13">
        <f>K60+N60</f>
        <v>1054.79</v>
      </c>
      <c r="R60" s="11">
        <f>L60+O60</f>
        <v>0</v>
      </c>
      <c r="S60" s="11">
        <f>M60+P60</f>
        <v>0</v>
      </c>
      <c r="T60" s="8">
        <f>I60-Q60</f>
        <v>-1054.79</v>
      </c>
      <c r="U60" s="18">
        <v>-1.4649026272851182E-2</v>
      </c>
      <c r="V60" s="11">
        <v>0</v>
      </c>
      <c r="W60" s="11">
        <v>0</v>
      </c>
      <c r="X60" s="11">
        <v>0</v>
      </c>
      <c r="Y60" s="11">
        <v>0</v>
      </c>
    </row>
    <row r="61" spans="1:25" x14ac:dyDescent="0.25">
      <c r="A61" s="20" t="s">
        <v>1345</v>
      </c>
      <c r="B61" s="20" t="s">
        <v>124</v>
      </c>
      <c r="C61" s="20" t="s">
        <v>1346</v>
      </c>
      <c r="D61" s="20" t="s">
        <v>216</v>
      </c>
      <c r="E61" s="13">
        <v>0</v>
      </c>
      <c r="F61" s="11">
        <v>0</v>
      </c>
      <c r="G61" s="13">
        <v>0</v>
      </c>
      <c r="H61" s="11">
        <v>0</v>
      </c>
      <c r="I61" s="13">
        <f>E61+G61</f>
        <v>0</v>
      </c>
      <c r="J61" s="11">
        <f>F61+H61</f>
        <v>0</v>
      </c>
      <c r="K61" s="13">
        <v>0</v>
      </c>
      <c r="L61" s="11">
        <v>0</v>
      </c>
      <c r="M61" s="11">
        <v>0</v>
      </c>
      <c r="N61" s="13">
        <v>0</v>
      </c>
      <c r="O61" s="11">
        <v>0</v>
      </c>
      <c r="P61" s="11">
        <v>0</v>
      </c>
      <c r="Q61" s="13">
        <f>K61+N61</f>
        <v>0</v>
      </c>
      <c r="R61" s="11">
        <f>L61+O61</f>
        <v>0</v>
      </c>
      <c r="S61" s="11">
        <f>M61+P61</f>
        <v>0</v>
      </c>
      <c r="T61" s="8">
        <f>I61-Q61</f>
        <v>0</v>
      </c>
      <c r="U61" s="18">
        <v>7.3642089302430991E-2</v>
      </c>
      <c r="V61" s="11">
        <v>0</v>
      </c>
      <c r="W61" s="11">
        <v>0</v>
      </c>
      <c r="X61" s="11">
        <v>0</v>
      </c>
      <c r="Y61" s="11">
        <v>0</v>
      </c>
    </row>
    <row r="62" spans="1:25" x14ac:dyDescent="0.25">
      <c r="A62" s="20" t="s">
        <v>582</v>
      </c>
      <c r="B62" s="20" t="s">
        <v>77</v>
      </c>
      <c r="C62" s="20" t="s">
        <v>583</v>
      </c>
      <c r="D62" s="20" t="s">
        <v>216</v>
      </c>
      <c r="E62" s="13">
        <v>15024</v>
      </c>
      <c r="F62" s="11">
        <v>0</v>
      </c>
      <c r="G62" s="13">
        <v>0</v>
      </c>
      <c r="H62" s="11">
        <v>0</v>
      </c>
      <c r="I62" s="13">
        <f>E62+G62</f>
        <v>15024</v>
      </c>
      <c r="J62" s="11">
        <f>F62+H62</f>
        <v>0</v>
      </c>
      <c r="K62" s="13">
        <v>2336</v>
      </c>
      <c r="L62" s="11">
        <v>0</v>
      </c>
      <c r="M62" s="11">
        <v>0</v>
      </c>
      <c r="N62" s="13">
        <v>0</v>
      </c>
      <c r="O62" s="11">
        <v>0</v>
      </c>
      <c r="P62" s="11">
        <v>1</v>
      </c>
      <c r="Q62" s="13">
        <f>K62+N62</f>
        <v>2336</v>
      </c>
      <c r="R62" s="11">
        <f>L62+O62</f>
        <v>0</v>
      </c>
      <c r="S62" s="11">
        <f>M62+P62</f>
        <v>1</v>
      </c>
      <c r="T62" s="8">
        <f>I62-Q62</f>
        <v>12688</v>
      </c>
      <c r="U62" s="18">
        <v>5.0447813696372093E-2</v>
      </c>
      <c r="V62" s="11">
        <v>0.5</v>
      </c>
      <c r="W62" s="11">
        <v>1</v>
      </c>
      <c r="X62" s="11">
        <v>1</v>
      </c>
      <c r="Y62" s="11">
        <v>0</v>
      </c>
    </row>
    <row r="63" spans="1:25" x14ac:dyDescent="0.25">
      <c r="A63" s="20" t="s">
        <v>3103</v>
      </c>
      <c r="B63" s="20" t="s">
        <v>97</v>
      </c>
      <c r="C63" s="20" t="s">
        <v>3075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0</v>
      </c>
      <c r="O63" s="11">
        <v>0</v>
      </c>
      <c r="P63" s="11">
        <v>0</v>
      </c>
      <c r="Q63" s="13">
        <f>K63+N63</f>
        <v>0</v>
      </c>
      <c r="R63" s="11">
        <f>L63+O63</f>
        <v>0</v>
      </c>
      <c r="S63" s="11">
        <f>M63+P63</f>
        <v>0</v>
      </c>
      <c r="T63" s="8">
        <f>I63-Q63</f>
        <v>0</v>
      </c>
      <c r="U63" s="18" t="s">
        <v>1803</v>
      </c>
      <c r="V63" s="11">
        <v>0</v>
      </c>
      <c r="W63" s="11">
        <v>0</v>
      </c>
      <c r="X63" s="11">
        <v>0</v>
      </c>
      <c r="Y63" s="11">
        <v>0</v>
      </c>
    </row>
    <row r="64" spans="1:25" x14ac:dyDescent="0.25">
      <c r="A64" s="20" t="s">
        <v>1813</v>
      </c>
      <c r="B64" s="20" t="s">
        <v>77</v>
      </c>
      <c r="C64" s="20" t="s">
        <v>3101</v>
      </c>
      <c r="D64" s="20" t="s">
        <v>216</v>
      </c>
      <c r="E64" s="13">
        <v>0</v>
      </c>
      <c r="F64" s="11">
        <v>0</v>
      </c>
      <c r="G64" s="13">
        <v>0</v>
      </c>
      <c r="H64" s="11">
        <v>0</v>
      </c>
      <c r="I64" s="13">
        <f>E64+G64</f>
        <v>0</v>
      </c>
      <c r="J64" s="11">
        <f>F64+H64</f>
        <v>0</v>
      </c>
      <c r="K64" s="13">
        <v>0</v>
      </c>
      <c r="L64" s="11">
        <v>0</v>
      </c>
      <c r="M64" s="11">
        <v>0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0</v>
      </c>
      <c r="T64" s="8">
        <f>I64-Q64</f>
        <v>0</v>
      </c>
      <c r="U64" s="18">
        <v>-0.2866416581711615</v>
      </c>
      <c r="V64" s="11">
        <v>0</v>
      </c>
      <c r="W64" s="11">
        <v>0</v>
      </c>
      <c r="X64" s="11">
        <v>0</v>
      </c>
      <c r="Y64" s="11">
        <v>0</v>
      </c>
    </row>
    <row r="65" spans="1:25" x14ac:dyDescent="0.25">
      <c r="A65" s="20" t="s">
        <v>3104</v>
      </c>
      <c r="B65" s="20" t="s">
        <v>60</v>
      </c>
      <c r="C65" s="20" t="s">
        <v>3105</v>
      </c>
      <c r="D65" s="20" t="s">
        <v>216</v>
      </c>
      <c r="E65" s="13">
        <v>0</v>
      </c>
      <c r="F65" s="11">
        <v>0</v>
      </c>
      <c r="G65" s="13">
        <v>0</v>
      </c>
      <c r="H65" s="11">
        <v>0</v>
      </c>
      <c r="I65" s="13">
        <f>E65+G65</f>
        <v>0</v>
      </c>
      <c r="J65" s="11">
        <f>F65+H65</f>
        <v>0</v>
      </c>
      <c r="K65" s="13">
        <v>0</v>
      </c>
      <c r="L65" s="11">
        <v>0</v>
      </c>
      <c r="M65" s="11">
        <v>0</v>
      </c>
      <c r="N65" s="13">
        <v>0</v>
      </c>
      <c r="O65" s="11">
        <v>0</v>
      </c>
      <c r="P65" s="11">
        <v>0</v>
      </c>
      <c r="Q65" s="13">
        <f>K65+N65</f>
        <v>0</v>
      </c>
      <c r="R65" s="11">
        <f>L65+O65</f>
        <v>0</v>
      </c>
      <c r="S65" s="11">
        <f>M65+P65</f>
        <v>0</v>
      </c>
      <c r="T65" s="8">
        <f>I65-Q65</f>
        <v>0</v>
      </c>
      <c r="U65" s="18" t="s">
        <v>1803</v>
      </c>
      <c r="V65" s="11">
        <v>0</v>
      </c>
      <c r="W65" s="11">
        <v>0</v>
      </c>
      <c r="X65" s="11">
        <v>0</v>
      </c>
      <c r="Y65" s="11">
        <v>0</v>
      </c>
    </row>
    <row r="66" spans="1:25" x14ac:dyDescent="0.25">
      <c r="A66" s="20" t="s">
        <v>2998</v>
      </c>
      <c r="B66" s="20" t="s">
        <v>91</v>
      </c>
      <c r="C66" s="20" t="s">
        <v>2999</v>
      </c>
      <c r="D66" s="20" t="s">
        <v>216</v>
      </c>
      <c r="E66" s="13">
        <v>0</v>
      </c>
      <c r="F66" s="11">
        <v>0</v>
      </c>
      <c r="G66" s="13">
        <v>0</v>
      </c>
      <c r="H66" s="11">
        <v>0</v>
      </c>
      <c r="I66" s="13">
        <f>E66+G66</f>
        <v>0</v>
      </c>
      <c r="J66" s="11">
        <f>F66+H66</f>
        <v>0</v>
      </c>
      <c r="K66" s="13">
        <v>0</v>
      </c>
      <c r="L66" s="11">
        <v>0</v>
      </c>
      <c r="M66" s="11">
        <v>0</v>
      </c>
      <c r="N66" s="13">
        <v>0</v>
      </c>
      <c r="O66" s="11">
        <v>0</v>
      </c>
      <c r="P66" s="11">
        <v>0</v>
      </c>
      <c r="Q66" s="13">
        <f>K66+N66</f>
        <v>0</v>
      </c>
      <c r="R66" s="11">
        <f>L66+O66</f>
        <v>0</v>
      </c>
      <c r="S66" s="11">
        <f>M66+P66</f>
        <v>0</v>
      </c>
      <c r="T66" s="8">
        <f>I66-Q66</f>
        <v>0</v>
      </c>
      <c r="U66" s="18">
        <v>-0.59887216768013041</v>
      </c>
      <c r="V66" s="11">
        <v>0</v>
      </c>
      <c r="W66" s="11">
        <v>0</v>
      </c>
      <c r="X66" s="11">
        <v>0</v>
      </c>
      <c r="Y66" s="11">
        <v>0</v>
      </c>
    </row>
    <row r="67" spans="1:25" x14ac:dyDescent="0.25">
      <c r="A67" s="20" t="s">
        <v>3013</v>
      </c>
      <c r="B67" s="20" t="s">
        <v>97</v>
      </c>
      <c r="C67" s="20" t="s">
        <v>3012</v>
      </c>
      <c r="D67" s="20" t="s">
        <v>216</v>
      </c>
      <c r="E67" s="13">
        <v>0</v>
      </c>
      <c r="F67" s="11">
        <v>0</v>
      </c>
      <c r="G67" s="13">
        <v>0</v>
      </c>
      <c r="H67" s="11">
        <v>0</v>
      </c>
      <c r="I67" s="13">
        <f>E67+G67</f>
        <v>0</v>
      </c>
      <c r="J67" s="11">
        <f>F67+H67</f>
        <v>0</v>
      </c>
      <c r="K67" s="13">
        <v>0</v>
      </c>
      <c r="L67" s="11">
        <v>0</v>
      </c>
      <c r="M67" s="11">
        <v>1</v>
      </c>
      <c r="N67" s="13">
        <v>0</v>
      </c>
      <c r="O67" s="11">
        <v>0</v>
      </c>
      <c r="P67" s="11">
        <v>0</v>
      </c>
      <c r="Q67" s="13">
        <f>K67+N67</f>
        <v>0</v>
      </c>
      <c r="R67" s="11">
        <f>L67+O67</f>
        <v>0</v>
      </c>
      <c r="S67" s="11">
        <f>M67+P67</f>
        <v>1</v>
      </c>
      <c r="T67" s="8">
        <f>I67-Q67</f>
        <v>0</v>
      </c>
      <c r="U67" s="18">
        <v>1.4189946944691419E-3</v>
      </c>
      <c r="V67" s="11">
        <v>0.5</v>
      </c>
      <c r="W67" s="11">
        <v>1</v>
      </c>
      <c r="X67" s="11">
        <v>1</v>
      </c>
      <c r="Y67" s="11">
        <v>2</v>
      </c>
    </row>
    <row r="68" spans="1:25" x14ac:dyDescent="0.25">
      <c r="A68" s="20" t="s">
        <v>3029</v>
      </c>
      <c r="B68" s="20" t="s">
        <v>60</v>
      </c>
      <c r="C68" s="20" t="s">
        <v>3030</v>
      </c>
      <c r="D68" s="20" t="s">
        <v>216</v>
      </c>
      <c r="E68" s="13">
        <v>0</v>
      </c>
      <c r="F68" s="11">
        <v>0</v>
      </c>
      <c r="G68" s="13">
        <v>0</v>
      </c>
      <c r="H68" s="11">
        <v>0</v>
      </c>
      <c r="I68" s="13">
        <f>E68+G68</f>
        <v>0</v>
      </c>
      <c r="J68" s="11">
        <f>F68+H68</f>
        <v>0</v>
      </c>
      <c r="K68" s="13">
        <v>0</v>
      </c>
      <c r="L68" s="11">
        <v>0</v>
      </c>
      <c r="M68" s="11">
        <v>0</v>
      </c>
      <c r="N68" s="13">
        <v>0</v>
      </c>
      <c r="O68" s="11">
        <v>0</v>
      </c>
      <c r="P68" s="11">
        <v>0</v>
      </c>
      <c r="Q68" s="13">
        <f>K68+N68</f>
        <v>0</v>
      </c>
      <c r="R68" s="11">
        <f>L68+O68</f>
        <v>0</v>
      </c>
      <c r="S68" s="11">
        <f>M68+P68</f>
        <v>0</v>
      </c>
      <c r="T68" s="8">
        <f>I68-Q68</f>
        <v>0</v>
      </c>
      <c r="U68" s="18" t="s">
        <v>1803</v>
      </c>
      <c r="V68" s="11">
        <v>0</v>
      </c>
      <c r="W68" s="11">
        <v>0</v>
      </c>
      <c r="X68" s="11">
        <v>0</v>
      </c>
      <c r="Y68" s="11">
        <v>0</v>
      </c>
    </row>
    <row r="69" spans="1:25" x14ac:dyDescent="0.25">
      <c r="A69" s="20" t="s">
        <v>3051</v>
      </c>
      <c r="B69" s="20" t="s">
        <v>3096</v>
      </c>
      <c r="C69" s="20" t="s">
        <v>3050</v>
      </c>
      <c r="D69" s="20" t="s">
        <v>216</v>
      </c>
      <c r="E69" s="13">
        <v>0</v>
      </c>
      <c r="F69" s="11">
        <v>0</v>
      </c>
      <c r="G69" s="13">
        <v>0</v>
      </c>
      <c r="H69" s="11">
        <v>0</v>
      </c>
      <c r="I69" s="13">
        <f>E69+G69</f>
        <v>0</v>
      </c>
      <c r="J69" s="11">
        <f>F69+H69</f>
        <v>0</v>
      </c>
      <c r="K69" s="13">
        <v>0</v>
      </c>
      <c r="L69" s="11">
        <v>0</v>
      </c>
      <c r="M69" s="11">
        <v>0</v>
      </c>
      <c r="N69" s="13">
        <v>1550</v>
      </c>
      <c r="O69" s="11">
        <v>0</v>
      </c>
      <c r="P69" s="11">
        <v>0</v>
      </c>
      <c r="Q69" s="13">
        <f>K69+N69</f>
        <v>1550</v>
      </c>
      <c r="R69" s="11">
        <f>L69+O69</f>
        <v>0</v>
      </c>
      <c r="S69" s="11">
        <f>M69+P69</f>
        <v>0</v>
      </c>
      <c r="T69" s="8">
        <f>I69-Q69</f>
        <v>-1550</v>
      </c>
      <c r="U69" s="18">
        <v>4.4960148492918135E-2</v>
      </c>
      <c r="V69" s="11">
        <v>0</v>
      </c>
      <c r="W69" s="11">
        <v>0</v>
      </c>
      <c r="X69" s="11">
        <v>2</v>
      </c>
      <c r="Y69" s="11">
        <v>0</v>
      </c>
    </row>
    <row r="70" spans="1:25" x14ac:dyDescent="0.25">
      <c r="A70" s="20" t="s">
        <v>3053</v>
      </c>
      <c r="B70" s="20" t="s">
        <v>257</v>
      </c>
      <c r="C70" s="20" t="s">
        <v>3049</v>
      </c>
      <c r="D70" s="20" t="s">
        <v>216</v>
      </c>
      <c r="E70" s="13">
        <v>0</v>
      </c>
      <c r="F70" s="11">
        <v>0</v>
      </c>
      <c r="G70" s="13">
        <v>0</v>
      </c>
      <c r="H70" s="11">
        <v>0</v>
      </c>
      <c r="I70" s="13">
        <f>E70+G70</f>
        <v>0</v>
      </c>
      <c r="J70" s="11">
        <f>F70+H70</f>
        <v>0</v>
      </c>
      <c r="K70" s="13">
        <v>0</v>
      </c>
      <c r="L70" s="11">
        <v>0</v>
      </c>
      <c r="M70" s="11">
        <v>0</v>
      </c>
      <c r="N70" s="13">
        <v>0</v>
      </c>
      <c r="O70" s="11">
        <v>0</v>
      </c>
      <c r="P70" s="11">
        <v>0</v>
      </c>
      <c r="Q70" s="13">
        <f>K70+N70</f>
        <v>0</v>
      </c>
      <c r="R70" s="11">
        <f>L70+O70</f>
        <v>0</v>
      </c>
      <c r="S70" s="11">
        <f>M70+P70</f>
        <v>0</v>
      </c>
      <c r="T70" s="8">
        <f>I70-Q70</f>
        <v>0</v>
      </c>
      <c r="U70" s="18">
        <v>5.7405312820326106E-2</v>
      </c>
      <c r="V70" s="11">
        <v>0</v>
      </c>
      <c r="W70" s="11">
        <v>0</v>
      </c>
      <c r="X70" s="11">
        <v>0</v>
      </c>
      <c r="Y70" s="11">
        <v>0</v>
      </c>
    </row>
    <row r="71" spans="1:25" x14ac:dyDescent="0.25">
      <c r="A71" s="20" t="s">
        <v>3066</v>
      </c>
      <c r="B71" s="20" t="s">
        <v>390</v>
      </c>
      <c r="C71" s="20" t="s">
        <v>3067</v>
      </c>
      <c r="D71" s="20" t="s">
        <v>216</v>
      </c>
      <c r="E71" s="13">
        <v>0</v>
      </c>
      <c r="F71" s="11">
        <v>0</v>
      </c>
      <c r="G71" s="13">
        <v>0</v>
      </c>
      <c r="H71" s="11">
        <v>0</v>
      </c>
      <c r="I71" s="13">
        <f>E71+G71</f>
        <v>0</v>
      </c>
      <c r="J71" s="11">
        <f>F71+H71</f>
        <v>0</v>
      </c>
      <c r="K71" s="13">
        <v>0</v>
      </c>
      <c r="L71" s="11">
        <v>0</v>
      </c>
      <c r="M71" s="11">
        <v>0</v>
      </c>
      <c r="N71" s="13">
        <v>0</v>
      </c>
      <c r="O71" s="11">
        <v>0</v>
      </c>
      <c r="P71" s="11">
        <v>0</v>
      </c>
      <c r="Q71" s="13">
        <f>K71+N71</f>
        <v>0</v>
      </c>
      <c r="R71" s="11">
        <f>L71+O71</f>
        <v>0</v>
      </c>
      <c r="S71" s="11">
        <f>M71+P71</f>
        <v>0</v>
      </c>
      <c r="T71" s="8">
        <f>I71-Q71</f>
        <v>0</v>
      </c>
      <c r="U71" s="18">
        <v>0.12136462307543157</v>
      </c>
      <c r="V71" s="11">
        <v>0</v>
      </c>
      <c r="W71" s="11">
        <v>0</v>
      </c>
      <c r="X71" s="11">
        <v>0</v>
      </c>
      <c r="Y71" s="11">
        <v>0</v>
      </c>
    </row>
    <row r="72" spans="1:25" x14ac:dyDescent="0.25">
      <c r="A72" s="20" t="s">
        <v>3111</v>
      </c>
      <c r="B72" s="20" t="s">
        <v>91</v>
      </c>
      <c r="C72" s="20" t="s">
        <v>3209</v>
      </c>
      <c r="D72" s="20" t="s">
        <v>216</v>
      </c>
      <c r="E72" s="13">
        <v>17502</v>
      </c>
      <c r="F72" s="11">
        <v>1</v>
      </c>
      <c r="G72" s="13">
        <v>-32679.759999999998</v>
      </c>
      <c r="H72" s="11">
        <v>0</v>
      </c>
      <c r="I72" s="13">
        <f>E72+G72</f>
        <v>-15177.759999999998</v>
      </c>
      <c r="J72" s="11">
        <f>F72+H72</f>
        <v>1</v>
      </c>
      <c r="K72" s="13">
        <v>0</v>
      </c>
      <c r="L72" s="11">
        <v>0</v>
      </c>
      <c r="M72" s="11">
        <v>0</v>
      </c>
      <c r="N72" s="13">
        <v>0</v>
      </c>
      <c r="O72" s="11">
        <v>0</v>
      </c>
      <c r="P72" s="11">
        <v>1</v>
      </c>
      <c r="Q72" s="13">
        <f>K72+N72</f>
        <v>0</v>
      </c>
      <c r="R72" s="11">
        <f>L72+O72</f>
        <v>0</v>
      </c>
      <c r="S72" s="11">
        <f>M72+P72</f>
        <v>1</v>
      </c>
      <c r="T72" s="8">
        <f>I72-Q72</f>
        <v>-15177.759999999998</v>
      </c>
      <c r="U72" s="18">
        <v>0.32281066219682247</v>
      </c>
      <c r="V72" s="11">
        <v>0.33</v>
      </c>
      <c r="W72" s="11">
        <v>2</v>
      </c>
      <c r="X72" s="11">
        <v>4</v>
      </c>
      <c r="Y72" s="11">
        <v>1</v>
      </c>
    </row>
    <row r="73" spans="1:25" x14ac:dyDescent="0.25">
      <c r="A73" s="20" t="s">
        <v>3106</v>
      </c>
      <c r="B73" s="20" t="s">
        <v>97</v>
      </c>
      <c r="C73" s="20" t="s">
        <v>1280</v>
      </c>
      <c r="D73" s="20" t="s">
        <v>216</v>
      </c>
      <c r="E73" s="13">
        <v>53244.37</v>
      </c>
      <c r="F73" s="11">
        <v>1</v>
      </c>
      <c r="G73" s="13">
        <v>63599.12</v>
      </c>
      <c r="H73" s="11">
        <v>1</v>
      </c>
      <c r="I73" s="13">
        <f>E73+G73</f>
        <v>116843.49</v>
      </c>
      <c r="J73" s="11">
        <f>F73+H73</f>
        <v>2</v>
      </c>
      <c r="K73" s="13">
        <v>110672.14</v>
      </c>
      <c r="L73" s="11">
        <v>2</v>
      </c>
      <c r="M73" s="11">
        <v>8</v>
      </c>
      <c r="N73" s="13">
        <v>33416.129999999997</v>
      </c>
      <c r="O73" s="11">
        <v>3</v>
      </c>
      <c r="P73" s="11">
        <v>18</v>
      </c>
      <c r="Q73" s="13">
        <f>K73+N73</f>
        <v>144088.26999999999</v>
      </c>
      <c r="R73" s="11">
        <f>L73+O73</f>
        <v>5</v>
      </c>
      <c r="S73" s="11">
        <f>M73+P73</f>
        <v>26</v>
      </c>
      <c r="T73" s="8">
        <f>I73-Q73</f>
        <v>-27244.779999999984</v>
      </c>
      <c r="U73" s="18">
        <v>0.30899158842212249</v>
      </c>
      <c r="V73" s="11">
        <v>0.46</v>
      </c>
      <c r="W73" s="11">
        <v>24</v>
      </c>
      <c r="X73" s="11">
        <v>28</v>
      </c>
      <c r="Y73" s="11">
        <v>0</v>
      </c>
    </row>
    <row r="74" spans="1:25" x14ac:dyDescent="0.25">
      <c r="A74" s="20" t="s">
        <v>3127</v>
      </c>
      <c r="B74" s="20" t="s">
        <v>91</v>
      </c>
      <c r="C74" s="20" t="s">
        <v>3128</v>
      </c>
      <c r="D74" s="20" t="s">
        <v>216</v>
      </c>
      <c r="E74" s="13">
        <v>0</v>
      </c>
      <c r="F74" s="11">
        <v>0</v>
      </c>
      <c r="G74" s="13">
        <v>0</v>
      </c>
      <c r="H74" s="11">
        <v>0</v>
      </c>
      <c r="I74" s="13">
        <f>E74+G74</f>
        <v>0</v>
      </c>
      <c r="J74" s="11">
        <f>F74+H74</f>
        <v>0</v>
      </c>
      <c r="K74" s="13">
        <v>0</v>
      </c>
      <c r="L74" s="11">
        <v>0</v>
      </c>
      <c r="M74" s="11">
        <v>0</v>
      </c>
      <c r="N74" s="13">
        <v>0</v>
      </c>
      <c r="O74" s="11">
        <v>0</v>
      </c>
      <c r="P74" s="11">
        <v>0</v>
      </c>
      <c r="Q74" s="13">
        <f>K74+N74</f>
        <v>0</v>
      </c>
      <c r="R74" s="11">
        <f>L74+O74</f>
        <v>0</v>
      </c>
      <c r="S74" s="11">
        <f>M74+P74</f>
        <v>0</v>
      </c>
      <c r="T74" s="8">
        <f>I74-Q74</f>
        <v>0</v>
      </c>
      <c r="U74" s="18">
        <v>6.5670121176151147E-2</v>
      </c>
      <c r="V74" s="11">
        <v>0</v>
      </c>
      <c r="W74" s="11">
        <v>0</v>
      </c>
      <c r="X74" s="11">
        <v>0</v>
      </c>
      <c r="Y74" s="11">
        <v>0</v>
      </c>
    </row>
    <row r="75" spans="1:25" x14ac:dyDescent="0.25">
      <c r="A75" s="20" t="s">
        <v>3143</v>
      </c>
      <c r="B75" s="20" t="s">
        <v>3143</v>
      </c>
      <c r="C75" s="20" t="s">
        <v>431</v>
      </c>
      <c r="D75" s="20" t="s">
        <v>216</v>
      </c>
      <c r="E75" s="13">
        <v>-637.08000000000004</v>
      </c>
      <c r="F75" s="11">
        <v>0</v>
      </c>
      <c r="G75" s="13">
        <v>0</v>
      </c>
      <c r="H75" s="11">
        <v>0</v>
      </c>
      <c r="I75" s="13">
        <f>E75+G75</f>
        <v>-637.08000000000004</v>
      </c>
      <c r="J75" s="11">
        <f>F75+H75</f>
        <v>0</v>
      </c>
      <c r="K75" s="13">
        <v>0</v>
      </c>
      <c r="L75" s="11">
        <v>0</v>
      </c>
      <c r="M75" s="11">
        <v>0</v>
      </c>
      <c r="N75" s="13">
        <v>0</v>
      </c>
      <c r="O75" s="11">
        <v>0</v>
      </c>
      <c r="P75" s="11">
        <v>0</v>
      </c>
      <c r="Q75" s="13">
        <f>K75+N75</f>
        <v>0</v>
      </c>
      <c r="R75" s="11">
        <f>L75+O75</f>
        <v>0</v>
      </c>
      <c r="S75" s="11">
        <f>M75+P75</f>
        <v>0</v>
      </c>
      <c r="T75" s="8">
        <f>I75-Q75</f>
        <v>-637.08000000000004</v>
      </c>
      <c r="U75" s="18">
        <v>2.4139448218464987E-3</v>
      </c>
      <c r="V75" s="11">
        <v>0</v>
      </c>
      <c r="W75" s="11">
        <v>0</v>
      </c>
      <c r="X75" s="11">
        <v>0</v>
      </c>
      <c r="Y75" s="11">
        <v>0</v>
      </c>
    </row>
    <row r="76" spans="1:25" x14ac:dyDescent="0.25">
      <c r="A76" s="20" t="s">
        <v>3153</v>
      </c>
      <c r="B76" s="20" t="s">
        <v>260</v>
      </c>
      <c r="C76" s="20" t="s">
        <v>1319</v>
      </c>
      <c r="D76" s="20" t="s">
        <v>216</v>
      </c>
      <c r="E76" s="13">
        <v>11699</v>
      </c>
      <c r="F76" s="11">
        <v>0</v>
      </c>
      <c r="G76" s="13">
        <v>9899</v>
      </c>
      <c r="H76" s="11">
        <v>0</v>
      </c>
      <c r="I76" s="13">
        <f>E76+G76</f>
        <v>21598</v>
      </c>
      <c r="J76" s="11">
        <f>F76+H76</f>
        <v>0</v>
      </c>
      <c r="K76" s="13">
        <v>11027</v>
      </c>
      <c r="L76" s="11">
        <v>1</v>
      </c>
      <c r="M76" s="11">
        <v>2</v>
      </c>
      <c r="N76" s="13">
        <v>9275</v>
      </c>
      <c r="O76" s="11">
        <v>0</v>
      </c>
      <c r="P76" s="11">
        <v>2</v>
      </c>
      <c r="Q76" s="13">
        <f>K76+N76</f>
        <v>20302</v>
      </c>
      <c r="R76" s="11">
        <f>L76+O76</f>
        <v>1</v>
      </c>
      <c r="S76" s="11">
        <f>M76+P76</f>
        <v>4</v>
      </c>
      <c r="T76" s="8">
        <f>I76-Q76</f>
        <v>1296</v>
      </c>
      <c r="U76" s="18">
        <v>0.26496195999954542</v>
      </c>
      <c r="V76" s="11">
        <v>0.5</v>
      </c>
      <c r="W76" s="11">
        <v>3</v>
      </c>
      <c r="X76" s="11">
        <v>3</v>
      </c>
      <c r="Y76" s="11">
        <v>0</v>
      </c>
    </row>
    <row r="77" spans="1:25" x14ac:dyDescent="0.25">
      <c r="A77" s="20" t="s">
        <v>3226</v>
      </c>
      <c r="B77" s="20" t="s">
        <v>77</v>
      </c>
      <c r="C77" s="20" t="s">
        <v>3227</v>
      </c>
      <c r="D77" s="20" t="s">
        <v>216</v>
      </c>
      <c r="E77" s="13">
        <v>0</v>
      </c>
      <c r="F77" s="11">
        <v>0</v>
      </c>
      <c r="G77" s="13">
        <v>0</v>
      </c>
      <c r="H77" s="11">
        <v>0</v>
      </c>
      <c r="I77" s="13">
        <f>E77+G77</f>
        <v>0</v>
      </c>
      <c r="J77" s="11">
        <f>F77+H77</f>
        <v>0</v>
      </c>
      <c r="K77" s="13">
        <v>0</v>
      </c>
      <c r="L77" s="11">
        <v>0</v>
      </c>
      <c r="M77" s="11">
        <v>0</v>
      </c>
      <c r="N77" s="13">
        <v>0</v>
      </c>
      <c r="O77" s="11">
        <v>0</v>
      </c>
      <c r="P77" s="11">
        <v>0</v>
      </c>
      <c r="Q77" s="13">
        <f>K77+N77</f>
        <v>0</v>
      </c>
      <c r="R77" s="11">
        <f>L77+O77</f>
        <v>0</v>
      </c>
      <c r="S77" s="11">
        <f>M77+P77</f>
        <v>0</v>
      </c>
      <c r="T77" s="8">
        <f>I77-Q77</f>
        <v>0</v>
      </c>
      <c r="U77" s="18">
        <v>0.11601000710812823</v>
      </c>
      <c r="V77" s="11">
        <v>0</v>
      </c>
      <c r="W77" s="11">
        <v>0</v>
      </c>
      <c r="X77" s="11">
        <v>1</v>
      </c>
      <c r="Y77" s="11">
        <v>0</v>
      </c>
    </row>
    <row r="78" spans="1:25" x14ac:dyDescent="0.25">
      <c r="A78" s="20" t="s">
        <v>3246</v>
      </c>
      <c r="B78" s="20" t="s">
        <v>124</v>
      </c>
      <c r="C78" s="20" t="s">
        <v>3245</v>
      </c>
      <c r="D78" s="20" t="s">
        <v>216</v>
      </c>
      <c r="E78" s="13">
        <v>0</v>
      </c>
      <c r="F78" s="11">
        <v>0</v>
      </c>
      <c r="G78" s="13">
        <v>0</v>
      </c>
      <c r="H78" s="11">
        <v>0</v>
      </c>
      <c r="I78" s="13">
        <f>E78+G78</f>
        <v>0</v>
      </c>
      <c r="J78" s="11">
        <f>F78+H78</f>
        <v>0</v>
      </c>
      <c r="K78" s="13">
        <v>0</v>
      </c>
      <c r="L78" s="11">
        <v>0</v>
      </c>
      <c r="M78" s="11">
        <v>0</v>
      </c>
      <c r="N78" s="13">
        <v>0</v>
      </c>
      <c r="O78" s="11">
        <v>0</v>
      </c>
      <c r="P78" s="11">
        <v>0</v>
      </c>
      <c r="Q78" s="13">
        <f>K78+N78</f>
        <v>0</v>
      </c>
      <c r="R78" s="11">
        <f>L78+O78</f>
        <v>0</v>
      </c>
      <c r="S78" s="11">
        <f>M78+P78</f>
        <v>0</v>
      </c>
      <c r="T78" s="8">
        <f>I78-Q78</f>
        <v>0</v>
      </c>
      <c r="U78" s="18">
        <v>3.3247256029850333E-2</v>
      </c>
      <c r="V78" s="11">
        <v>0</v>
      </c>
      <c r="W78" s="11">
        <v>0</v>
      </c>
      <c r="X78" s="11">
        <v>4</v>
      </c>
      <c r="Y78" s="11">
        <v>0</v>
      </c>
    </row>
    <row r="79" spans="1:25" x14ac:dyDescent="0.25">
      <c r="A79" s="20" t="s">
        <v>3248</v>
      </c>
      <c r="B79" s="20" t="s">
        <v>390</v>
      </c>
      <c r="C79" s="20" t="s">
        <v>3249</v>
      </c>
      <c r="D79" s="20" t="s">
        <v>216</v>
      </c>
      <c r="E79" s="13">
        <v>1182</v>
      </c>
      <c r="F79" s="11">
        <v>0</v>
      </c>
      <c r="G79" s="13">
        <v>0</v>
      </c>
      <c r="H79" s="11">
        <v>0</v>
      </c>
      <c r="I79" s="13">
        <f>E79+G79</f>
        <v>1182</v>
      </c>
      <c r="J79" s="11">
        <f>F79+H79</f>
        <v>0</v>
      </c>
      <c r="K79" s="13">
        <v>1164</v>
      </c>
      <c r="L79" s="11">
        <v>0</v>
      </c>
      <c r="M79" s="11">
        <v>0</v>
      </c>
      <c r="N79" s="13">
        <v>0</v>
      </c>
      <c r="O79" s="11">
        <v>0</v>
      </c>
      <c r="P79" s="11">
        <v>1</v>
      </c>
      <c r="Q79" s="13">
        <f>K79+N79</f>
        <v>1164</v>
      </c>
      <c r="R79" s="11">
        <f>L79+O79</f>
        <v>0</v>
      </c>
      <c r="S79" s="11">
        <f>M79+P79</f>
        <v>1</v>
      </c>
      <c r="T79" s="8">
        <f>I79-Q79</f>
        <v>18</v>
      </c>
      <c r="U79" s="18">
        <v>0.61064785920010656</v>
      </c>
      <c r="V79" s="11">
        <v>0.2</v>
      </c>
      <c r="W79" s="11">
        <v>1</v>
      </c>
      <c r="X79" s="11">
        <v>4</v>
      </c>
      <c r="Y79" s="11">
        <v>0</v>
      </c>
    </row>
    <row r="80" spans="1:25" x14ac:dyDescent="0.25">
      <c r="A80" s="20" t="s">
        <v>3314</v>
      </c>
      <c r="B80" s="20" t="s">
        <v>3203</v>
      </c>
      <c r="C80" s="20" t="s">
        <v>3011</v>
      </c>
      <c r="D80" s="20" t="s">
        <v>216</v>
      </c>
      <c r="E80" s="13">
        <v>1711</v>
      </c>
      <c r="F80" s="11">
        <v>0</v>
      </c>
      <c r="G80" s="13">
        <v>0</v>
      </c>
      <c r="H80" s="11">
        <v>0</v>
      </c>
      <c r="I80" s="13">
        <f>E80+G80</f>
        <v>1711</v>
      </c>
      <c r="J80" s="11">
        <f>F80+H80</f>
        <v>0</v>
      </c>
      <c r="K80" s="13">
        <v>1613</v>
      </c>
      <c r="L80" s="11">
        <v>0</v>
      </c>
      <c r="M80" s="11">
        <v>0</v>
      </c>
      <c r="N80" s="13">
        <v>0</v>
      </c>
      <c r="O80" s="11">
        <v>0</v>
      </c>
      <c r="P80" s="11">
        <v>0</v>
      </c>
      <c r="Q80" s="13">
        <f>K80+N80</f>
        <v>1613</v>
      </c>
      <c r="R80" s="11">
        <f>L80+O80</f>
        <v>0</v>
      </c>
      <c r="S80" s="11">
        <f>M80+P80</f>
        <v>0</v>
      </c>
      <c r="T80" s="8">
        <f>I80-Q80</f>
        <v>98</v>
      </c>
      <c r="U80" s="18">
        <v>0.37095401398802164</v>
      </c>
      <c r="V80" s="11">
        <v>0</v>
      </c>
      <c r="W80" s="11">
        <v>0</v>
      </c>
      <c r="X80" s="11">
        <v>0</v>
      </c>
      <c r="Y80" s="11">
        <v>1</v>
      </c>
    </row>
    <row r="81" spans="1:25" x14ac:dyDescent="0.25">
      <c r="A81" s="20" t="s">
        <v>3355</v>
      </c>
      <c r="B81" s="20" t="s">
        <v>3355</v>
      </c>
      <c r="C81" s="20" t="s">
        <v>1324</v>
      </c>
      <c r="D81" s="20" t="s">
        <v>216</v>
      </c>
      <c r="E81" s="13">
        <v>0</v>
      </c>
      <c r="F81" s="11">
        <v>0</v>
      </c>
      <c r="G81" s="13">
        <v>0</v>
      </c>
      <c r="H81" s="11">
        <v>0</v>
      </c>
      <c r="I81" s="13">
        <f>E81+G81</f>
        <v>0</v>
      </c>
      <c r="J81" s="11">
        <f>F81+H81</f>
        <v>0</v>
      </c>
      <c r="K81" s="13">
        <v>0</v>
      </c>
      <c r="L81" s="11">
        <v>0</v>
      </c>
      <c r="M81" s="11">
        <v>0</v>
      </c>
      <c r="N81" s="13">
        <v>0</v>
      </c>
      <c r="O81" s="11">
        <v>0</v>
      </c>
      <c r="P81" s="11">
        <v>0</v>
      </c>
      <c r="Q81" s="13">
        <f>K81+N81</f>
        <v>0</v>
      </c>
      <c r="R81" s="11">
        <f>L81+O81</f>
        <v>0</v>
      </c>
      <c r="S81" s="11">
        <f>M81+P81</f>
        <v>0</v>
      </c>
      <c r="T81" s="8">
        <f>I81-Q81</f>
        <v>0</v>
      </c>
      <c r="U81" s="18">
        <v>-1.135928406771975</v>
      </c>
      <c r="V81" s="11">
        <v>0</v>
      </c>
      <c r="W81" s="11">
        <v>0</v>
      </c>
      <c r="X81" s="11">
        <v>0</v>
      </c>
      <c r="Y81" s="11">
        <v>0</v>
      </c>
    </row>
    <row r="82" spans="1:25" x14ac:dyDescent="0.25">
      <c r="A82" s="20" t="s">
        <v>3368</v>
      </c>
      <c r="B82" s="20" t="s">
        <v>1268</v>
      </c>
      <c r="C82" s="20" t="s">
        <v>3369</v>
      </c>
      <c r="D82" s="20" t="s">
        <v>216</v>
      </c>
      <c r="E82" s="13">
        <v>5911</v>
      </c>
      <c r="F82" s="11">
        <v>0</v>
      </c>
      <c r="G82" s="13">
        <v>14799</v>
      </c>
      <c r="H82" s="11">
        <v>0</v>
      </c>
      <c r="I82" s="13">
        <f>E82+G82</f>
        <v>20710</v>
      </c>
      <c r="J82" s="11">
        <f>F82+H82</f>
        <v>0</v>
      </c>
      <c r="K82" s="13">
        <v>6289</v>
      </c>
      <c r="L82" s="11">
        <v>0</v>
      </c>
      <c r="M82" s="11">
        <v>0</v>
      </c>
      <c r="N82" s="13">
        <v>22976.26</v>
      </c>
      <c r="O82" s="11">
        <v>1</v>
      </c>
      <c r="P82" s="11">
        <v>1</v>
      </c>
      <c r="Q82" s="13">
        <f>K82+N82</f>
        <v>29265.26</v>
      </c>
      <c r="R82" s="11">
        <f>L82+O82</f>
        <v>1</v>
      </c>
      <c r="S82" s="11">
        <f>M82+P82</f>
        <v>1</v>
      </c>
      <c r="T82" s="8">
        <f>I82-Q82</f>
        <v>-8555.2599999999984</v>
      </c>
      <c r="U82" s="18">
        <v>0.28758048182784279</v>
      </c>
      <c r="V82" s="11">
        <v>0</v>
      </c>
      <c r="W82" s="11">
        <v>0</v>
      </c>
      <c r="X82" s="11">
        <v>2</v>
      </c>
      <c r="Y82" s="11">
        <v>0</v>
      </c>
    </row>
    <row r="83" spans="1:25" x14ac:dyDescent="0.25">
      <c r="A83" s="20" t="s">
        <v>3370</v>
      </c>
      <c r="B83" s="20" t="s">
        <v>83</v>
      </c>
      <c r="C83" s="20" t="s">
        <v>638</v>
      </c>
      <c r="D83" s="20" t="s">
        <v>216</v>
      </c>
      <c r="E83" s="13">
        <v>0</v>
      </c>
      <c r="F83" s="11">
        <v>0</v>
      </c>
      <c r="G83" s="13">
        <v>0</v>
      </c>
      <c r="H83" s="11">
        <v>0</v>
      </c>
      <c r="I83" s="13">
        <f>E83+G83</f>
        <v>0</v>
      </c>
      <c r="J83" s="11">
        <f>F83+H83</f>
        <v>0</v>
      </c>
      <c r="K83" s="13">
        <v>0</v>
      </c>
      <c r="L83" s="11">
        <v>0</v>
      </c>
      <c r="M83" s="11">
        <v>0</v>
      </c>
      <c r="N83" s="13">
        <v>0</v>
      </c>
      <c r="O83" s="11">
        <v>0</v>
      </c>
      <c r="P83" s="11">
        <v>0</v>
      </c>
      <c r="Q83" s="13">
        <f>K83+N83</f>
        <v>0</v>
      </c>
      <c r="R83" s="11">
        <f>L83+O83</f>
        <v>0</v>
      </c>
      <c r="S83" s="11">
        <f>M83+P83</f>
        <v>0</v>
      </c>
      <c r="T83" s="8">
        <f>I83-Q83</f>
        <v>0</v>
      </c>
      <c r="U83" s="18">
        <v>3.0537224502855037E-2</v>
      </c>
      <c r="V83" s="11">
        <v>0</v>
      </c>
      <c r="W83" s="11">
        <v>0</v>
      </c>
      <c r="X83" s="11">
        <v>0</v>
      </c>
      <c r="Y83" s="11">
        <v>0</v>
      </c>
    </row>
    <row r="84" spans="1:25" x14ac:dyDescent="0.25">
      <c r="A84" s="20" t="s">
        <v>3362</v>
      </c>
      <c r="B84" s="20" t="s">
        <v>60</v>
      </c>
      <c r="C84" s="20" t="s">
        <v>3363</v>
      </c>
      <c r="D84" s="20" t="s">
        <v>216</v>
      </c>
      <c r="E84" s="13">
        <v>2806.31</v>
      </c>
      <c r="F84" s="11">
        <v>0</v>
      </c>
      <c r="G84" s="13">
        <v>0</v>
      </c>
      <c r="H84" s="11">
        <v>0</v>
      </c>
      <c r="I84" s="13">
        <f>E84+G84</f>
        <v>2806.31</v>
      </c>
      <c r="J84" s="11">
        <f>F84+H84</f>
        <v>0</v>
      </c>
      <c r="K84" s="13">
        <v>0</v>
      </c>
      <c r="L84" s="11">
        <v>0</v>
      </c>
      <c r="M84" s="11">
        <v>0</v>
      </c>
      <c r="N84" s="13">
        <v>0</v>
      </c>
      <c r="O84" s="11">
        <v>0</v>
      </c>
      <c r="P84" s="11">
        <v>0</v>
      </c>
      <c r="Q84" s="13">
        <f>K84+N84</f>
        <v>0</v>
      </c>
      <c r="R84" s="11">
        <f>L84+O84</f>
        <v>0</v>
      </c>
      <c r="S84" s="11">
        <f>M84+P84</f>
        <v>0</v>
      </c>
      <c r="T84" s="8">
        <f>I84-Q84</f>
        <v>2806.31</v>
      </c>
      <c r="U84" s="18">
        <v>4.9598987734519692E-2</v>
      </c>
      <c r="V84" s="11">
        <v>0</v>
      </c>
      <c r="W84" s="11">
        <v>0</v>
      </c>
      <c r="X84" s="11">
        <v>0</v>
      </c>
      <c r="Y84" s="11">
        <v>0</v>
      </c>
    </row>
    <row r="85" spans="1:25" x14ac:dyDescent="0.25">
      <c r="A85" s="20" t="s">
        <v>3374</v>
      </c>
      <c r="B85" s="20" t="s">
        <v>3374</v>
      </c>
      <c r="C85" s="20" t="s">
        <v>558</v>
      </c>
      <c r="D85" s="20" t="s">
        <v>216</v>
      </c>
      <c r="E85" s="13">
        <v>0</v>
      </c>
      <c r="F85" s="11">
        <v>0</v>
      </c>
      <c r="G85" s="13">
        <v>0</v>
      </c>
      <c r="H85" s="11">
        <v>0</v>
      </c>
      <c r="I85" s="13">
        <f>E85+G85</f>
        <v>0</v>
      </c>
      <c r="J85" s="11">
        <f>F85+H85</f>
        <v>0</v>
      </c>
      <c r="K85" s="13">
        <v>0</v>
      </c>
      <c r="L85" s="11">
        <v>0</v>
      </c>
      <c r="M85" s="11">
        <v>0</v>
      </c>
      <c r="N85" s="13">
        <v>0</v>
      </c>
      <c r="O85" s="11">
        <v>0</v>
      </c>
      <c r="P85" s="11">
        <v>0</v>
      </c>
      <c r="Q85" s="13">
        <f>K85+N85</f>
        <v>0</v>
      </c>
      <c r="R85" s="11">
        <f>L85+O85</f>
        <v>0</v>
      </c>
      <c r="S85" s="11">
        <f>M85+P85</f>
        <v>0</v>
      </c>
      <c r="T85" s="8">
        <f>I85-Q85</f>
        <v>0</v>
      </c>
      <c r="U85" s="18">
        <v>-9.3654499385919295E-3</v>
      </c>
      <c r="V85" s="11">
        <v>0</v>
      </c>
      <c r="W85" s="11">
        <v>0</v>
      </c>
      <c r="X85" s="11">
        <v>0</v>
      </c>
      <c r="Y85" s="11">
        <v>0</v>
      </c>
    </row>
    <row r="86" spans="1:25" x14ac:dyDescent="0.25">
      <c r="A86" s="20" t="s">
        <v>3375</v>
      </c>
      <c r="B86" s="20" t="s">
        <v>60</v>
      </c>
      <c r="C86" s="20" t="s">
        <v>3376</v>
      </c>
      <c r="D86" s="20" t="s">
        <v>216</v>
      </c>
      <c r="E86" s="13">
        <v>0</v>
      </c>
      <c r="F86" s="11">
        <v>0</v>
      </c>
      <c r="G86" s="13">
        <v>0</v>
      </c>
      <c r="H86" s="11">
        <v>0</v>
      </c>
      <c r="I86" s="13">
        <f>E86+G86</f>
        <v>0</v>
      </c>
      <c r="J86" s="11">
        <f>F86+H86</f>
        <v>0</v>
      </c>
      <c r="K86" s="13">
        <v>0</v>
      </c>
      <c r="L86" s="11">
        <v>0</v>
      </c>
      <c r="M86" s="11">
        <v>0</v>
      </c>
      <c r="N86" s="13">
        <v>0</v>
      </c>
      <c r="O86" s="11">
        <v>0</v>
      </c>
      <c r="P86" s="11">
        <v>0</v>
      </c>
      <c r="Q86" s="13">
        <f>K86+N86</f>
        <v>0</v>
      </c>
      <c r="R86" s="11">
        <f>L86+O86</f>
        <v>0</v>
      </c>
      <c r="S86" s="11">
        <f>M86+P86</f>
        <v>0</v>
      </c>
      <c r="T86" s="8">
        <f>I86-Q86</f>
        <v>0</v>
      </c>
      <c r="U86" s="18" t="s">
        <v>1803</v>
      </c>
      <c r="V86" s="11">
        <v>0</v>
      </c>
      <c r="W86" s="11">
        <v>0</v>
      </c>
      <c r="X86" s="11">
        <v>1</v>
      </c>
      <c r="Y86" s="11">
        <v>0</v>
      </c>
    </row>
    <row r="87" spans="1:25" x14ac:dyDescent="0.25">
      <c r="A87" s="20" t="s">
        <v>3648</v>
      </c>
      <c r="B87" s="20" t="s">
        <v>83</v>
      </c>
      <c r="C87" s="20" t="s">
        <v>638</v>
      </c>
      <c r="D87" s="20" t="s">
        <v>216</v>
      </c>
      <c r="E87" s="13">
        <v>0</v>
      </c>
      <c r="F87" s="11">
        <v>0</v>
      </c>
      <c r="G87" s="13">
        <v>0</v>
      </c>
      <c r="H87" s="11">
        <v>0</v>
      </c>
      <c r="I87" s="13">
        <f>E87+G87</f>
        <v>0</v>
      </c>
      <c r="J87" s="11">
        <f>F87+H87</f>
        <v>0</v>
      </c>
      <c r="K87" s="13">
        <v>0</v>
      </c>
      <c r="L87" s="11">
        <v>0</v>
      </c>
      <c r="M87" s="11">
        <v>0</v>
      </c>
      <c r="N87" s="13">
        <v>0</v>
      </c>
      <c r="O87" s="11">
        <v>0</v>
      </c>
      <c r="P87" s="11">
        <v>0</v>
      </c>
      <c r="Q87" s="13">
        <f>K87+N87</f>
        <v>0</v>
      </c>
      <c r="R87" s="11">
        <f>L87+O87</f>
        <v>0</v>
      </c>
      <c r="S87" s="11">
        <f>M87+P87</f>
        <v>0</v>
      </c>
      <c r="T87" s="8">
        <f>I87-Q87</f>
        <v>0</v>
      </c>
      <c r="U87" s="18">
        <v>3.3186478835139752</v>
      </c>
      <c r="V87" s="11">
        <v>0</v>
      </c>
      <c r="W87" s="11">
        <v>0</v>
      </c>
      <c r="X87" s="11">
        <v>0</v>
      </c>
      <c r="Y87" s="11">
        <v>0</v>
      </c>
    </row>
    <row r="88" spans="1:25" x14ac:dyDescent="0.25">
      <c r="A88" s="20" t="s">
        <v>584</v>
      </c>
      <c r="B88" s="20" t="s">
        <v>60</v>
      </c>
      <c r="C88" s="20" t="s">
        <v>585</v>
      </c>
      <c r="D88" s="20" t="s">
        <v>216</v>
      </c>
      <c r="E88" s="13">
        <v>0</v>
      </c>
      <c r="F88" s="11">
        <v>0</v>
      </c>
      <c r="G88" s="13">
        <v>0</v>
      </c>
      <c r="H88" s="11">
        <v>0</v>
      </c>
      <c r="I88" s="13">
        <f>E88+G88</f>
        <v>0</v>
      </c>
      <c r="J88" s="11">
        <f>F88+H88</f>
        <v>0</v>
      </c>
      <c r="K88" s="13">
        <v>0</v>
      </c>
      <c r="L88" s="11">
        <v>0</v>
      </c>
      <c r="M88" s="11">
        <v>0</v>
      </c>
      <c r="N88" s="13">
        <v>0</v>
      </c>
      <c r="O88" s="11">
        <v>0</v>
      </c>
      <c r="P88" s="11">
        <v>0</v>
      </c>
      <c r="Q88" s="13">
        <f>K88+N88</f>
        <v>0</v>
      </c>
      <c r="R88" s="11">
        <f>L88+O88</f>
        <v>0</v>
      </c>
      <c r="S88" s="11">
        <f>M88+P88</f>
        <v>0</v>
      </c>
      <c r="T88" s="8">
        <f>I88-Q88</f>
        <v>0</v>
      </c>
      <c r="U88" s="18">
        <v>-7.6534398894273797E-2</v>
      </c>
      <c r="V88" s="11">
        <v>0</v>
      </c>
      <c r="W88" s="11">
        <v>0</v>
      </c>
      <c r="X88" s="11">
        <v>4</v>
      </c>
      <c r="Y88" s="11">
        <v>1</v>
      </c>
    </row>
    <row r="89" spans="1:25" x14ac:dyDescent="0.25">
      <c r="A89" s="20" t="s">
        <v>1805</v>
      </c>
      <c r="B89" s="20"/>
      <c r="C89" s="20"/>
      <c r="D89" s="20"/>
      <c r="E89" s="13">
        <f>SUBTOTAL(109,TableSBO[YTD WP])</f>
        <v>319616.36</v>
      </c>
      <c r="F89" s="11">
        <f>SUBTOTAL(109,TableSBO[YTD NB '#])</f>
        <v>5</v>
      </c>
      <c r="G89" s="13">
        <f>SUBTOTAL(109,TableSBO[[YTD WP ]])</f>
        <v>156685.94</v>
      </c>
      <c r="H89" s="11">
        <f>SUBTOTAL(109,TableSBO[YTD NB '# ])</f>
        <v>2</v>
      </c>
      <c r="I89" s="13">
        <f>SUBTOTAL(109,TableSBO[[YTD WP  ]])</f>
        <v>476302.3</v>
      </c>
      <c r="J89" s="11">
        <f>SUBTOTAL(109,TableSBO[YTD NB '#  ])</f>
        <v>7</v>
      </c>
      <c r="K89" s="13">
        <f>SUBTOTAL(109,TableSBO[PYTD WP])</f>
        <v>429884.05000000005</v>
      </c>
      <c r="L89" s="11">
        <f>SUBTOTAL(109,TableSBO[PYTD NB '#])</f>
        <v>5</v>
      </c>
      <c r="M89" s="11">
        <f>SUBTOTAL(109,TableSBO[PY Total NB '#])</f>
        <v>31</v>
      </c>
      <c r="N89" s="13">
        <f>SUBTOTAL(109,TableSBO[[PYTD WP ]])</f>
        <v>197836.74</v>
      </c>
      <c r="O89" s="11">
        <f>SUBTOTAL(109,TableSBO[PYTD NB '# ])</f>
        <v>7</v>
      </c>
      <c r="P89" s="11">
        <f>SUBTOTAL(109,TableSBO[PY Total NB '# ])</f>
        <v>41</v>
      </c>
      <c r="Q89" s="13">
        <f>SUBTOTAL(109,TableSBO[[PYTD WP  ]])</f>
        <v>627720.78999999992</v>
      </c>
      <c r="R89" s="11">
        <f>SUBTOTAL(109,TableSBO[PYTD NB '#  ])</f>
        <v>12</v>
      </c>
      <c r="S89" s="11">
        <f>SUBTOTAL(109,TableSBO[PY Total NB '#  ])</f>
        <v>72</v>
      </c>
      <c r="T89" s="8">
        <f>SUBTOTAL(109,TableSBO[Premium Change])</f>
        <v>-151418.48999999996</v>
      </c>
      <c r="V89" s="11">
        <f>ROUND(SUM(TableSBO[12 Mo Bound])/SUM(TableSBO[12 Mo Quoted])+ SUM(TableSBO[12 Mo Bound]), 2)</f>
        <v>68.48</v>
      </c>
      <c r="W89" s="11">
        <f>SUBTOTAL(109,TableSBO[12 Mo Bound])</f>
        <v>68</v>
      </c>
      <c r="X89" s="11">
        <f>SUBTOTAL(109,TableSBO[12 Mo Quoted])</f>
        <v>141</v>
      </c>
      <c r="Y89" s="11">
        <f>SUBTOTAL(109,TableSBO[12 Mo Declined])</f>
        <v>24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01A0-42ED-48E8-9731-75666D157730}">
  <sheetPr>
    <pageSetUpPr fitToPage="1"/>
  </sheetPr>
  <dimension ref="A1:Z66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8.8554687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14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202</v>
      </c>
      <c r="B7" s="20" t="s">
        <v>202</v>
      </c>
      <c r="C7" s="20" t="s">
        <v>320</v>
      </c>
      <c r="D7" s="20" t="s">
        <v>216</v>
      </c>
      <c r="E7" s="13">
        <v>124381.98</v>
      </c>
      <c r="F7" s="11">
        <v>0</v>
      </c>
      <c r="G7" s="13">
        <v>93786.01</v>
      </c>
      <c r="H7" s="11">
        <v>2</v>
      </c>
      <c r="I7" s="13">
        <f>E7+G7</f>
        <v>218167.99</v>
      </c>
      <c r="J7" s="11">
        <f>F7+H7</f>
        <v>2</v>
      </c>
      <c r="K7" s="13">
        <v>127038</v>
      </c>
      <c r="L7" s="11">
        <v>0</v>
      </c>
      <c r="M7" s="11">
        <v>4</v>
      </c>
      <c r="N7" s="13">
        <v>43989.3</v>
      </c>
      <c r="O7" s="11">
        <v>0</v>
      </c>
      <c r="P7" s="11">
        <v>3</v>
      </c>
      <c r="Q7" s="13">
        <f>K7+N7</f>
        <v>171027.3</v>
      </c>
      <c r="R7" s="11">
        <f>L7+O7</f>
        <v>0</v>
      </c>
      <c r="S7" s="11">
        <f>M7+P7</f>
        <v>7</v>
      </c>
      <c r="T7" s="8">
        <f>I7-Q7</f>
        <v>47140.69</v>
      </c>
      <c r="U7" s="18">
        <v>0.21779479363616588</v>
      </c>
      <c r="V7" s="11">
        <v>0.38</v>
      </c>
      <c r="W7" s="11">
        <v>9</v>
      </c>
      <c r="X7" s="11">
        <v>15</v>
      </c>
      <c r="Y7" s="11">
        <v>1</v>
      </c>
    </row>
    <row r="8" spans="1:26" x14ac:dyDescent="0.25">
      <c r="A8" s="20" t="s">
        <v>1350</v>
      </c>
      <c r="B8" s="20" t="s">
        <v>3203</v>
      </c>
      <c r="C8" s="20" t="s">
        <v>3011</v>
      </c>
      <c r="D8" s="20" t="s">
        <v>215</v>
      </c>
      <c r="E8" s="13">
        <v>0</v>
      </c>
      <c r="F8" s="11">
        <v>0</v>
      </c>
      <c r="G8" s="13">
        <v>0</v>
      </c>
      <c r="H8" s="11">
        <v>0</v>
      </c>
      <c r="I8" s="13">
        <f>E8+G8</f>
        <v>0</v>
      </c>
      <c r="J8" s="11">
        <f>F8+H8</f>
        <v>0</v>
      </c>
      <c r="K8" s="13">
        <v>-635.96</v>
      </c>
      <c r="L8" s="11">
        <v>0</v>
      </c>
      <c r="M8" s="11">
        <v>0</v>
      </c>
      <c r="N8" s="13">
        <v>0</v>
      </c>
      <c r="O8" s="11">
        <v>0</v>
      </c>
      <c r="P8" s="11">
        <v>0</v>
      </c>
      <c r="Q8" s="13">
        <f>K8+N8</f>
        <v>-635.96</v>
      </c>
      <c r="R8" s="11">
        <f>L8+O8</f>
        <v>0</v>
      </c>
      <c r="S8" s="11">
        <f>M8+P8</f>
        <v>0</v>
      </c>
      <c r="T8" s="8">
        <f>I8-Q8</f>
        <v>635.96</v>
      </c>
      <c r="U8" s="18" t="s">
        <v>1803</v>
      </c>
      <c r="V8" s="11">
        <v>0</v>
      </c>
      <c r="W8" s="11">
        <v>0</v>
      </c>
      <c r="X8" s="11">
        <v>0</v>
      </c>
      <c r="Y8" s="11">
        <v>0</v>
      </c>
    </row>
    <row r="9" spans="1:26" x14ac:dyDescent="0.25">
      <c r="A9" s="20" t="s">
        <v>1356</v>
      </c>
      <c r="B9" s="20" t="s">
        <v>60</v>
      </c>
      <c r="C9" s="20" t="s">
        <v>1357</v>
      </c>
      <c r="D9" s="20" t="s">
        <v>216</v>
      </c>
      <c r="E9" s="13">
        <v>0</v>
      </c>
      <c r="F9" s="11">
        <v>0</v>
      </c>
      <c r="G9" s="13">
        <v>868</v>
      </c>
      <c r="H9" s="11">
        <v>0</v>
      </c>
      <c r="I9" s="13">
        <f>E9+G9</f>
        <v>868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1962</v>
      </c>
      <c r="O9" s="11">
        <v>0</v>
      </c>
      <c r="P9" s="11">
        <v>0</v>
      </c>
      <c r="Q9" s="13">
        <f>K9+N9</f>
        <v>1962</v>
      </c>
      <c r="R9" s="11">
        <f>L9+O9</f>
        <v>0</v>
      </c>
      <c r="S9" s="11">
        <f>M9+P9</f>
        <v>0</v>
      </c>
      <c r="T9" s="8">
        <f>I9-Q9</f>
        <v>-1094</v>
      </c>
      <c r="U9" s="18">
        <v>8.3626562182897574E-2</v>
      </c>
      <c r="V9" s="11">
        <v>0</v>
      </c>
      <c r="W9" s="11">
        <v>0</v>
      </c>
      <c r="X9" s="11">
        <v>5</v>
      </c>
      <c r="Y9" s="11">
        <v>0</v>
      </c>
    </row>
    <row r="10" spans="1:26" x14ac:dyDescent="0.25">
      <c r="A10" s="20" t="s">
        <v>79</v>
      </c>
      <c r="B10" s="20" t="s">
        <v>79</v>
      </c>
      <c r="C10" s="20" t="s">
        <v>1358</v>
      </c>
      <c r="D10" s="20" t="s">
        <v>216</v>
      </c>
      <c r="E10" s="13">
        <v>0</v>
      </c>
      <c r="F10" s="11">
        <v>0</v>
      </c>
      <c r="G10" s="13">
        <v>0</v>
      </c>
      <c r="H10" s="11">
        <v>0</v>
      </c>
      <c r="I10" s="13">
        <f>E10+G10</f>
        <v>0</v>
      </c>
      <c r="J10" s="11">
        <f>F10+H10</f>
        <v>0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0</v>
      </c>
      <c r="Q10" s="13">
        <f>K10+N10</f>
        <v>0</v>
      </c>
      <c r="R10" s="11">
        <f>L10+O10</f>
        <v>0</v>
      </c>
      <c r="S10" s="11">
        <f>M10+P10</f>
        <v>0</v>
      </c>
      <c r="T10" s="8">
        <f>I10-Q10</f>
        <v>0</v>
      </c>
      <c r="U10" s="18" t="s">
        <v>1803</v>
      </c>
      <c r="V10" s="11">
        <v>0</v>
      </c>
      <c r="W10" s="11">
        <v>0</v>
      </c>
      <c r="X10" s="11">
        <v>0</v>
      </c>
      <c r="Y10" s="11">
        <v>0</v>
      </c>
    </row>
    <row r="11" spans="1:26" x14ac:dyDescent="0.25">
      <c r="A11" s="20" t="s">
        <v>1361</v>
      </c>
      <c r="B11" s="20" t="s">
        <v>83</v>
      </c>
      <c r="C11" s="20" t="s">
        <v>1362</v>
      </c>
      <c r="D11" s="20" t="s">
        <v>216</v>
      </c>
      <c r="E11" s="13">
        <v>5078</v>
      </c>
      <c r="F11" s="11">
        <v>0</v>
      </c>
      <c r="G11" s="13">
        <v>0</v>
      </c>
      <c r="H11" s="11">
        <v>0</v>
      </c>
      <c r="I11" s="13">
        <f>E11+G11</f>
        <v>5078</v>
      </c>
      <c r="J11" s="11">
        <f>F11+H11</f>
        <v>0</v>
      </c>
      <c r="K11" s="13">
        <v>4346</v>
      </c>
      <c r="L11" s="11">
        <v>0</v>
      </c>
      <c r="M11" s="11">
        <v>1</v>
      </c>
      <c r="N11" s="13">
        <v>0</v>
      </c>
      <c r="O11" s="11">
        <v>0</v>
      </c>
      <c r="P11" s="11">
        <v>0</v>
      </c>
      <c r="Q11" s="13">
        <f>K11+N11</f>
        <v>4346</v>
      </c>
      <c r="R11" s="11">
        <f>L11+O11</f>
        <v>0</v>
      </c>
      <c r="S11" s="11">
        <f>M11+P11</f>
        <v>1</v>
      </c>
      <c r="T11" s="8">
        <f>I11-Q11</f>
        <v>732</v>
      </c>
      <c r="U11" s="18">
        <v>0.24194611285397657</v>
      </c>
      <c r="V11" s="11">
        <v>0.25</v>
      </c>
      <c r="W11" s="11">
        <v>2</v>
      </c>
      <c r="X11" s="11">
        <v>6</v>
      </c>
      <c r="Y11" s="11">
        <v>0</v>
      </c>
    </row>
    <row r="12" spans="1:26" x14ac:dyDescent="0.25">
      <c r="A12" s="20" t="s">
        <v>1363</v>
      </c>
      <c r="B12" s="20" t="s">
        <v>60</v>
      </c>
      <c r="C12" s="20" t="s">
        <v>1364</v>
      </c>
      <c r="D12" s="20" t="s">
        <v>216</v>
      </c>
      <c r="E12" s="13">
        <v>0</v>
      </c>
      <c r="F12" s="11">
        <v>0</v>
      </c>
      <c r="G12" s="13">
        <v>5064.5</v>
      </c>
      <c r="H12" s="11">
        <v>0</v>
      </c>
      <c r="I12" s="13">
        <f>E12+G12</f>
        <v>5064.5</v>
      </c>
      <c r="J12" s="11">
        <f>F12+H12</f>
        <v>0</v>
      </c>
      <c r="K12" s="13">
        <v>6287</v>
      </c>
      <c r="L12" s="11">
        <v>0</v>
      </c>
      <c r="M12" s="11">
        <v>1</v>
      </c>
      <c r="N12" s="13">
        <v>787</v>
      </c>
      <c r="O12" s="11">
        <v>0</v>
      </c>
      <c r="P12" s="11">
        <v>1</v>
      </c>
      <c r="Q12" s="13">
        <f>K12+N12</f>
        <v>7074</v>
      </c>
      <c r="R12" s="11">
        <f>L12+O12</f>
        <v>0</v>
      </c>
      <c r="S12" s="11">
        <f>M12+P12</f>
        <v>2</v>
      </c>
      <c r="T12" s="8">
        <f>I12-Q12</f>
        <v>-2009.5</v>
      </c>
      <c r="U12" s="18">
        <v>-0.18094466950879431</v>
      </c>
      <c r="V12" s="11">
        <v>0.25</v>
      </c>
      <c r="W12" s="11">
        <v>2</v>
      </c>
      <c r="X12" s="11">
        <v>6</v>
      </c>
      <c r="Y12" s="11">
        <v>1</v>
      </c>
    </row>
    <row r="13" spans="1:26" x14ac:dyDescent="0.25">
      <c r="A13" s="20" t="s">
        <v>1365</v>
      </c>
      <c r="B13" s="20" t="s">
        <v>60</v>
      </c>
      <c r="C13" s="20" t="s">
        <v>1366</v>
      </c>
      <c r="D13" s="20" t="s">
        <v>216</v>
      </c>
      <c r="E13" s="13">
        <v>-8585</v>
      </c>
      <c r="F13" s="11">
        <v>0</v>
      </c>
      <c r="G13" s="13">
        <v>0</v>
      </c>
      <c r="H13" s="11">
        <v>0</v>
      </c>
      <c r="I13" s="13">
        <f>E13+G13</f>
        <v>-8585</v>
      </c>
      <c r="J13" s="11">
        <f>F13+H13</f>
        <v>0</v>
      </c>
      <c r="K13" s="13">
        <v>1622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1622</v>
      </c>
      <c r="R13" s="11">
        <f>L13+O13</f>
        <v>0</v>
      </c>
      <c r="S13" s="11">
        <f>M13+P13</f>
        <v>0</v>
      </c>
      <c r="T13" s="8">
        <f>I13-Q13</f>
        <v>-10207</v>
      </c>
      <c r="U13" s="18">
        <v>1.833482203603334E-2</v>
      </c>
      <c r="V13" s="11">
        <v>0</v>
      </c>
      <c r="W13" s="11">
        <v>0</v>
      </c>
      <c r="X13" s="11">
        <v>0</v>
      </c>
      <c r="Y13" s="11">
        <v>0</v>
      </c>
    </row>
    <row r="14" spans="1:26" x14ac:dyDescent="0.25">
      <c r="A14" s="20" t="s">
        <v>1368</v>
      </c>
      <c r="B14" s="20" t="s">
        <v>3203</v>
      </c>
      <c r="C14" s="20" t="s">
        <v>3345</v>
      </c>
      <c r="D14" s="20" t="s">
        <v>215</v>
      </c>
      <c r="E14" s="13">
        <v>0</v>
      </c>
      <c r="F14" s="11">
        <v>0</v>
      </c>
      <c r="G14" s="13">
        <v>0</v>
      </c>
      <c r="H14" s="11">
        <v>0</v>
      </c>
      <c r="I14" s="13">
        <f>E14+G14</f>
        <v>0</v>
      </c>
      <c r="J14" s="11">
        <f>F14+H14</f>
        <v>0</v>
      </c>
      <c r="K14" s="13">
        <v>1426.58</v>
      </c>
      <c r="L14" s="11">
        <v>0</v>
      </c>
      <c r="M14" s="11">
        <v>0</v>
      </c>
      <c r="N14" s="13">
        <v>0</v>
      </c>
      <c r="O14" s="11">
        <v>0</v>
      </c>
      <c r="P14" s="11">
        <v>0</v>
      </c>
      <c r="Q14" s="13">
        <f>K14+N14</f>
        <v>1426.58</v>
      </c>
      <c r="R14" s="11">
        <f>L14+O14</f>
        <v>0</v>
      </c>
      <c r="S14" s="11">
        <f>M14+P14</f>
        <v>0</v>
      </c>
      <c r="T14" s="8">
        <f>I14-Q14</f>
        <v>-1426.58</v>
      </c>
      <c r="U14" s="18" t="s">
        <v>1803</v>
      </c>
      <c r="V14" s="11">
        <v>0</v>
      </c>
      <c r="W14" s="11">
        <v>0</v>
      </c>
      <c r="X14" s="11">
        <v>0</v>
      </c>
      <c r="Y14" s="11">
        <v>0</v>
      </c>
    </row>
    <row r="15" spans="1:26" x14ac:dyDescent="0.25">
      <c r="A15" s="20" t="s">
        <v>1369</v>
      </c>
      <c r="B15" s="20" t="s">
        <v>60</v>
      </c>
      <c r="C15" s="20" t="s">
        <v>1370</v>
      </c>
      <c r="D15" s="20" t="s">
        <v>216</v>
      </c>
      <c r="E15" s="13">
        <v>14165</v>
      </c>
      <c r="F15" s="11">
        <v>0</v>
      </c>
      <c r="G15" s="13">
        <v>0</v>
      </c>
      <c r="H15" s="11">
        <v>0</v>
      </c>
      <c r="I15" s="13">
        <f>E15+G15</f>
        <v>14165</v>
      </c>
      <c r="J15" s="11">
        <f>F15+H15</f>
        <v>0</v>
      </c>
      <c r="K15" s="13">
        <v>26324</v>
      </c>
      <c r="L15" s="11">
        <v>0</v>
      </c>
      <c r="M15" s="11">
        <v>0</v>
      </c>
      <c r="N15" s="13">
        <v>0</v>
      </c>
      <c r="O15" s="11">
        <v>0</v>
      </c>
      <c r="P15" s="11">
        <v>1</v>
      </c>
      <c r="Q15" s="13">
        <f>K15+N15</f>
        <v>26324</v>
      </c>
      <c r="R15" s="11">
        <f>L15+O15</f>
        <v>0</v>
      </c>
      <c r="S15" s="11">
        <f>M15+P15</f>
        <v>1</v>
      </c>
      <c r="T15" s="8">
        <f>I15-Q15</f>
        <v>-12159</v>
      </c>
      <c r="U15" s="18">
        <v>4.0617525314270909E-2</v>
      </c>
      <c r="V15" s="11">
        <v>0.25</v>
      </c>
      <c r="W15" s="11">
        <v>1</v>
      </c>
      <c r="X15" s="11">
        <v>3</v>
      </c>
      <c r="Y15" s="11">
        <v>2</v>
      </c>
    </row>
    <row r="16" spans="1:26" x14ac:dyDescent="0.25">
      <c r="A16" s="20" t="s">
        <v>1371</v>
      </c>
      <c r="B16" s="20" t="s">
        <v>756</v>
      </c>
      <c r="C16" s="20" t="s">
        <v>1372</v>
      </c>
      <c r="D16" s="20" t="s">
        <v>216</v>
      </c>
      <c r="E16" s="13">
        <v>0</v>
      </c>
      <c r="F16" s="11">
        <v>0</v>
      </c>
      <c r="G16" s="13">
        <v>0</v>
      </c>
      <c r="H16" s="11">
        <v>0</v>
      </c>
      <c r="I16" s="13">
        <f>E16+G16</f>
        <v>0</v>
      </c>
      <c r="J16" s="11">
        <f>F16+H16</f>
        <v>0</v>
      </c>
      <c r="K16" s="13">
        <v>0</v>
      </c>
      <c r="L16" s="11">
        <v>0</v>
      </c>
      <c r="M16" s="11">
        <v>0</v>
      </c>
      <c r="N16" s="13">
        <v>0</v>
      </c>
      <c r="O16" s="11">
        <v>0</v>
      </c>
      <c r="P16" s="11">
        <v>0</v>
      </c>
      <c r="Q16" s="13">
        <f>K16+N16</f>
        <v>0</v>
      </c>
      <c r="R16" s="11">
        <f>L16+O16</f>
        <v>0</v>
      </c>
      <c r="S16" s="11">
        <f>M16+P16</f>
        <v>0</v>
      </c>
      <c r="T16" s="8">
        <f>I16-Q16</f>
        <v>0</v>
      </c>
      <c r="U16" s="18">
        <v>6.3300308574102768E-3</v>
      </c>
      <c r="V16" s="11">
        <v>0</v>
      </c>
      <c r="W16" s="11">
        <v>0</v>
      </c>
      <c r="X16" s="11">
        <v>1</v>
      </c>
      <c r="Y16" s="11">
        <v>0</v>
      </c>
    </row>
    <row r="17" spans="1:25" x14ac:dyDescent="0.25">
      <c r="A17" s="20" t="s">
        <v>1373</v>
      </c>
      <c r="B17" s="20" t="s">
        <v>124</v>
      </c>
      <c r="C17" s="20" t="s">
        <v>1374</v>
      </c>
      <c r="D17" s="20" t="s">
        <v>216</v>
      </c>
      <c r="E17" s="13">
        <v>17203.36</v>
      </c>
      <c r="F17" s="11">
        <v>0</v>
      </c>
      <c r="G17" s="13">
        <v>0</v>
      </c>
      <c r="H17" s="11">
        <v>0</v>
      </c>
      <c r="I17" s="13">
        <f>E17+G17</f>
        <v>17203.36</v>
      </c>
      <c r="J17" s="11">
        <f>F17+H17</f>
        <v>0</v>
      </c>
      <c r="K17" s="13">
        <v>7560</v>
      </c>
      <c r="L17" s="11">
        <v>0</v>
      </c>
      <c r="M17" s="11">
        <v>1</v>
      </c>
      <c r="N17" s="13">
        <v>7990</v>
      </c>
      <c r="O17" s="11">
        <v>0</v>
      </c>
      <c r="P17" s="11">
        <v>4</v>
      </c>
      <c r="Q17" s="13">
        <f>K17+N17</f>
        <v>15550</v>
      </c>
      <c r="R17" s="11">
        <f>L17+O17</f>
        <v>0</v>
      </c>
      <c r="S17" s="11">
        <f>M17+P17</f>
        <v>5</v>
      </c>
      <c r="T17" s="8">
        <f>I17-Q17</f>
        <v>1653.3600000000006</v>
      </c>
      <c r="U17" s="18">
        <v>0.1716119955796758</v>
      </c>
      <c r="V17" s="11">
        <v>0.45</v>
      </c>
      <c r="W17" s="11">
        <v>5</v>
      </c>
      <c r="X17" s="11">
        <v>6</v>
      </c>
      <c r="Y17" s="11">
        <v>1</v>
      </c>
    </row>
    <row r="18" spans="1:25" x14ac:dyDescent="0.25">
      <c r="A18" s="20" t="s">
        <v>1377</v>
      </c>
      <c r="B18" s="20" t="s">
        <v>1377</v>
      </c>
      <c r="C18" s="20" t="s">
        <v>1378</v>
      </c>
      <c r="D18" s="20" t="s">
        <v>216</v>
      </c>
      <c r="E18" s="13">
        <v>38575</v>
      </c>
      <c r="F18" s="11">
        <v>1</v>
      </c>
      <c r="G18" s="13">
        <v>-1779.75</v>
      </c>
      <c r="H18" s="11">
        <v>0</v>
      </c>
      <c r="I18" s="13">
        <f>E18+G18</f>
        <v>36795.25</v>
      </c>
      <c r="J18" s="11">
        <f>F18+H18</f>
        <v>1</v>
      </c>
      <c r="K18" s="13">
        <v>44729</v>
      </c>
      <c r="L18" s="11">
        <v>0</v>
      </c>
      <c r="M18" s="11">
        <v>0</v>
      </c>
      <c r="N18" s="13">
        <v>0</v>
      </c>
      <c r="O18" s="11">
        <v>0</v>
      </c>
      <c r="P18" s="11">
        <v>1</v>
      </c>
      <c r="Q18" s="13">
        <f>K18+N18</f>
        <v>44729</v>
      </c>
      <c r="R18" s="11">
        <f>L18+O18</f>
        <v>0</v>
      </c>
      <c r="S18" s="11">
        <f>M18+P18</f>
        <v>1</v>
      </c>
      <c r="T18" s="8">
        <f>I18-Q18</f>
        <v>-7933.75</v>
      </c>
      <c r="U18" s="18">
        <v>9.8561444120165473E-2</v>
      </c>
      <c r="V18" s="11">
        <v>0.25</v>
      </c>
      <c r="W18" s="11">
        <v>2</v>
      </c>
      <c r="X18" s="11">
        <v>6</v>
      </c>
      <c r="Y18" s="11">
        <v>0</v>
      </c>
    </row>
    <row r="19" spans="1:25" x14ac:dyDescent="0.25">
      <c r="A19" s="20" t="s">
        <v>1705</v>
      </c>
      <c r="B19" s="20" t="s">
        <v>104</v>
      </c>
      <c r="C19" s="20" t="s">
        <v>3269</v>
      </c>
      <c r="D19" s="20" t="s">
        <v>216</v>
      </c>
      <c r="E19" s="13">
        <v>-149.78</v>
      </c>
      <c r="F19" s="11">
        <v>0</v>
      </c>
      <c r="G19" s="13">
        <v>6608</v>
      </c>
      <c r="H19" s="11">
        <v>1</v>
      </c>
      <c r="I19" s="13">
        <f>E19+G19</f>
        <v>6458.22</v>
      </c>
      <c r="J19" s="11">
        <f>F19+H19</f>
        <v>1</v>
      </c>
      <c r="K19" s="13">
        <v>0</v>
      </c>
      <c r="L19" s="11">
        <v>0</v>
      </c>
      <c r="M19" s="11">
        <v>1</v>
      </c>
      <c r="N19" s="13">
        <v>0</v>
      </c>
      <c r="O19" s="11">
        <v>0</v>
      </c>
      <c r="P19" s="11">
        <v>0</v>
      </c>
      <c r="Q19" s="13">
        <f>K19+N19</f>
        <v>0</v>
      </c>
      <c r="R19" s="11">
        <f>L19+O19</f>
        <v>0</v>
      </c>
      <c r="S19" s="11">
        <f>M19+P19</f>
        <v>1</v>
      </c>
      <c r="T19" s="8">
        <f>I19-Q19</f>
        <v>6458.22</v>
      </c>
      <c r="U19" s="18">
        <v>0.15840022409486681</v>
      </c>
      <c r="V19" s="11">
        <v>0.5</v>
      </c>
      <c r="W19" s="11">
        <v>2</v>
      </c>
      <c r="X19" s="11">
        <v>2</v>
      </c>
      <c r="Y19" s="11">
        <v>1</v>
      </c>
    </row>
    <row r="20" spans="1:25" x14ac:dyDescent="0.25">
      <c r="A20" s="20" t="s">
        <v>1383</v>
      </c>
      <c r="B20" s="20" t="s">
        <v>60</v>
      </c>
      <c r="C20" s="20" t="s">
        <v>1384</v>
      </c>
      <c r="D20" s="20" t="s">
        <v>216</v>
      </c>
      <c r="E20" s="13">
        <v>0</v>
      </c>
      <c r="F20" s="11">
        <v>0</v>
      </c>
      <c r="G20" s="13">
        <v>0</v>
      </c>
      <c r="H20" s="11">
        <v>0</v>
      </c>
      <c r="I20" s="13">
        <f>E20+G20</f>
        <v>0</v>
      </c>
      <c r="J20" s="11">
        <f>F20+H20</f>
        <v>0</v>
      </c>
      <c r="K20" s="13">
        <v>0</v>
      </c>
      <c r="L20" s="11">
        <v>0</v>
      </c>
      <c r="M20" s="11">
        <v>0</v>
      </c>
      <c r="N20" s="13">
        <v>0</v>
      </c>
      <c r="O20" s="11">
        <v>0</v>
      </c>
      <c r="P20" s="11">
        <v>0</v>
      </c>
      <c r="Q20" s="13">
        <f>K20+N20</f>
        <v>0</v>
      </c>
      <c r="R20" s="11">
        <f>L20+O20</f>
        <v>0</v>
      </c>
      <c r="S20" s="11">
        <f>M20+P20</f>
        <v>0</v>
      </c>
      <c r="T20" s="8">
        <f>I20-Q20</f>
        <v>0</v>
      </c>
      <c r="U20" s="18">
        <v>-2.4864396489604097</v>
      </c>
      <c r="V20" s="11">
        <v>0</v>
      </c>
      <c r="W20" s="11">
        <v>0</v>
      </c>
      <c r="X20" s="11">
        <v>0</v>
      </c>
      <c r="Y20" s="11">
        <v>0</v>
      </c>
    </row>
    <row r="21" spans="1:25" x14ac:dyDescent="0.25">
      <c r="A21" s="20" t="s">
        <v>459</v>
      </c>
      <c r="B21" s="20" t="s">
        <v>459</v>
      </c>
      <c r="C21" s="20" t="s">
        <v>460</v>
      </c>
      <c r="D21" s="20" t="s">
        <v>216</v>
      </c>
      <c r="E21" s="13">
        <v>0</v>
      </c>
      <c r="F21" s="11">
        <v>0</v>
      </c>
      <c r="G21" s="13">
        <v>1228</v>
      </c>
      <c r="H21" s="11">
        <v>0</v>
      </c>
      <c r="I21" s="13">
        <f>E21+G21</f>
        <v>1228</v>
      </c>
      <c r="J21" s="11">
        <f>F21+H21</f>
        <v>0</v>
      </c>
      <c r="K21" s="13">
        <v>3329</v>
      </c>
      <c r="L21" s="11">
        <v>0</v>
      </c>
      <c r="M21" s="11">
        <v>0</v>
      </c>
      <c r="N21" s="13">
        <v>24371</v>
      </c>
      <c r="O21" s="11">
        <v>0</v>
      </c>
      <c r="P21" s="11">
        <v>0</v>
      </c>
      <c r="Q21" s="13">
        <f>K21+N21</f>
        <v>27700</v>
      </c>
      <c r="R21" s="11">
        <f>L21+O21</f>
        <v>0</v>
      </c>
      <c r="S21" s="11">
        <f>M21+P21</f>
        <v>0</v>
      </c>
      <c r="T21" s="8">
        <f>I21-Q21</f>
        <v>-26472</v>
      </c>
      <c r="U21" s="18">
        <v>2.3429991170131604E-2</v>
      </c>
      <c r="V21" s="11">
        <v>0</v>
      </c>
      <c r="W21" s="11">
        <v>0</v>
      </c>
      <c r="X21" s="11">
        <v>2</v>
      </c>
      <c r="Y21" s="11">
        <v>2</v>
      </c>
    </row>
    <row r="22" spans="1:25" x14ac:dyDescent="0.25">
      <c r="A22" s="20" t="s">
        <v>1385</v>
      </c>
      <c r="B22" s="20" t="s">
        <v>124</v>
      </c>
      <c r="C22" s="20" t="s">
        <v>1386</v>
      </c>
      <c r="D22" s="20" t="s">
        <v>216</v>
      </c>
      <c r="E22" s="13">
        <v>4154</v>
      </c>
      <c r="F22" s="11">
        <v>0</v>
      </c>
      <c r="G22" s="13">
        <v>2806</v>
      </c>
      <c r="H22" s="11">
        <v>0</v>
      </c>
      <c r="I22" s="13">
        <f>E22+G22</f>
        <v>6960</v>
      </c>
      <c r="J22" s="11">
        <f>F22+H22</f>
        <v>0</v>
      </c>
      <c r="K22" s="13">
        <v>4249.6000000000004</v>
      </c>
      <c r="L22" s="11">
        <v>0</v>
      </c>
      <c r="M22" s="11">
        <v>0</v>
      </c>
      <c r="N22" s="13">
        <v>2690</v>
      </c>
      <c r="O22" s="11">
        <v>0</v>
      </c>
      <c r="P22" s="11">
        <v>0</v>
      </c>
      <c r="Q22" s="13">
        <f>K22+N22</f>
        <v>6939.6</v>
      </c>
      <c r="R22" s="11">
        <f>L22+O22</f>
        <v>0</v>
      </c>
      <c r="S22" s="11">
        <f>M22+P22</f>
        <v>0</v>
      </c>
      <c r="T22" s="8">
        <f>I22-Q22</f>
        <v>20.399999999999636</v>
      </c>
      <c r="U22" s="18">
        <v>0.10667204739925605</v>
      </c>
      <c r="V22" s="11">
        <v>0</v>
      </c>
      <c r="W22" s="11">
        <v>0</v>
      </c>
      <c r="X22" s="11">
        <v>1</v>
      </c>
      <c r="Y22" s="11">
        <v>0</v>
      </c>
    </row>
    <row r="23" spans="1:25" x14ac:dyDescent="0.25">
      <c r="A23" s="20" t="s">
        <v>218</v>
      </c>
      <c r="B23" s="20" t="s">
        <v>218</v>
      </c>
      <c r="C23" s="20" t="s">
        <v>1375</v>
      </c>
      <c r="D23" s="20" t="s">
        <v>216</v>
      </c>
      <c r="E23" s="13">
        <v>6708</v>
      </c>
      <c r="F23" s="11">
        <v>0</v>
      </c>
      <c r="G23" s="13">
        <v>38.19</v>
      </c>
      <c r="H23" s="11">
        <v>0</v>
      </c>
      <c r="I23" s="13">
        <f>E23+G23</f>
        <v>6746.19</v>
      </c>
      <c r="J23" s="11">
        <f>F23+H23</f>
        <v>0</v>
      </c>
      <c r="K23" s="13">
        <v>6095</v>
      </c>
      <c r="L23" s="11">
        <v>0</v>
      </c>
      <c r="M23" s="11">
        <v>0</v>
      </c>
      <c r="N23" s="13">
        <v>-1570.22</v>
      </c>
      <c r="O23" s="11">
        <v>0</v>
      </c>
      <c r="P23" s="11">
        <v>0</v>
      </c>
      <c r="Q23" s="13">
        <f>K23+N23</f>
        <v>4524.78</v>
      </c>
      <c r="R23" s="11">
        <f>L23+O23</f>
        <v>0</v>
      </c>
      <c r="S23" s="11">
        <f>M23+P23</f>
        <v>0</v>
      </c>
      <c r="T23" s="8">
        <f>I23-Q23</f>
        <v>2221.41</v>
      </c>
      <c r="U23" s="18">
        <v>8.6837200727944167E-2</v>
      </c>
      <c r="V23" s="11">
        <v>0</v>
      </c>
      <c r="W23" s="11">
        <v>0</v>
      </c>
      <c r="X23" s="11">
        <v>2</v>
      </c>
      <c r="Y23" s="11">
        <v>0</v>
      </c>
    </row>
    <row r="24" spans="1:25" x14ac:dyDescent="0.25">
      <c r="A24" s="20" t="s">
        <v>1388</v>
      </c>
      <c r="B24" s="20" t="s">
        <v>124</v>
      </c>
      <c r="C24" s="20" t="s">
        <v>1389</v>
      </c>
      <c r="D24" s="20" t="s">
        <v>216</v>
      </c>
      <c r="E24" s="13">
        <v>0</v>
      </c>
      <c r="F24" s="11">
        <v>0</v>
      </c>
      <c r="G24" s="13">
        <v>11996</v>
      </c>
      <c r="H24" s="11">
        <v>0</v>
      </c>
      <c r="I24" s="13">
        <f>E24+G24</f>
        <v>11996</v>
      </c>
      <c r="J24" s="11">
        <f>F24+H24</f>
        <v>0</v>
      </c>
      <c r="K24" s="13">
        <v>0</v>
      </c>
      <c r="L24" s="11">
        <v>0</v>
      </c>
      <c r="M24" s="11">
        <v>0</v>
      </c>
      <c r="N24" s="13">
        <v>11654</v>
      </c>
      <c r="O24" s="11">
        <v>0</v>
      </c>
      <c r="P24" s="11">
        <v>0</v>
      </c>
      <c r="Q24" s="13">
        <f>K24+N24</f>
        <v>11654</v>
      </c>
      <c r="R24" s="11">
        <f>L24+O24</f>
        <v>0</v>
      </c>
      <c r="S24" s="11">
        <f>M24+P24</f>
        <v>0</v>
      </c>
      <c r="T24" s="8">
        <f>I24-Q24</f>
        <v>342</v>
      </c>
      <c r="U24" s="18">
        <v>5.7335957055910325E-2</v>
      </c>
      <c r="V24" s="11">
        <v>0</v>
      </c>
      <c r="W24" s="11">
        <v>0</v>
      </c>
      <c r="X24" s="11">
        <v>6</v>
      </c>
      <c r="Y24" s="11">
        <v>0</v>
      </c>
    </row>
    <row r="25" spans="1:25" x14ac:dyDescent="0.25">
      <c r="A25" s="20" t="s">
        <v>1390</v>
      </c>
      <c r="B25" s="20" t="s">
        <v>1390</v>
      </c>
      <c r="C25" s="20" t="s">
        <v>1391</v>
      </c>
      <c r="D25" s="20" t="s">
        <v>216</v>
      </c>
      <c r="E25" s="13">
        <v>22767</v>
      </c>
      <c r="F25" s="11">
        <v>0</v>
      </c>
      <c r="G25" s="13">
        <v>1128</v>
      </c>
      <c r="H25" s="11">
        <v>0</v>
      </c>
      <c r="I25" s="13">
        <f>E25+G25</f>
        <v>23895</v>
      </c>
      <c r="J25" s="11">
        <f>F25+H25</f>
        <v>0</v>
      </c>
      <c r="K25" s="13">
        <v>4561</v>
      </c>
      <c r="L25" s="11">
        <v>0</v>
      </c>
      <c r="M25" s="11">
        <v>2</v>
      </c>
      <c r="N25" s="13">
        <v>0</v>
      </c>
      <c r="O25" s="11">
        <v>0</v>
      </c>
      <c r="P25" s="11">
        <v>2</v>
      </c>
      <c r="Q25" s="13">
        <f>K25+N25</f>
        <v>4561</v>
      </c>
      <c r="R25" s="11">
        <f>L25+O25</f>
        <v>0</v>
      </c>
      <c r="S25" s="11">
        <f>M25+P25</f>
        <v>4</v>
      </c>
      <c r="T25" s="8">
        <f>I25-Q25</f>
        <v>19334</v>
      </c>
      <c r="U25" s="18">
        <v>2.0194934685315791</v>
      </c>
      <c r="V25" s="11">
        <v>0.4</v>
      </c>
      <c r="W25" s="11">
        <v>4</v>
      </c>
      <c r="X25" s="11">
        <v>6</v>
      </c>
      <c r="Y25" s="11">
        <v>1</v>
      </c>
    </row>
    <row r="26" spans="1:25" x14ac:dyDescent="0.25">
      <c r="A26" s="20" t="s">
        <v>3281</v>
      </c>
      <c r="B26" s="20" t="s">
        <v>60</v>
      </c>
      <c r="C26" s="20" t="s">
        <v>3282</v>
      </c>
      <c r="D26" s="20" t="s">
        <v>216</v>
      </c>
      <c r="E26" s="13">
        <v>0</v>
      </c>
      <c r="F26" s="11">
        <v>0</v>
      </c>
      <c r="G26" s="13">
        <v>0</v>
      </c>
      <c r="H26" s="11">
        <v>0</v>
      </c>
      <c r="I26" s="13">
        <f>E26+G26</f>
        <v>0</v>
      </c>
      <c r="J26" s="11">
        <f>F26+H26</f>
        <v>0</v>
      </c>
      <c r="K26" s="13">
        <v>0</v>
      </c>
      <c r="L26" s="11">
        <v>0</v>
      </c>
      <c r="M26" s="11">
        <v>0</v>
      </c>
      <c r="N26" s="13">
        <v>0</v>
      </c>
      <c r="O26" s="11">
        <v>0</v>
      </c>
      <c r="P26" s="11">
        <v>0</v>
      </c>
      <c r="Q26" s="13">
        <f>K26+N26</f>
        <v>0</v>
      </c>
      <c r="R26" s="11">
        <f>L26+O26</f>
        <v>0</v>
      </c>
      <c r="S26" s="11">
        <f>M26+P26</f>
        <v>0</v>
      </c>
      <c r="T26" s="8">
        <f>I26-Q26</f>
        <v>0</v>
      </c>
      <c r="U26" s="18" t="s">
        <v>1803</v>
      </c>
      <c r="V26" s="11">
        <v>0</v>
      </c>
      <c r="W26" s="11">
        <v>0</v>
      </c>
      <c r="X26" s="11">
        <v>0</v>
      </c>
      <c r="Y26" s="11">
        <v>0</v>
      </c>
    </row>
    <row r="27" spans="1:25" x14ac:dyDescent="0.25">
      <c r="A27" s="20" t="s">
        <v>1392</v>
      </c>
      <c r="B27" s="20" t="s">
        <v>60</v>
      </c>
      <c r="C27" s="20" t="s">
        <v>1393</v>
      </c>
      <c r="D27" s="20" t="s">
        <v>216</v>
      </c>
      <c r="E27" s="13">
        <v>39874.910000000003</v>
      </c>
      <c r="F27" s="11">
        <v>0</v>
      </c>
      <c r="G27" s="13">
        <v>28900.87</v>
      </c>
      <c r="H27" s="11">
        <v>0</v>
      </c>
      <c r="I27" s="13">
        <f>E27+G27</f>
        <v>68775.78</v>
      </c>
      <c r="J27" s="11">
        <f>F27+H27</f>
        <v>0</v>
      </c>
      <c r="K27" s="13">
        <v>38344.93</v>
      </c>
      <c r="L27" s="11">
        <v>1</v>
      </c>
      <c r="M27" s="11">
        <v>7</v>
      </c>
      <c r="N27" s="13">
        <v>25010.6</v>
      </c>
      <c r="O27" s="11">
        <v>1</v>
      </c>
      <c r="P27" s="11">
        <v>1</v>
      </c>
      <c r="Q27" s="13">
        <f>K27+N27</f>
        <v>63355.53</v>
      </c>
      <c r="R27" s="11">
        <f>L27+O27</f>
        <v>2</v>
      </c>
      <c r="S27" s="11">
        <f>M27+P27</f>
        <v>8</v>
      </c>
      <c r="T27" s="8">
        <f>I27-Q27</f>
        <v>5420.25</v>
      </c>
      <c r="U27" s="18">
        <v>2.261094588940283E-2</v>
      </c>
      <c r="V27" s="11">
        <v>0.41</v>
      </c>
      <c r="W27" s="11">
        <v>7</v>
      </c>
      <c r="X27" s="11">
        <v>10</v>
      </c>
      <c r="Y27" s="11">
        <v>3</v>
      </c>
    </row>
    <row r="28" spans="1:25" x14ac:dyDescent="0.25">
      <c r="A28" s="20" t="s">
        <v>1400</v>
      </c>
      <c r="B28" s="20" t="s">
        <v>60</v>
      </c>
      <c r="C28" s="20" t="s">
        <v>1401</v>
      </c>
      <c r="D28" s="20" t="s">
        <v>216</v>
      </c>
      <c r="E28" s="13">
        <v>5847</v>
      </c>
      <c r="F28" s="11">
        <v>0</v>
      </c>
      <c r="G28" s="13">
        <v>0</v>
      </c>
      <c r="H28" s="11">
        <v>0</v>
      </c>
      <c r="I28" s="13">
        <f>E28+G28</f>
        <v>5847</v>
      </c>
      <c r="J28" s="11">
        <f>F28+H28</f>
        <v>0</v>
      </c>
      <c r="K28" s="13">
        <v>4581</v>
      </c>
      <c r="L28" s="11">
        <v>0</v>
      </c>
      <c r="M28" s="11">
        <v>0</v>
      </c>
      <c r="N28" s="13">
        <v>0</v>
      </c>
      <c r="O28" s="11">
        <v>0</v>
      </c>
      <c r="P28" s="11">
        <v>0</v>
      </c>
      <c r="Q28" s="13">
        <f>K28+N28</f>
        <v>4581</v>
      </c>
      <c r="R28" s="11">
        <f>L28+O28</f>
        <v>0</v>
      </c>
      <c r="S28" s="11">
        <f>M28+P28</f>
        <v>0</v>
      </c>
      <c r="T28" s="8">
        <f>I28-Q28</f>
        <v>1266</v>
      </c>
      <c r="U28" s="18">
        <v>2.9956859969289814E-2</v>
      </c>
      <c r="V28" s="11">
        <v>0</v>
      </c>
      <c r="W28" s="11">
        <v>0</v>
      </c>
      <c r="X28" s="11">
        <v>4</v>
      </c>
      <c r="Y28" s="11">
        <v>0</v>
      </c>
    </row>
    <row r="29" spans="1:25" x14ac:dyDescent="0.25">
      <c r="A29" s="20" t="s">
        <v>1402</v>
      </c>
      <c r="B29" s="20" t="s">
        <v>124</v>
      </c>
      <c r="C29" s="20" t="s">
        <v>1403</v>
      </c>
      <c r="D29" s="20" t="s">
        <v>216</v>
      </c>
      <c r="E29" s="13">
        <v>31656</v>
      </c>
      <c r="F29" s="11">
        <v>0</v>
      </c>
      <c r="G29" s="13">
        <v>1985</v>
      </c>
      <c r="H29" s="11">
        <v>0</v>
      </c>
      <c r="I29" s="13">
        <f>E29+G29</f>
        <v>33641</v>
      </c>
      <c r="J29" s="11">
        <f>F29+H29</f>
        <v>0</v>
      </c>
      <c r="K29" s="13">
        <v>30576</v>
      </c>
      <c r="L29" s="11">
        <v>0</v>
      </c>
      <c r="M29" s="11">
        <v>5</v>
      </c>
      <c r="N29" s="13">
        <v>1985</v>
      </c>
      <c r="O29" s="11">
        <v>1</v>
      </c>
      <c r="P29" s="11">
        <v>7</v>
      </c>
      <c r="Q29" s="13">
        <f>K29+N29</f>
        <v>32561</v>
      </c>
      <c r="R29" s="11">
        <f>L29+O29</f>
        <v>1</v>
      </c>
      <c r="S29" s="11">
        <f>M29+P29</f>
        <v>12</v>
      </c>
      <c r="T29" s="8">
        <f>I29-Q29</f>
        <v>1080</v>
      </c>
      <c r="U29" s="18">
        <v>0.47643298273810314</v>
      </c>
      <c r="V29" s="11">
        <v>0.37</v>
      </c>
      <c r="W29" s="11">
        <v>10</v>
      </c>
      <c r="X29" s="11">
        <v>17</v>
      </c>
      <c r="Y29" s="11">
        <v>2</v>
      </c>
    </row>
    <row r="30" spans="1:25" x14ac:dyDescent="0.25">
      <c r="A30" s="20" t="s">
        <v>1404</v>
      </c>
      <c r="B30" s="20" t="s">
        <v>83</v>
      </c>
      <c r="C30" s="20" t="s">
        <v>3649</v>
      </c>
      <c r="D30" s="20" t="s">
        <v>215</v>
      </c>
      <c r="E30" s="13">
        <v>-933.99</v>
      </c>
      <c r="F30" s="11">
        <v>0</v>
      </c>
      <c r="G30" s="13">
        <v>0</v>
      </c>
      <c r="H30" s="11">
        <v>0</v>
      </c>
      <c r="I30" s="13">
        <f>E30+G30</f>
        <v>-933.99</v>
      </c>
      <c r="J30" s="11">
        <f>F30+H30</f>
        <v>0</v>
      </c>
      <c r="K30" s="13">
        <v>6846</v>
      </c>
      <c r="L30" s="11">
        <v>0</v>
      </c>
      <c r="M30" s="11">
        <v>0</v>
      </c>
      <c r="N30" s="13">
        <v>41.1</v>
      </c>
      <c r="O30" s="11">
        <v>0</v>
      </c>
      <c r="P30" s="11">
        <v>1</v>
      </c>
      <c r="Q30" s="13">
        <f>K30+N30</f>
        <v>6887.1</v>
      </c>
      <c r="R30" s="11">
        <f>L30+O30</f>
        <v>0</v>
      </c>
      <c r="S30" s="11">
        <f>M30+P30</f>
        <v>1</v>
      </c>
      <c r="T30" s="8">
        <f>I30-Q30</f>
        <v>-7821.09</v>
      </c>
      <c r="U30" s="18" t="s">
        <v>1803</v>
      </c>
      <c r="V30" s="11">
        <v>0.18</v>
      </c>
      <c r="W30" s="11">
        <v>2</v>
      </c>
      <c r="X30" s="11">
        <v>9</v>
      </c>
      <c r="Y30" s="11">
        <v>3</v>
      </c>
    </row>
    <row r="31" spans="1:25" x14ac:dyDescent="0.25">
      <c r="A31" s="20" t="s">
        <v>1405</v>
      </c>
      <c r="B31" s="20" t="s">
        <v>77</v>
      </c>
      <c r="C31" s="20" t="s">
        <v>1381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-2701.59</v>
      </c>
      <c r="L31" s="11">
        <v>0</v>
      </c>
      <c r="M31" s="11">
        <v>1</v>
      </c>
      <c r="N31" s="13">
        <v>0</v>
      </c>
      <c r="O31" s="11">
        <v>0</v>
      </c>
      <c r="P31" s="11">
        <v>0</v>
      </c>
      <c r="Q31" s="13">
        <f>K31+N31</f>
        <v>-2701.59</v>
      </c>
      <c r="R31" s="11">
        <f>L31+O31</f>
        <v>0</v>
      </c>
      <c r="S31" s="11">
        <f>M31+P31</f>
        <v>1</v>
      </c>
      <c r="T31" s="8">
        <f>I31-Q31</f>
        <v>2701.59</v>
      </c>
      <c r="U31" s="18">
        <v>0.4383655512037421</v>
      </c>
      <c r="V31" s="11">
        <v>0</v>
      </c>
      <c r="W31" s="11">
        <v>1</v>
      </c>
      <c r="Y31" s="11">
        <v>0</v>
      </c>
    </row>
    <row r="32" spans="1:25" x14ac:dyDescent="0.25">
      <c r="A32" s="20" t="s">
        <v>1407</v>
      </c>
      <c r="B32" s="20" t="s">
        <v>77</v>
      </c>
      <c r="C32" s="20" t="s">
        <v>1352</v>
      </c>
      <c r="D32" s="20" t="s">
        <v>216</v>
      </c>
      <c r="E32" s="13">
        <v>85576.09</v>
      </c>
      <c r="F32" s="11">
        <v>1</v>
      </c>
      <c r="G32" s="13">
        <v>12110</v>
      </c>
      <c r="H32" s="11">
        <v>0</v>
      </c>
      <c r="I32" s="13">
        <f>E32+G32</f>
        <v>97686.09</v>
      </c>
      <c r="J32" s="11">
        <f>F32+H32</f>
        <v>1</v>
      </c>
      <c r="K32" s="13">
        <v>73743.98</v>
      </c>
      <c r="L32" s="11">
        <v>0</v>
      </c>
      <c r="M32" s="11">
        <v>3</v>
      </c>
      <c r="N32" s="13">
        <v>-929.39</v>
      </c>
      <c r="O32" s="11">
        <v>0</v>
      </c>
      <c r="P32" s="11">
        <v>3</v>
      </c>
      <c r="Q32" s="13">
        <f>K32+N32</f>
        <v>72814.59</v>
      </c>
      <c r="R32" s="11">
        <f>L32+O32</f>
        <v>0</v>
      </c>
      <c r="S32" s="11">
        <f>M32+P32</f>
        <v>6</v>
      </c>
      <c r="T32" s="8">
        <f>I32-Q32</f>
        <v>24871.5</v>
      </c>
      <c r="U32" s="18">
        <v>0.20348445208436974</v>
      </c>
      <c r="V32" s="11">
        <v>0.47</v>
      </c>
      <c r="W32" s="11">
        <v>7</v>
      </c>
      <c r="X32" s="11">
        <v>8</v>
      </c>
      <c r="Y32" s="11">
        <v>1</v>
      </c>
    </row>
    <row r="33" spans="1:25" x14ac:dyDescent="0.25">
      <c r="A33" s="20" t="s">
        <v>1409</v>
      </c>
      <c r="B33" s="20" t="s">
        <v>1390</v>
      </c>
      <c r="C33" s="20" t="s">
        <v>3423</v>
      </c>
      <c r="D33" s="20" t="s">
        <v>215</v>
      </c>
      <c r="E33" s="13">
        <v>0</v>
      </c>
      <c r="F33" s="11">
        <v>0</v>
      </c>
      <c r="G33" s="13">
        <v>0</v>
      </c>
      <c r="H33" s="11">
        <v>0</v>
      </c>
      <c r="I33" s="13">
        <f>E33+G33</f>
        <v>0</v>
      </c>
      <c r="J33" s="11">
        <f>F33+H33</f>
        <v>0</v>
      </c>
      <c r="K33" s="13">
        <v>14396</v>
      </c>
      <c r="L33" s="11">
        <v>0</v>
      </c>
      <c r="M33" s="11">
        <v>0</v>
      </c>
      <c r="N33" s="13">
        <v>0</v>
      </c>
      <c r="O33" s="11">
        <v>0</v>
      </c>
      <c r="P33" s="11">
        <v>0</v>
      </c>
      <c r="Q33" s="13">
        <f>K33+N33</f>
        <v>14396</v>
      </c>
      <c r="R33" s="11">
        <f>L33+O33</f>
        <v>0</v>
      </c>
      <c r="S33" s="11">
        <f>M33+P33</f>
        <v>0</v>
      </c>
      <c r="T33" s="8">
        <f>I33-Q33</f>
        <v>-14396</v>
      </c>
      <c r="U33" s="18" t="s">
        <v>1803</v>
      </c>
      <c r="V33" s="11">
        <v>0</v>
      </c>
      <c r="W33" s="11">
        <v>0</v>
      </c>
      <c r="X33" s="11">
        <v>0</v>
      </c>
      <c r="Y33" s="11">
        <v>0</v>
      </c>
    </row>
    <row r="34" spans="1:25" x14ac:dyDescent="0.25">
      <c r="A34" s="20" t="s">
        <v>507</v>
      </c>
      <c r="B34" s="20" t="s">
        <v>3183</v>
      </c>
      <c r="C34" s="20" t="s">
        <v>3184</v>
      </c>
      <c r="D34" s="20" t="s">
        <v>216</v>
      </c>
      <c r="E34" s="13">
        <v>1049</v>
      </c>
      <c r="F34" s="11">
        <v>0</v>
      </c>
      <c r="G34" s="13">
        <v>0</v>
      </c>
      <c r="H34" s="11">
        <v>0</v>
      </c>
      <c r="I34" s="13">
        <f>E34+G34</f>
        <v>1049</v>
      </c>
      <c r="J34" s="11">
        <f>F34+H34</f>
        <v>0</v>
      </c>
      <c r="K34" s="13">
        <v>999</v>
      </c>
      <c r="L34" s="11">
        <v>0</v>
      </c>
      <c r="M34" s="11">
        <v>1</v>
      </c>
      <c r="N34" s="13">
        <v>0</v>
      </c>
      <c r="O34" s="11">
        <v>0</v>
      </c>
      <c r="P34" s="11">
        <v>1</v>
      </c>
      <c r="Q34" s="13">
        <f>K34+N34</f>
        <v>999</v>
      </c>
      <c r="R34" s="11">
        <f>L34+O34</f>
        <v>0</v>
      </c>
      <c r="S34" s="11">
        <f>M34+P34</f>
        <v>2</v>
      </c>
      <c r="T34" s="8">
        <f>I34-Q34</f>
        <v>50</v>
      </c>
      <c r="U34" s="18">
        <v>1.4340027976101975E-2</v>
      </c>
      <c r="V34" s="11">
        <v>0.28999999999999998</v>
      </c>
      <c r="W34" s="11">
        <v>2</v>
      </c>
      <c r="X34" s="11">
        <v>5</v>
      </c>
      <c r="Y34" s="11">
        <v>2</v>
      </c>
    </row>
    <row r="35" spans="1:25" x14ac:dyDescent="0.25">
      <c r="A35" s="20" t="s">
        <v>1410</v>
      </c>
      <c r="B35" s="20" t="s">
        <v>1410</v>
      </c>
      <c r="C35" s="20" t="s">
        <v>1411</v>
      </c>
      <c r="D35" s="20" t="s">
        <v>215</v>
      </c>
      <c r="E35" s="13">
        <v>0</v>
      </c>
      <c r="F35" s="11">
        <v>0</v>
      </c>
      <c r="G35" s="13">
        <v>0</v>
      </c>
      <c r="H35" s="11">
        <v>0</v>
      </c>
      <c r="I35" s="13">
        <f>E35+G35</f>
        <v>0</v>
      </c>
      <c r="J35" s="11">
        <f>F35+H35</f>
        <v>0</v>
      </c>
      <c r="K35" s="13">
        <v>4275</v>
      </c>
      <c r="L35" s="11">
        <v>0</v>
      </c>
      <c r="M35" s="11">
        <v>0</v>
      </c>
      <c r="N35" s="13">
        <v>0</v>
      </c>
      <c r="O35" s="11">
        <v>0</v>
      </c>
      <c r="P35" s="11">
        <v>0</v>
      </c>
      <c r="Q35" s="13">
        <f>K35+N35</f>
        <v>4275</v>
      </c>
      <c r="R35" s="11">
        <f>L35+O35</f>
        <v>0</v>
      </c>
      <c r="S35" s="11">
        <f>M35+P35</f>
        <v>0</v>
      </c>
      <c r="T35" s="8">
        <f>I35-Q35</f>
        <v>-4275</v>
      </c>
      <c r="U35" s="18">
        <v>-1.1775756374625494E-2</v>
      </c>
      <c r="V35" s="11">
        <v>0</v>
      </c>
      <c r="W35" s="11">
        <v>0</v>
      </c>
      <c r="X35" s="11">
        <v>2</v>
      </c>
      <c r="Y35" s="11">
        <v>2</v>
      </c>
    </row>
    <row r="36" spans="1:25" x14ac:dyDescent="0.25">
      <c r="A36" s="20" t="s">
        <v>1413</v>
      </c>
      <c r="B36" s="20" t="s">
        <v>1410</v>
      </c>
      <c r="C36" s="20" t="s">
        <v>1414</v>
      </c>
      <c r="D36" s="20" t="s">
        <v>216</v>
      </c>
      <c r="E36" s="13">
        <v>0</v>
      </c>
      <c r="F36" s="11">
        <v>0</v>
      </c>
      <c r="G36" s="13">
        <v>0</v>
      </c>
      <c r="H36" s="11">
        <v>0</v>
      </c>
      <c r="I36" s="13">
        <f>E36+G36</f>
        <v>0</v>
      </c>
      <c r="J36" s="11">
        <f>F36+H36</f>
        <v>0</v>
      </c>
      <c r="K36" s="13">
        <v>0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0</v>
      </c>
      <c r="R36" s="11">
        <f>L36+O36</f>
        <v>0</v>
      </c>
      <c r="S36" s="11">
        <f>M36+P36</f>
        <v>0</v>
      </c>
      <c r="T36" s="8">
        <f>I36-Q36</f>
        <v>0</v>
      </c>
      <c r="U36" s="18" t="s">
        <v>1803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1415</v>
      </c>
      <c r="B37" s="20" t="s">
        <v>77</v>
      </c>
      <c r="C37" s="20" t="s">
        <v>1349</v>
      </c>
      <c r="D37" s="20" t="s">
        <v>215</v>
      </c>
      <c r="E37" s="13">
        <v>49362</v>
      </c>
      <c r="F37" s="11">
        <v>1</v>
      </c>
      <c r="G37" s="13">
        <v>6030.25</v>
      </c>
      <c r="H37" s="11">
        <v>0</v>
      </c>
      <c r="I37" s="13">
        <f>E37+G37</f>
        <v>55392.25</v>
      </c>
      <c r="J37" s="11">
        <f>F37+H37</f>
        <v>1</v>
      </c>
      <c r="K37" s="13">
        <v>56565</v>
      </c>
      <c r="L37" s="11">
        <v>1</v>
      </c>
      <c r="M37" s="11">
        <v>4</v>
      </c>
      <c r="N37" s="13">
        <v>11395</v>
      </c>
      <c r="O37" s="11">
        <v>0</v>
      </c>
      <c r="P37" s="11">
        <v>0</v>
      </c>
      <c r="Q37" s="13">
        <f>K37+N37</f>
        <v>67960</v>
      </c>
      <c r="R37" s="11">
        <f>L37+O37</f>
        <v>1</v>
      </c>
      <c r="S37" s="11">
        <f>M37+P37</f>
        <v>4</v>
      </c>
      <c r="T37" s="8">
        <f>I37-Q37</f>
        <v>-12567.75</v>
      </c>
      <c r="U37" s="18" t="s">
        <v>1803</v>
      </c>
      <c r="V37" s="11">
        <v>0.31</v>
      </c>
      <c r="W37" s="11">
        <v>4</v>
      </c>
      <c r="X37" s="11">
        <v>9</v>
      </c>
      <c r="Y37" s="11">
        <v>1</v>
      </c>
    </row>
    <row r="38" spans="1:25" x14ac:dyDescent="0.25">
      <c r="A38" s="20" t="s">
        <v>1416</v>
      </c>
      <c r="B38" s="20" t="s">
        <v>60</v>
      </c>
      <c r="C38" s="20" t="s">
        <v>1417</v>
      </c>
      <c r="D38" s="20" t="s">
        <v>216</v>
      </c>
      <c r="E38" s="13">
        <v>0</v>
      </c>
      <c r="F38" s="11">
        <v>0</v>
      </c>
      <c r="G38" s="13">
        <v>3217</v>
      </c>
      <c r="H38" s="11">
        <v>1</v>
      </c>
      <c r="I38" s="13">
        <f>E38+G38</f>
        <v>3217</v>
      </c>
      <c r="J38" s="11">
        <f>F38+H38</f>
        <v>1</v>
      </c>
      <c r="K38" s="13">
        <v>-7226.72</v>
      </c>
      <c r="L38" s="11">
        <v>0</v>
      </c>
      <c r="M38" s="11">
        <v>2</v>
      </c>
      <c r="N38" s="13">
        <v>0</v>
      </c>
      <c r="O38" s="11">
        <v>0</v>
      </c>
      <c r="P38" s="11">
        <v>2</v>
      </c>
      <c r="Q38" s="13">
        <f>K38+N38</f>
        <v>-7226.72</v>
      </c>
      <c r="R38" s="11">
        <f>L38+O38</f>
        <v>0</v>
      </c>
      <c r="S38" s="11">
        <f>M38+P38</f>
        <v>4</v>
      </c>
      <c r="T38" s="8">
        <f>I38-Q38</f>
        <v>10443.720000000001</v>
      </c>
      <c r="U38" s="18">
        <v>0.18230385334148488</v>
      </c>
      <c r="V38" s="11">
        <v>0.28000000000000003</v>
      </c>
      <c r="W38" s="11">
        <v>5</v>
      </c>
      <c r="X38" s="11">
        <v>13</v>
      </c>
      <c r="Y38" s="11">
        <v>0</v>
      </c>
    </row>
    <row r="39" spans="1:25" x14ac:dyDescent="0.25">
      <c r="A39" s="20" t="s">
        <v>1418</v>
      </c>
      <c r="B39" s="20" t="s">
        <v>91</v>
      </c>
      <c r="C39" s="20" t="s">
        <v>1379</v>
      </c>
      <c r="D39" s="20" t="s">
        <v>216</v>
      </c>
      <c r="E39" s="13">
        <v>5883</v>
      </c>
      <c r="F39" s="11">
        <v>0</v>
      </c>
      <c r="G39" s="13">
        <v>991</v>
      </c>
      <c r="H39" s="11">
        <v>0</v>
      </c>
      <c r="I39" s="13">
        <f>E39+G39</f>
        <v>6874</v>
      </c>
      <c r="J39" s="11">
        <f>F39+H39</f>
        <v>0</v>
      </c>
      <c r="K39" s="13">
        <v>5141</v>
      </c>
      <c r="L39" s="11">
        <v>0</v>
      </c>
      <c r="M39" s="11">
        <v>0</v>
      </c>
      <c r="N39" s="13">
        <v>967</v>
      </c>
      <c r="O39" s="11">
        <v>0</v>
      </c>
      <c r="P39" s="11">
        <v>1</v>
      </c>
      <c r="Q39" s="13">
        <f>K39+N39</f>
        <v>6108</v>
      </c>
      <c r="R39" s="11">
        <f>L39+O39</f>
        <v>0</v>
      </c>
      <c r="S39" s="11">
        <f>M39+P39</f>
        <v>1</v>
      </c>
      <c r="T39" s="8">
        <f>I39-Q39</f>
        <v>766</v>
      </c>
      <c r="U39" s="18">
        <v>0.59158745826446246</v>
      </c>
      <c r="V39" s="11">
        <v>0.1</v>
      </c>
      <c r="W39" s="11">
        <v>1</v>
      </c>
      <c r="X39" s="11">
        <v>9</v>
      </c>
      <c r="Y39" s="11">
        <v>0</v>
      </c>
    </row>
    <row r="40" spans="1:25" x14ac:dyDescent="0.25">
      <c r="A40" s="20" t="s">
        <v>1419</v>
      </c>
      <c r="B40" s="20" t="s">
        <v>519</v>
      </c>
      <c r="C40" s="20" t="s">
        <v>221</v>
      </c>
      <c r="D40" s="20" t="s">
        <v>216</v>
      </c>
      <c r="E40" s="13">
        <v>46534</v>
      </c>
      <c r="F40" s="11">
        <v>1</v>
      </c>
      <c r="G40" s="13">
        <v>47206.79</v>
      </c>
      <c r="H40" s="11">
        <v>0</v>
      </c>
      <c r="I40" s="13">
        <f>E40+G40</f>
        <v>93740.790000000008</v>
      </c>
      <c r="J40" s="11">
        <f>F40+H40</f>
        <v>1</v>
      </c>
      <c r="K40" s="13">
        <v>36115</v>
      </c>
      <c r="L40" s="11">
        <v>0</v>
      </c>
      <c r="M40" s="11">
        <v>3</v>
      </c>
      <c r="N40" s="13">
        <v>49964</v>
      </c>
      <c r="O40" s="11">
        <v>1</v>
      </c>
      <c r="P40" s="11">
        <v>2</v>
      </c>
      <c r="Q40" s="13">
        <f>K40+N40</f>
        <v>86079</v>
      </c>
      <c r="R40" s="11">
        <f>L40+O40</f>
        <v>1</v>
      </c>
      <c r="S40" s="11">
        <f>M40+P40</f>
        <v>5</v>
      </c>
      <c r="T40" s="8">
        <f>I40-Q40</f>
        <v>7661.7900000000081</v>
      </c>
      <c r="U40" s="18">
        <v>0.17365258892667551</v>
      </c>
      <c r="V40" s="11">
        <v>0.36</v>
      </c>
      <c r="W40" s="11">
        <v>5</v>
      </c>
      <c r="X40" s="11">
        <v>9</v>
      </c>
      <c r="Y40" s="11">
        <v>1</v>
      </c>
    </row>
    <row r="41" spans="1:25" x14ac:dyDescent="0.25">
      <c r="A41" s="20" t="s">
        <v>1420</v>
      </c>
      <c r="B41" s="20" t="s">
        <v>81</v>
      </c>
      <c r="C41" s="20" t="s">
        <v>171</v>
      </c>
      <c r="D41" s="20" t="s">
        <v>216</v>
      </c>
      <c r="E41" s="13">
        <v>4974</v>
      </c>
      <c r="F41" s="11">
        <v>0</v>
      </c>
      <c r="G41" s="13">
        <v>4142.5</v>
      </c>
      <c r="H41" s="11">
        <v>0</v>
      </c>
      <c r="I41" s="13">
        <f>E41+G41</f>
        <v>9116.5</v>
      </c>
      <c r="J41" s="11">
        <f>F41+H41</f>
        <v>0</v>
      </c>
      <c r="K41" s="13">
        <v>9166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9166</v>
      </c>
      <c r="R41" s="11">
        <f>L41+O41</f>
        <v>0</v>
      </c>
      <c r="S41" s="11">
        <f>M41+P41</f>
        <v>0</v>
      </c>
      <c r="T41" s="8">
        <f>I41-Q41</f>
        <v>-49.5</v>
      </c>
      <c r="U41" s="18">
        <v>-3.7237453949867154E-2</v>
      </c>
      <c r="V41" s="11">
        <v>0</v>
      </c>
      <c r="W41" s="11">
        <v>0</v>
      </c>
      <c r="X41" s="11">
        <v>0</v>
      </c>
      <c r="Y41" s="11">
        <v>0</v>
      </c>
    </row>
    <row r="42" spans="1:25" x14ac:dyDescent="0.25">
      <c r="A42" s="20" t="s">
        <v>1422</v>
      </c>
      <c r="B42" s="20" t="s">
        <v>1422</v>
      </c>
      <c r="C42" s="20" t="s">
        <v>1423</v>
      </c>
      <c r="D42" s="20" t="s">
        <v>216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2011.59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2011.59</v>
      </c>
      <c r="R42" s="11">
        <f>L42+O42</f>
        <v>0</v>
      </c>
      <c r="S42" s="11">
        <f>M42+P42</f>
        <v>0</v>
      </c>
      <c r="T42" s="8">
        <f>I42-Q42</f>
        <v>-2011.59</v>
      </c>
      <c r="U42" s="18">
        <v>7.0642101206082039E-2</v>
      </c>
      <c r="V42" s="11">
        <v>0</v>
      </c>
      <c r="W42" s="11">
        <v>0</v>
      </c>
      <c r="X42" s="11">
        <v>0</v>
      </c>
      <c r="Y42" s="11">
        <v>0</v>
      </c>
    </row>
    <row r="43" spans="1:25" x14ac:dyDescent="0.25">
      <c r="A43" s="20" t="s">
        <v>1396</v>
      </c>
      <c r="B43" s="20" t="s">
        <v>1396</v>
      </c>
      <c r="C43" s="20" t="s">
        <v>1397</v>
      </c>
      <c r="D43" s="20" t="s">
        <v>216</v>
      </c>
      <c r="E43" s="13">
        <v>21420</v>
      </c>
      <c r="F43" s="11">
        <v>0</v>
      </c>
      <c r="G43" s="13">
        <v>156.52000000000001</v>
      </c>
      <c r="H43" s="11">
        <v>0</v>
      </c>
      <c r="I43" s="13">
        <f>E43+G43</f>
        <v>21576.52</v>
      </c>
      <c r="J43" s="11">
        <f>F43+H43</f>
        <v>0</v>
      </c>
      <c r="K43" s="13">
        <v>15674</v>
      </c>
      <c r="L43" s="11">
        <v>1</v>
      </c>
      <c r="M43" s="11">
        <v>1</v>
      </c>
      <c r="N43" s="13">
        <v>0</v>
      </c>
      <c r="O43" s="11">
        <v>0</v>
      </c>
      <c r="P43" s="11">
        <v>3</v>
      </c>
      <c r="Q43" s="13">
        <f>K43+N43</f>
        <v>15674</v>
      </c>
      <c r="R43" s="11">
        <f>L43+O43</f>
        <v>1</v>
      </c>
      <c r="S43" s="11">
        <f>M43+P43</f>
        <v>4</v>
      </c>
      <c r="T43" s="8">
        <f>I43-Q43</f>
        <v>5902.52</v>
      </c>
      <c r="U43" s="18">
        <v>0.13119565654395673</v>
      </c>
      <c r="V43" s="11">
        <v>0.21</v>
      </c>
      <c r="W43" s="11">
        <v>3</v>
      </c>
      <c r="X43" s="11">
        <v>11</v>
      </c>
      <c r="Y43" s="11">
        <v>0</v>
      </c>
    </row>
    <row r="44" spans="1:25" x14ac:dyDescent="0.25">
      <c r="A44" s="20" t="s">
        <v>1428</v>
      </c>
      <c r="B44" s="20" t="s">
        <v>60</v>
      </c>
      <c r="C44" s="20" t="s">
        <v>221</v>
      </c>
      <c r="D44" s="20" t="s">
        <v>216</v>
      </c>
      <c r="E44" s="13">
        <v>0</v>
      </c>
      <c r="F44" s="11">
        <v>0</v>
      </c>
      <c r="G44" s="13">
        <v>19779</v>
      </c>
      <c r="H44" s="11">
        <v>0</v>
      </c>
      <c r="I44" s="13">
        <f>E44+G44</f>
        <v>19779</v>
      </c>
      <c r="J44" s="11">
        <f>F44+H44</f>
        <v>0</v>
      </c>
      <c r="K44" s="13">
        <v>0</v>
      </c>
      <c r="L44" s="11">
        <v>0</v>
      </c>
      <c r="M44" s="11">
        <v>0</v>
      </c>
      <c r="N44" s="13">
        <v>19456</v>
      </c>
      <c r="O44" s="11">
        <v>1</v>
      </c>
      <c r="P44" s="11">
        <v>1</v>
      </c>
      <c r="Q44" s="13">
        <f>K44+N44</f>
        <v>19456</v>
      </c>
      <c r="R44" s="11">
        <f>L44+O44</f>
        <v>1</v>
      </c>
      <c r="S44" s="11">
        <f>M44+P44</f>
        <v>1</v>
      </c>
      <c r="T44" s="8">
        <f>I44-Q44</f>
        <v>323</v>
      </c>
      <c r="U44" s="18">
        <v>5.3575847082065996E-2</v>
      </c>
      <c r="V44" s="11">
        <v>0</v>
      </c>
      <c r="W44" s="11">
        <v>0</v>
      </c>
      <c r="X44" s="11">
        <v>0</v>
      </c>
      <c r="Y44" s="11">
        <v>0</v>
      </c>
    </row>
    <row r="45" spans="1:25" x14ac:dyDescent="0.25">
      <c r="A45" s="20" t="s">
        <v>2991</v>
      </c>
      <c r="B45" s="20" t="s">
        <v>60</v>
      </c>
      <c r="C45" s="20" t="s">
        <v>2992</v>
      </c>
      <c r="D45" s="20" t="s">
        <v>216</v>
      </c>
      <c r="E45" s="13">
        <v>0</v>
      </c>
      <c r="F45" s="11">
        <v>0</v>
      </c>
      <c r="G45" s="13">
        <v>2614</v>
      </c>
      <c r="H45" s="11">
        <v>0</v>
      </c>
      <c r="I45" s="13">
        <f>E45+G45</f>
        <v>2614</v>
      </c>
      <c r="J45" s="11">
        <f>F45+H45</f>
        <v>0</v>
      </c>
      <c r="K45" s="13">
        <v>0</v>
      </c>
      <c r="L45" s="11">
        <v>0</v>
      </c>
      <c r="M45" s="11">
        <v>2</v>
      </c>
      <c r="N45" s="13">
        <v>0</v>
      </c>
      <c r="O45" s="11">
        <v>0</v>
      </c>
      <c r="P45" s="11">
        <v>2</v>
      </c>
      <c r="Q45" s="13">
        <f>K45+N45</f>
        <v>0</v>
      </c>
      <c r="R45" s="11">
        <f>L45+O45</f>
        <v>0</v>
      </c>
      <c r="S45" s="11">
        <f>M45+P45</f>
        <v>4</v>
      </c>
      <c r="T45" s="8">
        <f>I45-Q45</f>
        <v>2614</v>
      </c>
      <c r="U45" s="18">
        <v>0.10096348221466719</v>
      </c>
      <c r="V45" s="11">
        <v>0.33</v>
      </c>
      <c r="W45" s="11">
        <v>4</v>
      </c>
      <c r="X45" s="11">
        <v>8</v>
      </c>
      <c r="Y45" s="11">
        <v>0</v>
      </c>
    </row>
    <row r="46" spans="1:25" x14ac:dyDescent="0.25">
      <c r="A46" s="20" t="s">
        <v>3054</v>
      </c>
      <c r="B46" s="20" t="s">
        <v>949</v>
      </c>
      <c r="C46" s="20" t="s">
        <v>3055</v>
      </c>
      <c r="D46" s="20" t="s">
        <v>216</v>
      </c>
      <c r="E46" s="13">
        <v>51829.26</v>
      </c>
      <c r="F46" s="11">
        <v>0</v>
      </c>
      <c r="G46" s="13">
        <v>25252.58</v>
      </c>
      <c r="H46" s="11">
        <v>0</v>
      </c>
      <c r="I46" s="13">
        <f>E46+G46</f>
        <v>77081.84</v>
      </c>
      <c r="J46" s="11">
        <f>F46+H46</f>
        <v>0</v>
      </c>
      <c r="K46" s="13">
        <v>34962</v>
      </c>
      <c r="L46" s="11">
        <v>2</v>
      </c>
      <c r="M46" s="11">
        <v>10</v>
      </c>
      <c r="N46" s="13">
        <v>35472.5</v>
      </c>
      <c r="O46" s="11">
        <v>2</v>
      </c>
      <c r="P46" s="11">
        <v>7</v>
      </c>
      <c r="Q46" s="13">
        <f>K46+N46</f>
        <v>70434.5</v>
      </c>
      <c r="R46" s="11">
        <f>L46+O46</f>
        <v>4</v>
      </c>
      <c r="S46" s="11">
        <f>M46+P46</f>
        <v>17</v>
      </c>
      <c r="T46" s="8">
        <f>I46-Q46</f>
        <v>6647.3399999999965</v>
      </c>
      <c r="U46" s="18">
        <v>7.9429598690239342E-2</v>
      </c>
      <c r="V46" s="11">
        <v>0.39</v>
      </c>
      <c r="W46" s="11">
        <v>13</v>
      </c>
      <c r="X46" s="11">
        <v>20</v>
      </c>
      <c r="Y46" s="11">
        <v>2</v>
      </c>
    </row>
    <row r="47" spans="1:25" x14ac:dyDescent="0.25">
      <c r="A47" s="20" t="s">
        <v>3107</v>
      </c>
      <c r="B47" s="20" t="s">
        <v>58</v>
      </c>
      <c r="C47" s="20" t="s">
        <v>3108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0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0</v>
      </c>
      <c r="R47" s="11">
        <f>L47+O47</f>
        <v>0</v>
      </c>
      <c r="S47" s="11">
        <f>M47+P47</f>
        <v>0</v>
      </c>
      <c r="T47" s="8">
        <f>I47-Q47</f>
        <v>0</v>
      </c>
      <c r="U47" s="18">
        <v>6.0310562767621478E-2</v>
      </c>
      <c r="V47" s="11">
        <v>0</v>
      </c>
      <c r="W47" s="11">
        <v>0</v>
      </c>
      <c r="X47" s="11">
        <v>0</v>
      </c>
      <c r="Y47" s="11">
        <v>0</v>
      </c>
    </row>
    <row r="48" spans="1:25" x14ac:dyDescent="0.25">
      <c r="A48" s="20" t="s">
        <v>3132</v>
      </c>
      <c r="B48" s="20" t="s">
        <v>257</v>
      </c>
      <c r="C48" s="20" t="s">
        <v>3133</v>
      </c>
      <c r="D48" s="20" t="s">
        <v>216</v>
      </c>
      <c r="E48" s="13">
        <v>0</v>
      </c>
      <c r="F48" s="11">
        <v>0</v>
      </c>
      <c r="G48" s="13">
        <v>9403.25</v>
      </c>
      <c r="H48" s="11">
        <v>0</v>
      </c>
      <c r="I48" s="13">
        <f>E48+G48</f>
        <v>9403.25</v>
      </c>
      <c r="J48" s="11">
        <f>F48+H48</f>
        <v>0</v>
      </c>
      <c r="K48" s="13">
        <v>0</v>
      </c>
      <c r="L48" s="11">
        <v>0</v>
      </c>
      <c r="M48" s="11">
        <v>1</v>
      </c>
      <c r="N48" s="13">
        <v>8915</v>
      </c>
      <c r="O48" s="11">
        <v>0</v>
      </c>
      <c r="P48" s="11">
        <v>0</v>
      </c>
      <c r="Q48" s="13">
        <f>K48+N48</f>
        <v>8915</v>
      </c>
      <c r="R48" s="11">
        <f>L48+O48</f>
        <v>0</v>
      </c>
      <c r="S48" s="11">
        <f>M48+P48</f>
        <v>1</v>
      </c>
      <c r="T48" s="8">
        <f>I48-Q48</f>
        <v>488.25</v>
      </c>
      <c r="U48" s="18">
        <v>3.9906619914825206E-2</v>
      </c>
      <c r="V48" s="11">
        <v>0.33</v>
      </c>
      <c r="W48" s="11">
        <v>1</v>
      </c>
      <c r="X48" s="11">
        <v>2</v>
      </c>
      <c r="Y48" s="11">
        <v>0</v>
      </c>
    </row>
    <row r="49" spans="1:25" x14ac:dyDescent="0.25">
      <c r="A49" s="20" t="s">
        <v>3145</v>
      </c>
      <c r="B49" s="20" t="s">
        <v>60</v>
      </c>
      <c r="C49" s="20" t="s">
        <v>3387</v>
      </c>
      <c r="D49" s="20" t="s">
        <v>216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-1719.09</v>
      </c>
      <c r="L49" s="11">
        <v>0</v>
      </c>
      <c r="M49" s="11">
        <v>1</v>
      </c>
      <c r="N49" s="13">
        <v>0</v>
      </c>
      <c r="O49" s="11">
        <v>0</v>
      </c>
      <c r="P49" s="11">
        <v>0</v>
      </c>
      <c r="Q49" s="13">
        <f>K49+N49</f>
        <v>-1719.09</v>
      </c>
      <c r="R49" s="11">
        <f>L49+O49</f>
        <v>0</v>
      </c>
      <c r="S49" s="11">
        <f>M49+P49</f>
        <v>1</v>
      </c>
      <c r="T49" s="8">
        <f>I49-Q49</f>
        <v>1719.09</v>
      </c>
      <c r="U49" s="18">
        <v>6.3127695979396353E-2</v>
      </c>
      <c r="V49" s="11">
        <v>0.25</v>
      </c>
      <c r="W49" s="11">
        <v>1</v>
      </c>
      <c r="X49" s="11">
        <v>3</v>
      </c>
      <c r="Y49" s="11">
        <v>0</v>
      </c>
    </row>
    <row r="50" spans="1:25" x14ac:dyDescent="0.25">
      <c r="A50" s="20" t="s">
        <v>3146</v>
      </c>
      <c r="B50" s="20" t="s">
        <v>949</v>
      </c>
      <c r="C50" s="20" t="s">
        <v>3055</v>
      </c>
      <c r="D50" s="20" t="s">
        <v>215</v>
      </c>
      <c r="E50" s="13">
        <v>1294</v>
      </c>
      <c r="F50" s="11">
        <v>0</v>
      </c>
      <c r="G50" s="13">
        <v>0</v>
      </c>
      <c r="H50" s="11">
        <v>0</v>
      </c>
      <c r="I50" s="13">
        <f>E50+G50</f>
        <v>1294</v>
      </c>
      <c r="J50" s="11">
        <f>F50+H50</f>
        <v>0</v>
      </c>
      <c r="K50" s="13">
        <v>1294</v>
      </c>
      <c r="L50" s="11">
        <v>0</v>
      </c>
      <c r="M50" s="11">
        <v>0</v>
      </c>
      <c r="N50" s="13">
        <v>-621.70000000000005</v>
      </c>
      <c r="O50" s="11">
        <v>0</v>
      </c>
      <c r="P50" s="11">
        <v>0</v>
      </c>
      <c r="Q50" s="13">
        <f>K50+N50</f>
        <v>672.3</v>
      </c>
      <c r="R50" s="11">
        <f>L50+O50</f>
        <v>0</v>
      </c>
      <c r="S50" s="11">
        <f>M50+P50</f>
        <v>0</v>
      </c>
      <c r="T50" s="8">
        <f>I50-Q50</f>
        <v>621.70000000000005</v>
      </c>
      <c r="U50" s="18" t="s">
        <v>1803</v>
      </c>
      <c r="V50" s="11">
        <v>0</v>
      </c>
      <c r="W50" s="11">
        <v>0</v>
      </c>
      <c r="X50" s="11">
        <v>0</v>
      </c>
      <c r="Y50" s="11">
        <v>0</v>
      </c>
    </row>
    <row r="51" spans="1:25" x14ac:dyDescent="0.25">
      <c r="A51" s="20" t="s">
        <v>3183</v>
      </c>
      <c r="B51" s="20" t="s">
        <v>3183</v>
      </c>
      <c r="C51" s="20" t="s">
        <v>3184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0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0</v>
      </c>
      <c r="T51" s="8">
        <f>I51-Q51</f>
        <v>0</v>
      </c>
      <c r="U51" s="18" t="s">
        <v>1803</v>
      </c>
      <c r="V51" s="11">
        <v>0</v>
      </c>
      <c r="W51" s="11">
        <v>0</v>
      </c>
      <c r="X51" s="11">
        <v>0</v>
      </c>
      <c r="Y51" s="11">
        <v>0</v>
      </c>
    </row>
    <row r="52" spans="1:25" x14ac:dyDescent="0.25">
      <c r="A52" s="20" t="s">
        <v>3205</v>
      </c>
      <c r="B52" s="20" t="s">
        <v>1000</v>
      </c>
      <c r="C52" s="20" t="s">
        <v>1001</v>
      </c>
      <c r="D52" s="20" t="s">
        <v>216</v>
      </c>
      <c r="E52" s="13">
        <v>2952.13</v>
      </c>
      <c r="F52" s="11">
        <v>1</v>
      </c>
      <c r="G52" s="13">
        <v>-4732.9399999999996</v>
      </c>
      <c r="H52" s="11">
        <v>0</v>
      </c>
      <c r="I52" s="13">
        <f>E52+G52</f>
        <v>-1780.8099999999995</v>
      </c>
      <c r="J52" s="11">
        <f>F52+H52</f>
        <v>1</v>
      </c>
      <c r="K52" s="13">
        <v>0</v>
      </c>
      <c r="L52" s="11">
        <v>0</v>
      </c>
      <c r="M52" s="11">
        <v>1</v>
      </c>
      <c r="N52" s="13">
        <v>0</v>
      </c>
      <c r="O52" s="11">
        <v>0</v>
      </c>
      <c r="P52" s="11">
        <v>1</v>
      </c>
      <c r="Q52" s="13">
        <f>K52+N52</f>
        <v>0</v>
      </c>
      <c r="R52" s="11">
        <f>L52+O52</f>
        <v>0</v>
      </c>
      <c r="S52" s="11">
        <f>M52+P52</f>
        <v>2</v>
      </c>
      <c r="T52" s="8">
        <f>I52-Q52</f>
        <v>-1780.8099999999995</v>
      </c>
      <c r="U52" s="18">
        <v>0.13494045830134291</v>
      </c>
      <c r="V52" s="11">
        <v>0.38</v>
      </c>
      <c r="W52" s="11">
        <v>3</v>
      </c>
      <c r="X52" s="11">
        <v>5</v>
      </c>
      <c r="Y52" s="11">
        <v>0</v>
      </c>
    </row>
    <row r="53" spans="1:25" x14ac:dyDescent="0.25">
      <c r="A53" s="20" t="s">
        <v>3210</v>
      </c>
      <c r="B53" s="20" t="s">
        <v>60</v>
      </c>
      <c r="C53" s="20" t="s">
        <v>3211</v>
      </c>
      <c r="D53" s="20" t="s">
        <v>216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0</v>
      </c>
      <c r="O53" s="11">
        <v>0</v>
      </c>
      <c r="P53" s="11">
        <v>0</v>
      </c>
      <c r="Q53" s="13">
        <f>K53+N53</f>
        <v>0</v>
      </c>
      <c r="R53" s="11">
        <f>L53+O53</f>
        <v>0</v>
      </c>
      <c r="S53" s="11">
        <f>M53+P53</f>
        <v>0</v>
      </c>
      <c r="T53" s="8">
        <f>I53-Q53</f>
        <v>0</v>
      </c>
      <c r="U53" s="18">
        <v>8.9862335680959401E-2</v>
      </c>
      <c r="V53" s="11">
        <v>0</v>
      </c>
      <c r="W53" s="11">
        <v>0</v>
      </c>
      <c r="X53" s="11">
        <v>0</v>
      </c>
      <c r="Y53" s="11">
        <v>0</v>
      </c>
    </row>
    <row r="54" spans="1:25" x14ac:dyDescent="0.25">
      <c r="A54" s="20" t="s">
        <v>3257</v>
      </c>
      <c r="B54" s="20" t="s">
        <v>60</v>
      </c>
      <c r="C54" s="20" t="s">
        <v>3258</v>
      </c>
      <c r="D54" s="20" t="s">
        <v>216</v>
      </c>
      <c r="E54" s="13">
        <v>0</v>
      </c>
      <c r="F54" s="11">
        <v>0</v>
      </c>
      <c r="G54" s="13">
        <v>2921.65</v>
      </c>
      <c r="H54" s="11">
        <v>1</v>
      </c>
      <c r="I54" s="13">
        <f>E54+G54</f>
        <v>2921.65</v>
      </c>
      <c r="J54" s="11">
        <f>F54+H54</f>
        <v>1</v>
      </c>
      <c r="K54" s="13">
        <v>0</v>
      </c>
      <c r="L54" s="11">
        <v>0</v>
      </c>
      <c r="M54" s="11">
        <v>0</v>
      </c>
      <c r="N54" s="13">
        <v>0</v>
      </c>
      <c r="O54" s="11">
        <v>0</v>
      </c>
      <c r="P54" s="11">
        <v>0</v>
      </c>
      <c r="Q54" s="13">
        <f>K54+N54</f>
        <v>0</v>
      </c>
      <c r="R54" s="11">
        <f>L54+O54</f>
        <v>0</v>
      </c>
      <c r="S54" s="11">
        <f>M54+P54</f>
        <v>0</v>
      </c>
      <c r="T54" s="8">
        <f>I54-Q54</f>
        <v>2921.65</v>
      </c>
      <c r="U54" s="18">
        <v>0.1674985969067268</v>
      </c>
      <c r="V54" s="11">
        <v>0.5</v>
      </c>
      <c r="W54" s="11">
        <v>1</v>
      </c>
      <c r="X54" s="11">
        <v>1</v>
      </c>
      <c r="Y54" s="11">
        <v>0</v>
      </c>
    </row>
    <row r="55" spans="1:25" x14ac:dyDescent="0.25">
      <c r="A55" s="20" t="s">
        <v>3270</v>
      </c>
      <c r="B55" s="20" t="s">
        <v>1410</v>
      </c>
      <c r="C55" s="20" t="s">
        <v>3271</v>
      </c>
      <c r="D55" s="20" t="s">
        <v>216</v>
      </c>
      <c r="E55" s="13">
        <v>0</v>
      </c>
      <c r="F55" s="11">
        <v>0</v>
      </c>
      <c r="G55" s="13">
        <v>0</v>
      </c>
      <c r="H55" s="11">
        <v>0</v>
      </c>
      <c r="I55" s="13">
        <f>E55+G55</f>
        <v>0</v>
      </c>
      <c r="J55" s="11">
        <f>F55+H55</f>
        <v>0</v>
      </c>
      <c r="K55" s="13">
        <v>-1525.01</v>
      </c>
      <c r="L55" s="11">
        <v>0</v>
      </c>
      <c r="M55" s="11">
        <v>0</v>
      </c>
      <c r="N55" s="13">
        <v>0</v>
      </c>
      <c r="O55" s="11">
        <v>0</v>
      </c>
      <c r="P55" s="11">
        <v>0</v>
      </c>
      <c r="Q55" s="13">
        <f>K55+N55</f>
        <v>-1525.01</v>
      </c>
      <c r="R55" s="11">
        <f>L55+O55</f>
        <v>0</v>
      </c>
      <c r="S55" s="11">
        <f>M55+P55</f>
        <v>0</v>
      </c>
      <c r="T55" s="8">
        <f>I55-Q55</f>
        <v>1525.01</v>
      </c>
      <c r="U55" s="18">
        <v>1.9166716513503143E-2</v>
      </c>
      <c r="V55" s="11">
        <v>0</v>
      </c>
      <c r="W55" s="11">
        <v>0</v>
      </c>
      <c r="X55" s="11">
        <v>0</v>
      </c>
      <c r="Y55" s="11">
        <v>0</v>
      </c>
    </row>
    <row r="56" spans="1:25" x14ac:dyDescent="0.25">
      <c r="A56" s="20" t="s">
        <v>3272</v>
      </c>
      <c r="B56" s="20" t="s">
        <v>60</v>
      </c>
      <c r="C56" s="20" t="s">
        <v>3273</v>
      </c>
      <c r="D56" s="20" t="s">
        <v>216</v>
      </c>
      <c r="E56" s="13">
        <v>0</v>
      </c>
      <c r="F56" s="11">
        <v>0</v>
      </c>
      <c r="G56" s="13">
        <v>0</v>
      </c>
      <c r="H56" s="11">
        <v>0</v>
      </c>
      <c r="I56" s="13">
        <f>E56+G56</f>
        <v>0</v>
      </c>
      <c r="J56" s="11">
        <f>F56+H56</f>
        <v>0</v>
      </c>
      <c r="K56" s="13">
        <v>0</v>
      </c>
      <c r="L56" s="11">
        <v>0</v>
      </c>
      <c r="M56" s="11">
        <v>0</v>
      </c>
      <c r="N56" s="13">
        <v>0</v>
      </c>
      <c r="O56" s="11">
        <v>0</v>
      </c>
      <c r="P56" s="11">
        <v>0</v>
      </c>
      <c r="Q56" s="13">
        <f>K56+N56</f>
        <v>0</v>
      </c>
      <c r="R56" s="11">
        <f>L56+O56</f>
        <v>0</v>
      </c>
      <c r="S56" s="11">
        <f>M56+P56</f>
        <v>0</v>
      </c>
      <c r="T56" s="8">
        <f>I56-Q56</f>
        <v>0</v>
      </c>
      <c r="U56" s="18">
        <v>7.1784156054994663E-2</v>
      </c>
      <c r="V56" s="11">
        <v>0</v>
      </c>
      <c r="W56" s="11">
        <v>0</v>
      </c>
      <c r="X56" s="11">
        <v>0</v>
      </c>
      <c r="Y56" s="11">
        <v>0</v>
      </c>
    </row>
    <row r="57" spans="1:25" x14ac:dyDescent="0.25">
      <c r="A57" s="20" t="s">
        <v>3278</v>
      </c>
      <c r="B57" s="20" t="s">
        <v>3203</v>
      </c>
      <c r="C57" s="20" t="s">
        <v>3011</v>
      </c>
      <c r="D57" s="20" t="s">
        <v>216</v>
      </c>
      <c r="E57" s="13">
        <v>250</v>
      </c>
      <c r="F57" s="11">
        <v>0</v>
      </c>
      <c r="G57" s="13">
        <v>8831</v>
      </c>
      <c r="H57" s="11">
        <v>0</v>
      </c>
      <c r="I57" s="13">
        <f>E57+G57</f>
        <v>9081</v>
      </c>
      <c r="J57" s="11">
        <f>F57+H57</f>
        <v>0</v>
      </c>
      <c r="K57" s="13">
        <v>13662</v>
      </c>
      <c r="L57" s="11">
        <v>1</v>
      </c>
      <c r="M57" s="11">
        <v>1</v>
      </c>
      <c r="N57" s="13">
        <v>8521</v>
      </c>
      <c r="O57" s="11">
        <v>0</v>
      </c>
      <c r="P57" s="11">
        <v>1</v>
      </c>
      <c r="Q57" s="13">
        <f>K57+N57</f>
        <v>22183</v>
      </c>
      <c r="R57" s="11">
        <f>L57+O57</f>
        <v>1</v>
      </c>
      <c r="S57" s="11">
        <f>M57+P57</f>
        <v>2</v>
      </c>
      <c r="T57" s="8">
        <f>I57-Q57</f>
        <v>-13102</v>
      </c>
      <c r="U57" s="18">
        <v>0.68520810420625688</v>
      </c>
      <c r="V57" s="11">
        <v>0.25</v>
      </c>
      <c r="W57" s="11">
        <v>1</v>
      </c>
      <c r="X57" s="11">
        <v>3</v>
      </c>
      <c r="Y57" s="11">
        <v>0</v>
      </c>
    </row>
    <row r="58" spans="1:25" x14ac:dyDescent="0.25">
      <c r="A58" s="20" t="s">
        <v>3315</v>
      </c>
      <c r="B58" s="20" t="s">
        <v>3203</v>
      </c>
      <c r="C58" s="20" t="s">
        <v>1367</v>
      </c>
      <c r="D58" s="20" t="s">
        <v>216</v>
      </c>
      <c r="E58" s="13">
        <v>-10195.16</v>
      </c>
      <c r="F58" s="11">
        <v>0</v>
      </c>
      <c r="G58" s="13">
        <v>2109</v>
      </c>
      <c r="H58" s="11">
        <v>0</v>
      </c>
      <c r="I58" s="13">
        <f>E58+G58</f>
        <v>-8086.16</v>
      </c>
      <c r="J58" s="11">
        <f>F58+H58</f>
        <v>0</v>
      </c>
      <c r="K58" s="13">
        <v>0</v>
      </c>
      <c r="L58" s="11">
        <v>0</v>
      </c>
      <c r="M58" s="11">
        <v>2</v>
      </c>
      <c r="N58" s="13">
        <v>2021</v>
      </c>
      <c r="O58" s="11">
        <v>0</v>
      </c>
      <c r="P58" s="11">
        <v>1</v>
      </c>
      <c r="Q58" s="13">
        <f>K58+N58</f>
        <v>2021</v>
      </c>
      <c r="R58" s="11">
        <f>L58+O58</f>
        <v>0</v>
      </c>
      <c r="S58" s="11">
        <f>M58+P58</f>
        <v>3</v>
      </c>
      <c r="T58" s="8">
        <f>I58-Q58</f>
        <v>-10107.16</v>
      </c>
      <c r="U58" s="18">
        <v>0.88186913789808219</v>
      </c>
      <c r="V58" s="11">
        <v>0.3</v>
      </c>
      <c r="W58" s="11">
        <v>3</v>
      </c>
      <c r="X58" s="11">
        <v>7</v>
      </c>
      <c r="Y58" s="11">
        <v>1</v>
      </c>
    </row>
    <row r="59" spans="1:25" x14ac:dyDescent="0.25">
      <c r="A59" s="20" t="s">
        <v>3346</v>
      </c>
      <c r="B59" s="20" t="s">
        <v>3203</v>
      </c>
      <c r="C59" s="20" t="s">
        <v>3345</v>
      </c>
      <c r="D59" s="20" t="s">
        <v>216</v>
      </c>
      <c r="E59" s="13">
        <v>24096</v>
      </c>
      <c r="F59" s="11">
        <v>1</v>
      </c>
      <c r="G59" s="13">
        <v>600</v>
      </c>
      <c r="H59" s="11">
        <v>0</v>
      </c>
      <c r="I59" s="13">
        <f>E59+G59</f>
        <v>24696</v>
      </c>
      <c r="J59" s="11">
        <f>F59+H59</f>
        <v>1</v>
      </c>
      <c r="K59" s="13">
        <v>49001.65</v>
      </c>
      <c r="L59" s="11">
        <v>0</v>
      </c>
      <c r="M59" s="11">
        <v>2</v>
      </c>
      <c r="N59" s="13">
        <v>3393.5</v>
      </c>
      <c r="O59" s="11">
        <v>0</v>
      </c>
      <c r="P59" s="11">
        <v>0</v>
      </c>
      <c r="Q59" s="13">
        <f>K59+N59</f>
        <v>52395.15</v>
      </c>
      <c r="R59" s="11">
        <f>L59+O59</f>
        <v>0</v>
      </c>
      <c r="S59" s="11">
        <f>M59+P59</f>
        <v>2</v>
      </c>
      <c r="T59" s="8">
        <f>I59-Q59</f>
        <v>-27699.15</v>
      </c>
      <c r="U59" s="18">
        <v>0.640417910627889</v>
      </c>
      <c r="V59" s="11">
        <v>0.75</v>
      </c>
      <c r="W59" s="11">
        <v>3</v>
      </c>
      <c r="X59" s="11">
        <v>1</v>
      </c>
      <c r="Y59" s="11">
        <v>0</v>
      </c>
    </row>
    <row r="60" spans="1:25" x14ac:dyDescent="0.25">
      <c r="A60" s="20" t="s">
        <v>3372</v>
      </c>
      <c r="B60" s="20" t="s">
        <v>104</v>
      </c>
      <c r="C60" s="20" t="s">
        <v>3371</v>
      </c>
      <c r="D60" s="20" t="s">
        <v>216</v>
      </c>
      <c r="E60" s="13">
        <v>0</v>
      </c>
      <c r="F60" s="11">
        <v>0</v>
      </c>
      <c r="G60" s="13">
        <v>31212</v>
      </c>
      <c r="H60" s="11">
        <v>7</v>
      </c>
      <c r="I60" s="13">
        <f>E60+G60</f>
        <v>31212</v>
      </c>
      <c r="J60" s="11">
        <f>F60+H60</f>
        <v>7</v>
      </c>
      <c r="K60" s="13">
        <v>0</v>
      </c>
      <c r="L60" s="11">
        <v>0</v>
      </c>
      <c r="M60" s="11">
        <v>0</v>
      </c>
      <c r="N60" s="13">
        <v>5854</v>
      </c>
      <c r="O60" s="11">
        <v>1</v>
      </c>
      <c r="P60" s="11">
        <v>21</v>
      </c>
      <c r="Q60" s="13">
        <f>K60+N60</f>
        <v>5854</v>
      </c>
      <c r="R60" s="11">
        <f>L60+O60</f>
        <v>1</v>
      </c>
      <c r="S60" s="11">
        <f>M60+P60</f>
        <v>21</v>
      </c>
      <c r="T60" s="8">
        <f>I60-Q60</f>
        <v>25358</v>
      </c>
      <c r="U60" s="18">
        <v>1.3211697943791808E-2</v>
      </c>
      <c r="V60" s="11">
        <v>0.4</v>
      </c>
      <c r="W60" s="11">
        <v>27</v>
      </c>
      <c r="X60" s="11">
        <v>41</v>
      </c>
      <c r="Y60" s="11">
        <v>0</v>
      </c>
    </row>
    <row r="61" spans="1:25" x14ac:dyDescent="0.25">
      <c r="A61" s="20" t="s">
        <v>3396</v>
      </c>
      <c r="B61" s="20" t="s">
        <v>60</v>
      </c>
      <c r="C61" s="20" t="s">
        <v>3397</v>
      </c>
      <c r="D61" s="20" t="s">
        <v>216</v>
      </c>
      <c r="E61" s="13">
        <v>5020</v>
      </c>
      <c r="F61" s="11">
        <v>1</v>
      </c>
      <c r="G61" s="13">
        <v>10804</v>
      </c>
      <c r="H61" s="11">
        <v>0</v>
      </c>
      <c r="I61" s="13">
        <f>E61+G61</f>
        <v>15824</v>
      </c>
      <c r="J61" s="11">
        <f>F61+H61</f>
        <v>1</v>
      </c>
      <c r="K61" s="13">
        <v>0</v>
      </c>
      <c r="L61" s="11">
        <v>0</v>
      </c>
      <c r="M61" s="11">
        <v>1</v>
      </c>
      <c r="N61" s="13">
        <v>10248</v>
      </c>
      <c r="O61" s="11">
        <v>1</v>
      </c>
      <c r="P61" s="11">
        <v>1</v>
      </c>
      <c r="Q61" s="13">
        <f>K61+N61</f>
        <v>10248</v>
      </c>
      <c r="R61" s="11">
        <f>L61+O61</f>
        <v>1</v>
      </c>
      <c r="S61" s="11">
        <f>M61+P61</f>
        <v>2</v>
      </c>
      <c r="T61" s="8">
        <f>I61-Q61</f>
        <v>5576</v>
      </c>
      <c r="U61" s="18">
        <v>0.13309796781971167</v>
      </c>
      <c r="V61" s="11">
        <v>0.25</v>
      </c>
      <c r="W61" s="11">
        <v>2</v>
      </c>
      <c r="X61" s="11">
        <v>6</v>
      </c>
      <c r="Y61" s="11">
        <v>1</v>
      </c>
    </row>
    <row r="62" spans="1:25" x14ac:dyDescent="0.25">
      <c r="A62" s="20" t="s">
        <v>3637</v>
      </c>
      <c r="B62" s="20" t="s">
        <v>459</v>
      </c>
      <c r="C62" s="20" t="s">
        <v>3608</v>
      </c>
      <c r="D62" s="20" t="s">
        <v>216</v>
      </c>
      <c r="E62" s="13">
        <v>0</v>
      </c>
      <c r="F62" s="11">
        <v>0</v>
      </c>
      <c r="G62" s="13">
        <v>0</v>
      </c>
      <c r="H62" s="11">
        <v>0</v>
      </c>
      <c r="I62" s="13">
        <f>E62+G62</f>
        <v>0</v>
      </c>
      <c r="J62" s="11">
        <f>F62+H62</f>
        <v>0</v>
      </c>
      <c r="K62" s="13">
        <v>0</v>
      </c>
      <c r="L62" s="11">
        <v>0</v>
      </c>
      <c r="M62" s="11">
        <v>0</v>
      </c>
      <c r="N62" s="13">
        <v>0</v>
      </c>
      <c r="O62" s="11">
        <v>0</v>
      </c>
      <c r="P62" s="11">
        <v>0</v>
      </c>
      <c r="Q62" s="13">
        <f>K62+N62</f>
        <v>0</v>
      </c>
      <c r="R62" s="11">
        <f>L62+O62</f>
        <v>0</v>
      </c>
      <c r="S62" s="11">
        <f>M62+P62</f>
        <v>0</v>
      </c>
      <c r="T62" s="8">
        <f>I62-Q62</f>
        <v>0</v>
      </c>
      <c r="U62" s="18">
        <v>-9.2705041372428861E-3</v>
      </c>
      <c r="V62" s="11">
        <v>0</v>
      </c>
      <c r="W62" s="11">
        <v>0</v>
      </c>
      <c r="X62" s="11">
        <v>0</v>
      </c>
      <c r="Y62" s="11">
        <v>0</v>
      </c>
    </row>
    <row r="63" spans="1:25" x14ac:dyDescent="0.25">
      <c r="A63" s="20" t="s">
        <v>3650</v>
      </c>
      <c r="B63" s="20" t="s">
        <v>83</v>
      </c>
      <c r="C63" s="20" t="s">
        <v>3649</v>
      </c>
      <c r="D63" s="20" t="s">
        <v>216</v>
      </c>
      <c r="E63" s="13">
        <v>0</v>
      </c>
      <c r="F63" s="11">
        <v>0</v>
      </c>
      <c r="G63" s="13">
        <v>0</v>
      </c>
      <c r="H63" s="11">
        <v>0</v>
      </c>
      <c r="I63" s="13">
        <f>E63+G63</f>
        <v>0</v>
      </c>
      <c r="J63" s="11">
        <f>F63+H63</f>
        <v>0</v>
      </c>
      <c r="K63" s="13">
        <v>0</v>
      </c>
      <c r="L63" s="11">
        <v>0</v>
      </c>
      <c r="M63" s="11">
        <v>0</v>
      </c>
      <c r="N63" s="13">
        <v>0</v>
      </c>
      <c r="O63" s="11">
        <v>0</v>
      </c>
      <c r="P63" s="11">
        <v>0</v>
      </c>
      <c r="Q63" s="13">
        <f>K63+N63</f>
        <v>0</v>
      </c>
      <c r="R63" s="11">
        <f>L63+O63</f>
        <v>0</v>
      </c>
      <c r="S63" s="11">
        <f>M63+P63</f>
        <v>0</v>
      </c>
      <c r="T63" s="8">
        <f>I63-Q63</f>
        <v>0</v>
      </c>
      <c r="U63" s="18">
        <v>3.1260995591954921</v>
      </c>
      <c r="V63" s="11">
        <v>0</v>
      </c>
      <c r="W63" s="11">
        <v>0</v>
      </c>
      <c r="X63" s="11">
        <v>0</v>
      </c>
      <c r="Y63" s="11">
        <v>0</v>
      </c>
    </row>
    <row r="64" spans="1:25" x14ac:dyDescent="0.25">
      <c r="A64" s="20" t="s">
        <v>3671</v>
      </c>
      <c r="B64" s="20" t="s">
        <v>77</v>
      </c>
      <c r="C64" s="20" t="s">
        <v>1349</v>
      </c>
      <c r="D64" s="20" t="s">
        <v>216</v>
      </c>
      <c r="E64" s="13">
        <v>0</v>
      </c>
      <c r="F64" s="11">
        <v>0</v>
      </c>
      <c r="G64" s="13">
        <v>3492</v>
      </c>
      <c r="H64" s="11">
        <v>1</v>
      </c>
      <c r="I64" s="13">
        <f>E64+G64</f>
        <v>3492</v>
      </c>
      <c r="J64" s="11">
        <f>F64+H64</f>
        <v>1</v>
      </c>
      <c r="K64" s="13">
        <v>0</v>
      </c>
      <c r="L64" s="11">
        <v>0</v>
      </c>
      <c r="M64" s="11">
        <v>1</v>
      </c>
      <c r="N64" s="13">
        <v>0</v>
      </c>
      <c r="O64" s="11">
        <v>0</v>
      </c>
      <c r="P64" s="11">
        <v>0</v>
      </c>
      <c r="Q64" s="13">
        <f>K64+N64</f>
        <v>0</v>
      </c>
      <c r="R64" s="11">
        <f>L64+O64</f>
        <v>0</v>
      </c>
      <c r="S64" s="11">
        <f>M64+P64</f>
        <v>1</v>
      </c>
      <c r="T64" s="8">
        <f>I64-Q64</f>
        <v>3492</v>
      </c>
      <c r="U64" s="18">
        <v>0.89776920458933906</v>
      </c>
      <c r="V64" s="11">
        <v>0.5</v>
      </c>
      <c r="W64" s="11">
        <v>1</v>
      </c>
      <c r="X64" s="11">
        <v>1</v>
      </c>
      <c r="Y64" s="11">
        <v>0</v>
      </c>
    </row>
    <row r="65" spans="1:25" x14ac:dyDescent="0.25">
      <c r="A65" s="20" t="s">
        <v>1430</v>
      </c>
      <c r="B65" s="20" t="s">
        <v>60</v>
      </c>
      <c r="C65" s="20" t="s">
        <v>1431</v>
      </c>
      <c r="D65" s="20" t="s">
        <v>216</v>
      </c>
      <c r="E65" s="13">
        <v>85199.5</v>
      </c>
      <c r="F65" s="11">
        <v>1</v>
      </c>
      <c r="G65" s="13">
        <v>1418.17</v>
      </c>
      <c r="H65" s="11">
        <v>0</v>
      </c>
      <c r="I65" s="13">
        <f>E65+G65</f>
        <v>86617.67</v>
      </c>
      <c r="J65" s="11">
        <f>F65+H65</f>
        <v>1</v>
      </c>
      <c r="K65" s="13">
        <v>104891.41</v>
      </c>
      <c r="L65" s="11">
        <v>1</v>
      </c>
      <c r="M65" s="11">
        <v>5</v>
      </c>
      <c r="N65" s="13">
        <v>0</v>
      </c>
      <c r="O65" s="11">
        <v>0</v>
      </c>
      <c r="P65" s="11">
        <v>4</v>
      </c>
      <c r="Q65" s="13">
        <f>K65+N65</f>
        <v>104891.41</v>
      </c>
      <c r="R65" s="11">
        <f>L65+O65</f>
        <v>1</v>
      </c>
      <c r="S65" s="11">
        <f>M65+P65</f>
        <v>9</v>
      </c>
      <c r="T65" s="8">
        <f>I65-Q65</f>
        <v>-18273.740000000005</v>
      </c>
      <c r="U65" s="18">
        <v>1.9804382684942488</v>
      </c>
      <c r="V65" s="11">
        <v>0.33</v>
      </c>
      <c r="W65" s="11">
        <v>10</v>
      </c>
      <c r="X65" s="11">
        <v>20</v>
      </c>
      <c r="Y65" s="11">
        <v>4</v>
      </c>
    </row>
    <row r="66" spans="1:25" x14ac:dyDescent="0.25">
      <c r="A66" s="20" t="s">
        <v>1805</v>
      </c>
      <c r="B66" s="20"/>
      <c r="C66" s="20"/>
      <c r="D66" s="20"/>
      <c r="E66" s="13">
        <f>SUBTOTAL(109,TableSDO[YTD WP])</f>
        <v>675985.29999999993</v>
      </c>
      <c r="F66" s="11">
        <f>SUBTOTAL(109,TableSDO[YTD NB '#])</f>
        <v>8</v>
      </c>
      <c r="G66" s="13">
        <f>SUBTOTAL(109,TableSDO[[YTD WP ]])</f>
        <v>340186.59</v>
      </c>
      <c r="H66" s="11">
        <f>SUBTOTAL(109,TableSDO[YTD NB '# ])</f>
        <v>13</v>
      </c>
      <c r="I66" s="13">
        <f>SUBTOTAL(109,TableSDO[[YTD WP  ]])</f>
        <v>1016171.8899999999</v>
      </c>
      <c r="J66" s="11">
        <f>SUBTOTAL(109,TableSDO[YTD NB '#  ])</f>
        <v>21</v>
      </c>
      <c r="K66" s="13">
        <f>SUBTOTAL(109,TableSDO[PYTD WP])</f>
        <v>726004.37</v>
      </c>
      <c r="L66" s="11">
        <f>SUBTOTAL(109,TableSDO[PYTD NB '#])</f>
        <v>7</v>
      </c>
      <c r="M66" s="11">
        <f>SUBTOTAL(109,TableSDO[PY Total NB '#])</f>
        <v>64</v>
      </c>
      <c r="N66" s="13">
        <f>SUBTOTAL(109,TableSDO[[PYTD WP ]])</f>
        <v>273565.69</v>
      </c>
      <c r="O66" s="11">
        <f>SUBTOTAL(109,TableSDO[PYTD NB '# ])</f>
        <v>8</v>
      </c>
      <c r="P66" s="11">
        <f>SUBTOTAL(109,TableSDO[PY Total NB '# ])</f>
        <v>72</v>
      </c>
      <c r="Q66" s="13">
        <f>SUBTOTAL(109,TableSDO[[PYTD WP  ]])</f>
        <v>999570.06</v>
      </c>
      <c r="R66" s="11">
        <f>SUBTOTAL(109,TableSDO[PYTD NB '#  ])</f>
        <v>15</v>
      </c>
      <c r="S66" s="11">
        <f>SUBTOTAL(109,TableSDO[PY Total NB '#  ])</f>
        <v>136</v>
      </c>
      <c r="T66" s="8">
        <f>SUBTOTAL(109,TableSDO[Premium Change])</f>
        <v>16601.830000000002</v>
      </c>
      <c r="V66" s="11">
        <f>ROUND(SUM(TableSDO[12 Mo Bound])/SUM(TableSDO[12 Mo Quoted])+ SUM(TableSDO[12 Mo Bound]), 2)</f>
        <v>144.49</v>
      </c>
      <c r="W66" s="11">
        <f>SUBTOTAL(109,TableSDO[12 Mo Bound])</f>
        <v>144</v>
      </c>
      <c r="X66" s="11">
        <f>SUBTOTAL(109,TableSDO[12 Mo Quoted])</f>
        <v>291</v>
      </c>
      <c r="Y66" s="11">
        <f>SUBTOTAL(109,TableSDO[12 Mo Declined])</f>
        <v>32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fitToHeight="0" orientation="landscape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4940-B68B-4DF1-BB8E-AF67371293AF}">
  <sheetPr>
    <pageSetUpPr fitToPage="1"/>
  </sheetPr>
  <dimension ref="A1:Z55"/>
  <sheetViews>
    <sheetView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28515625" customWidth="1"/>
    <col min="2" max="2" width="9.7109375" customWidth="1"/>
    <col min="3" max="3" width="19.140625" bestFit="1" customWidth="1"/>
    <col min="4" max="4" width="9.7109375" customWidth="1"/>
    <col min="5" max="5" width="13" style="13" bestFit="1" customWidth="1"/>
    <col min="6" max="6" width="10.7109375" style="11" customWidth="1"/>
    <col min="7" max="7" width="13" style="13" bestFit="1" customWidth="1"/>
    <col min="8" max="8" width="6.7109375" style="11" customWidth="1"/>
    <col min="9" max="9" width="13" style="13" bestFit="1" customWidth="1"/>
    <col min="10" max="10" width="7.28515625" style="11" customWidth="1"/>
    <col min="11" max="11" width="14.140625" style="13" bestFit="1" customWidth="1"/>
    <col min="12" max="12" width="12.140625" style="11" customWidth="1"/>
    <col min="13" max="13" width="8.7109375" style="11" customWidth="1"/>
    <col min="14" max="14" width="14.140625" style="13" bestFit="1" customWidth="1"/>
    <col min="15" max="15" width="12.5703125" style="11" customWidth="1"/>
    <col min="16" max="16" width="8.7109375" style="11" customWidth="1"/>
    <col min="17" max="17" width="14.140625" style="13" bestFit="1" customWidth="1"/>
    <col min="18" max="18" width="13" style="11" customWidth="1"/>
    <col min="19" max="19" width="8.7109375" style="11" customWidth="1"/>
    <col min="20" max="20" width="11.7109375" style="8" customWidth="1"/>
    <col min="21" max="21" width="8.7109375" style="18" customWidth="1"/>
    <col min="22" max="25" width="10.7109375" style="11" customWidth="1"/>
    <col min="26" max="26" width="45.7109375" style="19" customWidth="1"/>
  </cols>
  <sheetData>
    <row r="1" spans="1:26" x14ac:dyDescent="0.25">
      <c r="A1" s="38" t="s">
        <v>0</v>
      </c>
      <c r="B1" s="39"/>
      <c r="C1" s="39"/>
      <c r="D1" s="12" t="s">
        <v>5</v>
      </c>
      <c r="E1" s="17" t="s">
        <v>3654</v>
      </c>
      <c r="F1" s="14">
        <v>2026</v>
      </c>
      <c r="H1" s="13"/>
      <c r="J1" s="13"/>
      <c r="M1" s="13"/>
      <c r="O1" s="13"/>
      <c r="R1" s="18"/>
      <c r="V1" s="18"/>
      <c r="W1" s="18"/>
      <c r="X1" s="18"/>
      <c r="Y1" s="18"/>
    </row>
    <row r="2" spans="1:26" x14ac:dyDescent="0.25">
      <c r="A2" s="29"/>
      <c r="D2" s="13"/>
      <c r="F2" s="13"/>
      <c r="H2" s="13"/>
      <c r="J2" s="13"/>
      <c r="M2" s="13"/>
      <c r="O2" s="13"/>
      <c r="R2" s="18"/>
      <c r="V2" s="18"/>
      <c r="W2" s="18"/>
      <c r="X2" s="18"/>
      <c r="Y2" s="18"/>
    </row>
    <row r="3" spans="1:26" x14ac:dyDescent="0.25">
      <c r="A3" s="4"/>
      <c r="D3" s="13"/>
      <c r="F3" s="13"/>
      <c r="H3" s="13"/>
      <c r="J3" s="13"/>
      <c r="M3" s="13"/>
      <c r="O3" s="13"/>
      <c r="R3" s="18"/>
      <c r="V3" s="18"/>
      <c r="W3" s="18"/>
      <c r="X3" s="18"/>
      <c r="Y3" s="18"/>
    </row>
    <row r="4" spans="1:26" ht="15.75" thickBot="1" x14ac:dyDescent="0.3">
      <c r="A4" s="29" t="s">
        <v>15</v>
      </c>
      <c r="D4" s="13"/>
      <c r="F4" s="13"/>
      <c r="H4" s="13"/>
      <c r="J4" s="13"/>
      <c r="M4" s="13"/>
      <c r="O4" s="13"/>
      <c r="R4" s="18"/>
      <c r="V4" s="18"/>
      <c r="W4" s="18"/>
      <c r="X4" s="18"/>
      <c r="Y4" s="18"/>
    </row>
    <row r="5" spans="1:26" x14ac:dyDescent="0.25">
      <c r="A5" s="35" t="s">
        <v>4</v>
      </c>
      <c r="B5" s="36"/>
      <c r="C5" s="36"/>
      <c r="D5" s="37"/>
      <c r="E5" s="33" t="s">
        <v>1</v>
      </c>
      <c r="F5" s="32"/>
      <c r="G5" s="40" t="s">
        <v>2</v>
      </c>
      <c r="H5" s="40"/>
      <c r="I5" s="40" t="s">
        <v>3</v>
      </c>
      <c r="J5" s="40"/>
      <c r="K5" s="33" t="s">
        <v>1</v>
      </c>
      <c r="L5" s="34"/>
      <c r="M5" s="32"/>
      <c r="N5" s="33" t="s">
        <v>2</v>
      </c>
      <c r="O5" s="31"/>
      <c r="P5" s="32"/>
      <c r="Q5" s="33" t="s">
        <v>3</v>
      </c>
      <c r="R5" s="34"/>
      <c r="S5" s="32"/>
      <c r="T5" s="9"/>
      <c r="U5" s="10"/>
      <c r="V5" s="30" t="s">
        <v>55</v>
      </c>
      <c r="W5" s="31"/>
      <c r="X5" s="31"/>
      <c r="Y5" s="32"/>
      <c r="Z5" s="27"/>
    </row>
    <row r="6" spans="1:26" ht="30" customHeight="1" x14ac:dyDescent="0.25">
      <c r="A6" s="21" t="s">
        <v>24</v>
      </c>
      <c r="B6" s="22" t="s">
        <v>30</v>
      </c>
      <c r="C6" s="22" t="s">
        <v>25</v>
      </c>
      <c r="D6" s="22" t="s">
        <v>41</v>
      </c>
      <c r="E6" s="23" t="s">
        <v>26</v>
      </c>
      <c r="F6" s="22" t="s">
        <v>31</v>
      </c>
      <c r="G6" s="23" t="s">
        <v>33</v>
      </c>
      <c r="H6" s="22" t="s">
        <v>36</v>
      </c>
      <c r="I6" s="23" t="s">
        <v>34</v>
      </c>
      <c r="J6" s="22" t="s">
        <v>37</v>
      </c>
      <c r="K6" s="23" t="s">
        <v>27</v>
      </c>
      <c r="L6" s="22" t="s">
        <v>40</v>
      </c>
      <c r="M6" s="22" t="s">
        <v>32</v>
      </c>
      <c r="N6" s="23" t="s">
        <v>43</v>
      </c>
      <c r="O6" s="22" t="s">
        <v>44</v>
      </c>
      <c r="P6" s="22" t="s">
        <v>45</v>
      </c>
      <c r="Q6" s="23" t="s">
        <v>35</v>
      </c>
      <c r="R6" s="22" t="s">
        <v>46</v>
      </c>
      <c r="S6" s="22" t="s">
        <v>38</v>
      </c>
      <c r="T6" s="23" t="s">
        <v>28</v>
      </c>
      <c r="U6" s="24" t="s">
        <v>3417</v>
      </c>
      <c r="V6" s="25" t="s">
        <v>51</v>
      </c>
      <c r="W6" s="25" t="s">
        <v>54</v>
      </c>
      <c r="X6" s="25" t="s">
        <v>52</v>
      </c>
      <c r="Y6" s="25" t="s">
        <v>53</v>
      </c>
      <c r="Z6" s="26" t="s">
        <v>57</v>
      </c>
    </row>
    <row r="7" spans="1:26" x14ac:dyDescent="0.25">
      <c r="A7" s="20" t="s">
        <v>1438</v>
      </c>
      <c r="B7" s="20" t="s">
        <v>1438</v>
      </c>
      <c r="C7" s="20" t="s">
        <v>1439</v>
      </c>
      <c r="D7" s="20" t="s">
        <v>216</v>
      </c>
      <c r="E7" s="13">
        <v>0</v>
      </c>
      <c r="F7" s="11">
        <v>0</v>
      </c>
      <c r="G7" s="13">
        <v>26722.37</v>
      </c>
      <c r="H7" s="11">
        <v>1</v>
      </c>
      <c r="I7" s="13">
        <f>E7+G7</f>
        <v>26722.37</v>
      </c>
      <c r="J7" s="11">
        <f>F7+H7</f>
        <v>1</v>
      </c>
      <c r="K7" s="13">
        <v>-2717.36</v>
      </c>
      <c r="L7" s="11">
        <v>0</v>
      </c>
      <c r="M7" s="11">
        <v>0</v>
      </c>
      <c r="N7" s="13">
        <v>7522</v>
      </c>
      <c r="O7" s="11">
        <v>0</v>
      </c>
      <c r="P7" s="11">
        <v>2</v>
      </c>
      <c r="Q7" s="13">
        <f>K7+N7</f>
        <v>4804.6399999999994</v>
      </c>
      <c r="R7" s="11">
        <f>L7+O7</f>
        <v>0</v>
      </c>
      <c r="S7" s="11">
        <f>M7+P7</f>
        <v>2</v>
      </c>
      <c r="T7" s="8">
        <f>I7-Q7</f>
        <v>21917.73</v>
      </c>
      <c r="U7" s="18">
        <v>0.16024570550848627</v>
      </c>
      <c r="V7" s="11">
        <v>0.14000000000000001</v>
      </c>
      <c r="W7" s="11">
        <v>3</v>
      </c>
      <c r="X7" s="11">
        <v>18</v>
      </c>
      <c r="Y7" s="11">
        <v>3</v>
      </c>
    </row>
    <row r="8" spans="1:26" x14ac:dyDescent="0.25">
      <c r="A8" s="20" t="s">
        <v>2536</v>
      </c>
      <c r="B8" s="20" t="s">
        <v>60</v>
      </c>
      <c r="C8" s="20" t="s">
        <v>3121</v>
      </c>
      <c r="D8" s="20" t="s">
        <v>216</v>
      </c>
      <c r="E8" s="13">
        <v>5618</v>
      </c>
      <c r="F8" s="11">
        <v>1</v>
      </c>
      <c r="G8" s="13">
        <v>16014</v>
      </c>
      <c r="H8" s="11">
        <v>0</v>
      </c>
      <c r="I8" s="13">
        <f>E8+G8</f>
        <v>21632</v>
      </c>
      <c r="J8" s="11">
        <f>F8+H8</f>
        <v>1</v>
      </c>
      <c r="K8" s="13">
        <v>6116</v>
      </c>
      <c r="L8" s="11">
        <v>1</v>
      </c>
      <c r="M8" s="11">
        <v>5</v>
      </c>
      <c r="N8" s="13">
        <v>14615</v>
      </c>
      <c r="O8" s="11">
        <v>2</v>
      </c>
      <c r="P8" s="11">
        <v>4</v>
      </c>
      <c r="Q8" s="13">
        <f>K8+N8</f>
        <v>20731</v>
      </c>
      <c r="R8" s="11">
        <f>L8+O8</f>
        <v>3</v>
      </c>
      <c r="S8" s="11">
        <f>M8+P8</f>
        <v>9</v>
      </c>
      <c r="T8" s="8">
        <f>I8-Q8</f>
        <v>901</v>
      </c>
      <c r="U8" s="18">
        <v>3.3793828628590573E-2</v>
      </c>
      <c r="V8" s="11">
        <v>0.12</v>
      </c>
      <c r="W8" s="11">
        <v>7</v>
      </c>
      <c r="X8" s="11">
        <v>52</v>
      </c>
      <c r="Y8" s="11">
        <v>7</v>
      </c>
    </row>
    <row r="9" spans="1:26" x14ac:dyDescent="0.25">
      <c r="A9" s="20" t="s">
        <v>624</v>
      </c>
      <c r="B9" s="20" t="s">
        <v>624</v>
      </c>
      <c r="C9" s="20" t="s">
        <v>3408</v>
      </c>
      <c r="D9" s="20" t="s">
        <v>216</v>
      </c>
      <c r="E9" s="13">
        <v>0</v>
      </c>
      <c r="F9" s="11">
        <v>0</v>
      </c>
      <c r="G9" s="13">
        <v>0</v>
      </c>
      <c r="H9" s="11">
        <v>0</v>
      </c>
      <c r="I9" s="13">
        <f>E9+G9</f>
        <v>0</v>
      </c>
      <c r="J9" s="11">
        <f>F9+H9</f>
        <v>0</v>
      </c>
      <c r="K9" s="13">
        <v>0</v>
      </c>
      <c r="L9" s="11">
        <v>0</v>
      </c>
      <c r="M9" s="11">
        <v>0</v>
      </c>
      <c r="N9" s="13">
        <v>7963</v>
      </c>
      <c r="O9" s="11">
        <v>0</v>
      </c>
      <c r="P9" s="11">
        <v>1</v>
      </c>
      <c r="Q9" s="13">
        <f>K9+N9</f>
        <v>7963</v>
      </c>
      <c r="R9" s="11">
        <f>L9+O9</f>
        <v>0</v>
      </c>
      <c r="S9" s="11">
        <f>M9+P9</f>
        <v>1</v>
      </c>
      <c r="T9" s="8">
        <f>I9-Q9</f>
        <v>-7963</v>
      </c>
      <c r="U9" s="18">
        <v>3.3258829623062391</v>
      </c>
      <c r="V9" s="11">
        <v>0.5</v>
      </c>
      <c r="W9" s="11">
        <v>1</v>
      </c>
      <c r="X9" s="11">
        <v>1</v>
      </c>
      <c r="Y9" s="11">
        <v>1</v>
      </c>
    </row>
    <row r="10" spans="1:26" x14ac:dyDescent="0.25">
      <c r="A10" s="20" t="s">
        <v>1442</v>
      </c>
      <c r="B10" s="20" t="s">
        <v>189</v>
      </c>
      <c r="C10" s="20" t="s">
        <v>1443</v>
      </c>
      <c r="D10" s="20" t="s">
        <v>216</v>
      </c>
      <c r="E10" s="13">
        <v>0</v>
      </c>
      <c r="F10" s="11">
        <v>0</v>
      </c>
      <c r="G10" s="13">
        <v>18290</v>
      </c>
      <c r="H10" s="11">
        <v>1</v>
      </c>
      <c r="I10" s="13">
        <f>E10+G10</f>
        <v>18290</v>
      </c>
      <c r="J10" s="11">
        <f>F10+H10</f>
        <v>1</v>
      </c>
      <c r="K10" s="13">
        <v>0</v>
      </c>
      <c r="L10" s="11">
        <v>0</v>
      </c>
      <c r="M10" s="11">
        <v>0</v>
      </c>
      <c r="N10" s="13">
        <v>0</v>
      </c>
      <c r="O10" s="11">
        <v>0</v>
      </c>
      <c r="P10" s="11">
        <v>2</v>
      </c>
      <c r="Q10" s="13">
        <f>K10+N10</f>
        <v>0</v>
      </c>
      <c r="R10" s="11">
        <f>L10+O10</f>
        <v>0</v>
      </c>
      <c r="S10" s="11">
        <f>M10+P10</f>
        <v>2</v>
      </c>
      <c r="T10" s="8">
        <f>I10-Q10</f>
        <v>18290</v>
      </c>
      <c r="U10" s="18">
        <v>0.13812999041550333</v>
      </c>
      <c r="V10" s="11">
        <v>0.38</v>
      </c>
      <c r="W10" s="11">
        <v>3</v>
      </c>
      <c r="X10" s="11">
        <v>5</v>
      </c>
      <c r="Y10" s="11">
        <v>4</v>
      </c>
    </row>
    <row r="11" spans="1:26" x14ac:dyDescent="0.25">
      <c r="A11" s="20" t="s">
        <v>1444</v>
      </c>
      <c r="B11" s="20" t="s">
        <v>77</v>
      </c>
      <c r="C11" s="20" t="s">
        <v>1445</v>
      </c>
      <c r="D11" s="20" t="s">
        <v>216</v>
      </c>
      <c r="E11" s="13">
        <v>7629.53</v>
      </c>
      <c r="F11" s="11">
        <v>0</v>
      </c>
      <c r="G11" s="13">
        <v>0</v>
      </c>
      <c r="H11" s="11">
        <v>0</v>
      </c>
      <c r="I11" s="13">
        <f>E11+G11</f>
        <v>7629.53</v>
      </c>
      <c r="J11" s="11">
        <f>F11+H11</f>
        <v>0</v>
      </c>
      <c r="K11" s="13">
        <v>5192.4799999999996</v>
      </c>
      <c r="L11" s="11">
        <v>0</v>
      </c>
      <c r="M11" s="11">
        <v>0</v>
      </c>
      <c r="N11" s="13">
        <v>0</v>
      </c>
      <c r="O11" s="11">
        <v>0</v>
      </c>
      <c r="P11" s="11">
        <v>2</v>
      </c>
      <c r="Q11" s="13">
        <f>K11+N11</f>
        <v>5192.4799999999996</v>
      </c>
      <c r="R11" s="11">
        <f>L11+O11</f>
        <v>0</v>
      </c>
      <c r="S11" s="11">
        <f>M11+P11</f>
        <v>2</v>
      </c>
      <c r="T11" s="8">
        <f>I11-Q11</f>
        <v>2437.0500000000002</v>
      </c>
      <c r="U11" s="18">
        <v>0.27876901924744812</v>
      </c>
      <c r="V11" s="11">
        <v>0.4</v>
      </c>
      <c r="W11" s="11">
        <v>2</v>
      </c>
      <c r="X11" s="11">
        <v>3</v>
      </c>
      <c r="Y11" s="11">
        <v>0</v>
      </c>
    </row>
    <row r="12" spans="1:26" x14ac:dyDescent="0.25">
      <c r="A12" s="20" t="s">
        <v>590</v>
      </c>
      <c r="B12" s="20" t="s">
        <v>590</v>
      </c>
      <c r="C12" s="20" t="s">
        <v>1434</v>
      </c>
      <c r="D12" s="20" t="s">
        <v>216</v>
      </c>
      <c r="E12" s="13">
        <v>23629.39</v>
      </c>
      <c r="F12" s="11">
        <v>0</v>
      </c>
      <c r="G12" s="13">
        <v>16121.78</v>
      </c>
      <c r="H12" s="11">
        <v>3</v>
      </c>
      <c r="I12" s="13">
        <f>E12+G12</f>
        <v>39751.17</v>
      </c>
      <c r="J12" s="11">
        <f>F12+H12</f>
        <v>3</v>
      </c>
      <c r="K12" s="13">
        <v>23523</v>
      </c>
      <c r="L12" s="11">
        <v>0</v>
      </c>
      <c r="M12" s="11">
        <v>1</v>
      </c>
      <c r="N12" s="13">
        <v>10887.9</v>
      </c>
      <c r="O12" s="11">
        <v>0</v>
      </c>
      <c r="P12" s="11">
        <v>5</v>
      </c>
      <c r="Q12" s="13">
        <f>K12+N12</f>
        <v>34410.9</v>
      </c>
      <c r="R12" s="11">
        <f>L12+O12</f>
        <v>0</v>
      </c>
      <c r="S12" s="11">
        <f>M12+P12</f>
        <v>6</v>
      </c>
      <c r="T12" s="8">
        <f>I12-Q12</f>
        <v>5340.2699999999968</v>
      </c>
      <c r="U12" s="18">
        <v>0.2122235367084476</v>
      </c>
      <c r="V12" s="11">
        <v>0.36</v>
      </c>
      <c r="W12" s="11">
        <v>9</v>
      </c>
      <c r="X12" s="11">
        <v>16</v>
      </c>
      <c r="Y12" s="11">
        <v>8</v>
      </c>
    </row>
    <row r="13" spans="1:26" x14ac:dyDescent="0.25">
      <c r="A13" s="20" t="s">
        <v>1448</v>
      </c>
      <c r="B13" s="20" t="s">
        <v>3203</v>
      </c>
      <c r="C13" s="20" t="s">
        <v>1449</v>
      </c>
      <c r="D13" s="20" t="s">
        <v>216</v>
      </c>
      <c r="E13" s="13">
        <v>0</v>
      </c>
      <c r="F13" s="11">
        <v>0</v>
      </c>
      <c r="G13" s="13">
        <v>0</v>
      </c>
      <c r="H13" s="11">
        <v>0</v>
      </c>
      <c r="I13" s="13">
        <f>E13+G13</f>
        <v>0</v>
      </c>
      <c r="J13" s="11">
        <f>F13+H13</f>
        <v>0</v>
      </c>
      <c r="K13" s="13">
        <v>0</v>
      </c>
      <c r="L13" s="11">
        <v>0</v>
      </c>
      <c r="M13" s="11">
        <v>0</v>
      </c>
      <c r="N13" s="13">
        <v>0</v>
      </c>
      <c r="O13" s="11">
        <v>0</v>
      </c>
      <c r="P13" s="11">
        <v>0</v>
      </c>
      <c r="Q13" s="13">
        <f>K13+N13</f>
        <v>0</v>
      </c>
      <c r="R13" s="11">
        <f>L13+O13</f>
        <v>0</v>
      </c>
      <c r="S13" s="11">
        <f>M13+P13</f>
        <v>0</v>
      </c>
      <c r="T13" s="8">
        <f>I13-Q13</f>
        <v>0</v>
      </c>
      <c r="U13" s="18">
        <v>0.2311815333927778</v>
      </c>
      <c r="V13" s="11">
        <v>0</v>
      </c>
      <c r="W13" s="11">
        <v>0</v>
      </c>
      <c r="X13" s="11">
        <v>2</v>
      </c>
      <c r="Y13" s="11">
        <v>1</v>
      </c>
    </row>
    <row r="14" spans="1:26" x14ac:dyDescent="0.25">
      <c r="A14" s="20" t="s">
        <v>610</v>
      </c>
      <c r="B14" s="20" t="s">
        <v>218</v>
      </c>
      <c r="C14" s="20" t="s">
        <v>1450</v>
      </c>
      <c r="D14" s="20" t="s">
        <v>216</v>
      </c>
      <c r="E14" s="13">
        <v>0</v>
      </c>
      <c r="F14" s="11">
        <v>0</v>
      </c>
      <c r="G14" s="13">
        <v>0</v>
      </c>
      <c r="H14" s="11">
        <v>0</v>
      </c>
      <c r="I14" s="13">
        <f>E14+G14</f>
        <v>0</v>
      </c>
      <c r="J14" s="11">
        <f>F14+H14</f>
        <v>0</v>
      </c>
      <c r="K14" s="13">
        <v>0</v>
      </c>
      <c r="L14" s="11">
        <v>0</v>
      </c>
      <c r="M14" s="11">
        <v>0</v>
      </c>
      <c r="N14" s="13">
        <v>26075</v>
      </c>
      <c r="O14" s="11">
        <v>0</v>
      </c>
      <c r="P14" s="11">
        <v>1</v>
      </c>
      <c r="Q14" s="13">
        <f>K14+N14</f>
        <v>26075</v>
      </c>
      <c r="R14" s="11">
        <f>L14+O14</f>
        <v>0</v>
      </c>
      <c r="S14" s="11">
        <f>M14+P14</f>
        <v>1</v>
      </c>
      <c r="T14" s="8">
        <f>I14-Q14</f>
        <v>-26075</v>
      </c>
      <c r="U14" s="18">
        <v>1.4804886703104762E-2</v>
      </c>
      <c r="V14" s="11">
        <v>0.33</v>
      </c>
      <c r="W14" s="11">
        <v>1</v>
      </c>
      <c r="X14" s="11">
        <v>2</v>
      </c>
      <c r="Y14" s="11">
        <v>0</v>
      </c>
    </row>
    <row r="15" spans="1:26" x14ac:dyDescent="0.25">
      <c r="A15" s="20" t="s">
        <v>1451</v>
      </c>
      <c r="B15" s="20" t="s">
        <v>60</v>
      </c>
      <c r="C15" s="20" t="s">
        <v>1452</v>
      </c>
      <c r="D15" s="20" t="s">
        <v>216</v>
      </c>
      <c r="E15" s="13">
        <v>0</v>
      </c>
      <c r="F15" s="11">
        <v>0</v>
      </c>
      <c r="G15" s="13">
        <v>0</v>
      </c>
      <c r="H15" s="11">
        <v>0</v>
      </c>
      <c r="I15" s="13">
        <f>E15+G15</f>
        <v>0</v>
      </c>
      <c r="J15" s="11">
        <f>F15+H15</f>
        <v>0</v>
      </c>
      <c r="K15" s="13">
        <v>2075</v>
      </c>
      <c r="L15" s="11">
        <v>0</v>
      </c>
      <c r="M15" s="11">
        <v>0</v>
      </c>
      <c r="N15" s="13">
        <v>0</v>
      </c>
      <c r="O15" s="11">
        <v>0</v>
      </c>
      <c r="P15" s="11">
        <v>0</v>
      </c>
      <c r="Q15" s="13">
        <f>K15+N15</f>
        <v>2075</v>
      </c>
      <c r="R15" s="11">
        <f>L15+O15</f>
        <v>0</v>
      </c>
      <c r="S15" s="11">
        <f>M15+P15</f>
        <v>0</v>
      </c>
      <c r="T15" s="8">
        <f>I15-Q15</f>
        <v>-2075</v>
      </c>
      <c r="U15" s="18">
        <v>4.90848954613076E-2</v>
      </c>
      <c r="V15" s="11">
        <v>0</v>
      </c>
      <c r="W15" s="11">
        <v>0</v>
      </c>
      <c r="X15" s="11">
        <v>2</v>
      </c>
      <c r="Y15" s="11">
        <v>0</v>
      </c>
    </row>
    <row r="16" spans="1:26" x14ac:dyDescent="0.25">
      <c r="A16" s="20" t="s">
        <v>1453</v>
      </c>
      <c r="B16" s="20" t="s">
        <v>83</v>
      </c>
      <c r="C16" s="20" t="s">
        <v>1447</v>
      </c>
      <c r="D16" s="20" t="s">
        <v>216</v>
      </c>
      <c r="E16" s="13">
        <v>-4082</v>
      </c>
      <c r="F16" s="11">
        <v>0</v>
      </c>
      <c r="G16" s="13">
        <v>5586.09</v>
      </c>
      <c r="H16" s="11">
        <v>0</v>
      </c>
      <c r="I16" s="13">
        <f>E16+G16</f>
        <v>1504.0900000000001</v>
      </c>
      <c r="J16" s="11">
        <f>F16+H16</f>
        <v>0</v>
      </c>
      <c r="K16" s="13">
        <v>0</v>
      </c>
      <c r="L16" s="11">
        <v>0</v>
      </c>
      <c r="M16" s="11">
        <v>0</v>
      </c>
      <c r="N16" s="13">
        <v>6695</v>
      </c>
      <c r="O16" s="11">
        <v>0</v>
      </c>
      <c r="P16" s="11">
        <v>1</v>
      </c>
      <c r="Q16" s="13">
        <f>K16+N16</f>
        <v>6695</v>
      </c>
      <c r="R16" s="11">
        <f>L16+O16</f>
        <v>0</v>
      </c>
      <c r="S16" s="11">
        <f>M16+P16</f>
        <v>1</v>
      </c>
      <c r="T16" s="8">
        <f>I16-Q16</f>
        <v>-5190.91</v>
      </c>
      <c r="U16" s="18">
        <v>7.7576561432621205E-2</v>
      </c>
      <c r="V16" s="11">
        <v>0.17</v>
      </c>
      <c r="W16" s="11">
        <v>1</v>
      </c>
      <c r="X16" s="11">
        <v>5</v>
      </c>
      <c r="Y16" s="11">
        <v>4</v>
      </c>
    </row>
    <row r="17" spans="1:25" x14ac:dyDescent="0.25">
      <c r="A17" s="20" t="s">
        <v>1455</v>
      </c>
      <c r="B17" s="20" t="s">
        <v>3203</v>
      </c>
      <c r="C17" s="20" t="s">
        <v>1449</v>
      </c>
      <c r="D17" s="20" t="s">
        <v>215</v>
      </c>
      <c r="E17" s="13">
        <v>0</v>
      </c>
      <c r="F17" s="11">
        <v>0</v>
      </c>
      <c r="G17" s="13">
        <v>0</v>
      </c>
      <c r="H17" s="11">
        <v>0</v>
      </c>
      <c r="I17" s="13">
        <f>E17+G17</f>
        <v>0</v>
      </c>
      <c r="J17" s="11">
        <f>F17+H17</f>
        <v>0</v>
      </c>
      <c r="K17" s="13">
        <v>566</v>
      </c>
      <c r="L17" s="11">
        <v>0</v>
      </c>
      <c r="M17" s="11">
        <v>0</v>
      </c>
      <c r="N17" s="13">
        <v>-1512.55</v>
      </c>
      <c r="O17" s="11">
        <v>0</v>
      </c>
      <c r="P17" s="11">
        <v>2</v>
      </c>
      <c r="Q17" s="13">
        <f>K17+N17</f>
        <v>-946.55</v>
      </c>
      <c r="R17" s="11">
        <f>L17+O17</f>
        <v>0</v>
      </c>
      <c r="S17" s="11">
        <f>M17+P17</f>
        <v>2</v>
      </c>
      <c r="T17" s="8">
        <f>I17-Q17</f>
        <v>946.55</v>
      </c>
      <c r="U17" s="18" t="s">
        <v>1803</v>
      </c>
      <c r="V17" s="11">
        <v>0.4</v>
      </c>
      <c r="W17" s="11">
        <v>2</v>
      </c>
      <c r="X17" s="11">
        <v>3</v>
      </c>
      <c r="Y17" s="11">
        <v>1</v>
      </c>
    </row>
    <row r="18" spans="1:25" x14ac:dyDescent="0.25">
      <c r="A18" s="20" t="s">
        <v>1456</v>
      </c>
      <c r="B18" s="20" t="s">
        <v>189</v>
      </c>
      <c r="C18" s="20" t="s">
        <v>1457</v>
      </c>
      <c r="D18" s="20" t="s">
        <v>216</v>
      </c>
      <c r="E18" s="13">
        <v>804</v>
      </c>
      <c r="F18" s="11">
        <v>0</v>
      </c>
      <c r="G18" s="13">
        <v>7101</v>
      </c>
      <c r="H18" s="11">
        <v>0</v>
      </c>
      <c r="I18" s="13">
        <f>E18+G18</f>
        <v>7905</v>
      </c>
      <c r="J18" s="11">
        <f>F18+H18</f>
        <v>0</v>
      </c>
      <c r="K18" s="13">
        <v>1952</v>
      </c>
      <c r="L18" s="11">
        <v>0</v>
      </c>
      <c r="M18" s="11">
        <v>1</v>
      </c>
      <c r="N18" s="13">
        <v>5018</v>
      </c>
      <c r="O18" s="11">
        <v>0</v>
      </c>
      <c r="P18" s="11">
        <v>0</v>
      </c>
      <c r="Q18" s="13">
        <f>K18+N18</f>
        <v>6970</v>
      </c>
      <c r="R18" s="11">
        <f>L18+O18</f>
        <v>0</v>
      </c>
      <c r="S18" s="11">
        <f>M18+P18</f>
        <v>1</v>
      </c>
      <c r="T18" s="8">
        <f>I18-Q18</f>
        <v>935</v>
      </c>
      <c r="U18" s="18">
        <v>0.3532853188612648</v>
      </c>
      <c r="V18" s="11">
        <v>0.33</v>
      </c>
      <c r="W18" s="11">
        <v>1</v>
      </c>
      <c r="X18" s="11">
        <v>2</v>
      </c>
      <c r="Y18" s="11">
        <v>2</v>
      </c>
    </row>
    <row r="19" spans="1:25" x14ac:dyDescent="0.25">
      <c r="A19" s="20" t="s">
        <v>1461</v>
      </c>
      <c r="B19" s="20" t="s">
        <v>189</v>
      </c>
      <c r="C19" s="20" t="s">
        <v>212</v>
      </c>
      <c r="D19" s="20" t="s">
        <v>216</v>
      </c>
      <c r="E19" s="13">
        <v>4936.13</v>
      </c>
      <c r="F19" s="11">
        <v>0</v>
      </c>
      <c r="G19" s="13">
        <v>1034.74</v>
      </c>
      <c r="H19" s="11">
        <v>0</v>
      </c>
      <c r="I19" s="13">
        <f>E19+G19</f>
        <v>5970.87</v>
      </c>
      <c r="J19" s="11">
        <f>F19+H19</f>
        <v>0</v>
      </c>
      <c r="K19" s="13">
        <v>18611.669999999998</v>
      </c>
      <c r="L19" s="11">
        <v>0</v>
      </c>
      <c r="M19" s="11">
        <v>2</v>
      </c>
      <c r="N19" s="13">
        <v>-2525.36</v>
      </c>
      <c r="O19" s="11">
        <v>0</v>
      </c>
      <c r="P19" s="11">
        <v>3</v>
      </c>
      <c r="Q19" s="13">
        <f>K19+N19</f>
        <v>16086.309999999998</v>
      </c>
      <c r="R19" s="11">
        <f>L19+O19</f>
        <v>0</v>
      </c>
      <c r="S19" s="11">
        <f>M19+P19</f>
        <v>5</v>
      </c>
      <c r="T19" s="8">
        <f>I19-Q19</f>
        <v>-10115.439999999999</v>
      </c>
      <c r="U19" s="18">
        <v>0.85305187080791456</v>
      </c>
      <c r="V19" s="11">
        <v>0.28999999999999998</v>
      </c>
      <c r="W19" s="11">
        <v>5</v>
      </c>
      <c r="X19" s="11">
        <v>12</v>
      </c>
      <c r="Y19" s="11">
        <v>9</v>
      </c>
    </row>
    <row r="20" spans="1:25" x14ac:dyDescent="0.25">
      <c r="A20" s="20" t="s">
        <v>1462</v>
      </c>
      <c r="B20" s="20" t="s">
        <v>1432</v>
      </c>
      <c r="C20" s="20" t="s">
        <v>1433</v>
      </c>
      <c r="D20" s="20" t="s">
        <v>216</v>
      </c>
      <c r="E20" s="13">
        <v>6229.75</v>
      </c>
      <c r="F20" s="11">
        <v>0</v>
      </c>
      <c r="G20" s="13">
        <v>3166</v>
      </c>
      <c r="H20" s="11">
        <v>0</v>
      </c>
      <c r="I20" s="13">
        <f>E20+G20</f>
        <v>9395.75</v>
      </c>
      <c r="J20" s="11">
        <f>F20+H20</f>
        <v>0</v>
      </c>
      <c r="K20" s="13">
        <v>8724</v>
      </c>
      <c r="L20" s="11">
        <v>0</v>
      </c>
      <c r="M20" s="11">
        <v>0</v>
      </c>
      <c r="N20" s="13">
        <v>16076</v>
      </c>
      <c r="O20" s="11">
        <v>0</v>
      </c>
      <c r="P20" s="11">
        <v>0</v>
      </c>
      <c r="Q20" s="13">
        <f>K20+N20</f>
        <v>24800</v>
      </c>
      <c r="R20" s="11">
        <f>L20+O20</f>
        <v>0</v>
      </c>
      <c r="S20" s="11">
        <f>M20+P20</f>
        <v>0</v>
      </c>
      <c r="T20" s="8">
        <f>I20-Q20</f>
        <v>-15404.25</v>
      </c>
      <c r="U20" s="18">
        <v>-8.3847095180758058E-2</v>
      </c>
      <c r="V20" s="11">
        <v>0</v>
      </c>
      <c r="W20" s="11">
        <v>0</v>
      </c>
      <c r="X20" s="11">
        <v>3</v>
      </c>
      <c r="Y20" s="11">
        <v>1</v>
      </c>
    </row>
    <row r="21" spans="1:25" x14ac:dyDescent="0.25">
      <c r="A21" s="20" t="s">
        <v>668</v>
      </c>
      <c r="B21" s="20" t="s">
        <v>668</v>
      </c>
      <c r="C21" s="20" t="s">
        <v>669</v>
      </c>
      <c r="D21" s="20" t="s">
        <v>216</v>
      </c>
      <c r="E21" s="13">
        <v>10691</v>
      </c>
      <c r="F21" s="11">
        <v>0</v>
      </c>
      <c r="G21" s="13">
        <v>11253</v>
      </c>
      <c r="H21" s="11">
        <v>0</v>
      </c>
      <c r="I21" s="13">
        <f>E21+G21</f>
        <v>21944</v>
      </c>
      <c r="J21" s="11">
        <f>F21+H21</f>
        <v>0</v>
      </c>
      <c r="K21" s="13">
        <v>15553.05</v>
      </c>
      <c r="L21" s="11">
        <v>2</v>
      </c>
      <c r="M21" s="11">
        <v>3</v>
      </c>
      <c r="N21" s="13">
        <v>9849.4500000000007</v>
      </c>
      <c r="O21" s="11">
        <v>0</v>
      </c>
      <c r="P21" s="11">
        <v>5</v>
      </c>
      <c r="Q21" s="13">
        <f>K21+N21</f>
        <v>25402.5</v>
      </c>
      <c r="R21" s="11">
        <f>L21+O21</f>
        <v>2</v>
      </c>
      <c r="S21" s="11">
        <f>M21+P21</f>
        <v>8</v>
      </c>
      <c r="T21" s="8">
        <f>I21-Q21</f>
        <v>-3458.5</v>
      </c>
      <c r="U21" s="18">
        <v>0.40636859479039522</v>
      </c>
      <c r="V21" s="11">
        <v>0.24</v>
      </c>
      <c r="W21" s="11">
        <v>6</v>
      </c>
      <c r="X21" s="11">
        <v>19</v>
      </c>
      <c r="Y21" s="11">
        <v>2</v>
      </c>
    </row>
    <row r="22" spans="1:25" x14ac:dyDescent="0.25">
      <c r="A22" s="20" t="s">
        <v>1459</v>
      </c>
      <c r="B22" s="20" t="s">
        <v>1459</v>
      </c>
      <c r="C22" s="20" t="s">
        <v>1460</v>
      </c>
      <c r="D22" s="20" t="s">
        <v>216</v>
      </c>
      <c r="E22" s="13">
        <v>24472.01</v>
      </c>
      <c r="F22" s="11">
        <v>0</v>
      </c>
      <c r="G22" s="13">
        <v>11308.65</v>
      </c>
      <c r="H22" s="11">
        <v>2</v>
      </c>
      <c r="I22" s="13">
        <f>E22+G22</f>
        <v>35780.659999999996</v>
      </c>
      <c r="J22" s="11">
        <f>F22+H22</f>
        <v>2</v>
      </c>
      <c r="K22" s="13">
        <v>16335.97</v>
      </c>
      <c r="L22" s="11">
        <v>0</v>
      </c>
      <c r="M22" s="11">
        <v>2</v>
      </c>
      <c r="N22" s="13">
        <v>31798.68</v>
      </c>
      <c r="O22" s="11">
        <v>0</v>
      </c>
      <c r="P22" s="11">
        <v>2</v>
      </c>
      <c r="Q22" s="13">
        <f>K22+N22</f>
        <v>48134.65</v>
      </c>
      <c r="R22" s="11">
        <f>L22+O22</f>
        <v>0</v>
      </c>
      <c r="S22" s="11">
        <f>M22+P22</f>
        <v>4</v>
      </c>
      <c r="T22" s="8">
        <f>I22-Q22</f>
        <v>-12353.990000000005</v>
      </c>
      <c r="U22" s="18">
        <v>1.9533152765140581E-2</v>
      </c>
      <c r="V22" s="11">
        <v>0.38</v>
      </c>
      <c r="W22" s="11">
        <v>6</v>
      </c>
      <c r="X22" s="11">
        <v>10</v>
      </c>
      <c r="Y22" s="11">
        <v>4</v>
      </c>
    </row>
    <row r="23" spans="1:25" x14ac:dyDescent="0.25">
      <c r="A23" s="20" t="s">
        <v>1465</v>
      </c>
      <c r="B23" s="20" t="s">
        <v>1465</v>
      </c>
      <c r="C23" s="20" t="s">
        <v>1473</v>
      </c>
      <c r="D23" s="20" t="s">
        <v>216</v>
      </c>
      <c r="E23" s="13">
        <v>0</v>
      </c>
      <c r="F23" s="11">
        <v>0</v>
      </c>
      <c r="G23" s="13">
        <v>0</v>
      </c>
      <c r="H23" s="11">
        <v>0</v>
      </c>
      <c r="I23" s="13">
        <f>E23+G23</f>
        <v>0</v>
      </c>
      <c r="J23" s="11">
        <f>F23+H23</f>
        <v>0</v>
      </c>
      <c r="K23" s="13">
        <v>0</v>
      </c>
      <c r="L23" s="11">
        <v>0</v>
      </c>
      <c r="M23" s="11">
        <v>0</v>
      </c>
      <c r="N23" s="13">
        <v>0</v>
      </c>
      <c r="O23" s="11">
        <v>0</v>
      </c>
      <c r="P23" s="11">
        <v>0</v>
      </c>
      <c r="Q23" s="13">
        <f>K23+N23</f>
        <v>0</v>
      </c>
      <c r="R23" s="11">
        <f>L23+O23</f>
        <v>0</v>
      </c>
      <c r="S23" s="11">
        <f>M23+P23</f>
        <v>0</v>
      </c>
      <c r="T23" s="8">
        <f>I23-Q23</f>
        <v>0</v>
      </c>
      <c r="U23" s="18" t="s">
        <v>1803</v>
      </c>
      <c r="V23" s="11">
        <v>0</v>
      </c>
      <c r="W23" s="11">
        <v>0</v>
      </c>
      <c r="X23" s="11">
        <v>0</v>
      </c>
      <c r="Y23" s="11">
        <v>0</v>
      </c>
    </row>
    <row r="24" spans="1:25" x14ac:dyDescent="0.25">
      <c r="A24" s="20" t="s">
        <v>1478</v>
      </c>
      <c r="B24" s="20" t="s">
        <v>60</v>
      </c>
      <c r="C24" s="20" t="s">
        <v>1479</v>
      </c>
      <c r="D24" s="20" t="s">
        <v>216</v>
      </c>
      <c r="E24" s="13">
        <v>1216</v>
      </c>
      <c r="F24" s="11">
        <v>0</v>
      </c>
      <c r="G24" s="13">
        <v>0</v>
      </c>
      <c r="H24" s="11">
        <v>0</v>
      </c>
      <c r="I24" s="13">
        <f>E24+G24</f>
        <v>1216</v>
      </c>
      <c r="J24" s="11">
        <f>F24+H24</f>
        <v>0</v>
      </c>
      <c r="K24" s="13">
        <v>1349</v>
      </c>
      <c r="L24" s="11">
        <v>0</v>
      </c>
      <c r="M24" s="11">
        <v>0</v>
      </c>
      <c r="N24" s="13">
        <v>0</v>
      </c>
      <c r="O24" s="11">
        <v>0</v>
      </c>
      <c r="P24" s="11">
        <v>0</v>
      </c>
      <c r="Q24" s="13">
        <f>K24+N24</f>
        <v>1349</v>
      </c>
      <c r="R24" s="11">
        <f>L24+O24</f>
        <v>0</v>
      </c>
      <c r="S24" s="11">
        <f>M24+P24</f>
        <v>0</v>
      </c>
      <c r="T24" s="8">
        <f>I24-Q24</f>
        <v>-133</v>
      </c>
      <c r="U24" s="18">
        <v>-0.12510479779968417</v>
      </c>
      <c r="V24" s="11">
        <v>0</v>
      </c>
      <c r="W24" s="11">
        <v>0</v>
      </c>
      <c r="X24" s="11">
        <v>2</v>
      </c>
      <c r="Y24" s="11">
        <v>0</v>
      </c>
    </row>
    <row r="25" spans="1:25" x14ac:dyDescent="0.25">
      <c r="A25" s="20" t="s">
        <v>1480</v>
      </c>
      <c r="B25" s="20" t="s">
        <v>189</v>
      </c>
      <c r="C25" s="20" t="s">
        <v>1481</v>
      </c>
      <c r="D25" s="20" t="s">
        <v>216</v>
      </c>
      <c r="E25" s="13">
        <v>0</v>
      </c>
      <c r="F25" s="11">
        <v>0</v>
      </c>
      <c r="G25" s="13">
        <v>0</v>
      </c>
      <c r="H25" s="11">
        <v>0</v>
      </c>
      <c r="I25" s="13">
        <f>E25+G25</f>
        <v>0</v>
      </c>
      <c r="J25" s="11">
        <f>F25+H25</f>
        <v>0</v>
      </c>
      <c r="K25" s="13">
        <v>0</v>
      </c>
      <c r="L25" s="11">
        <v>0</v>
      </c>
      <c r="M25" s="11">
        <v>0</v>
      </c>
      <c r="N25" s="13">
        <v>0</v>
      </c>
      <c r="O25" s="11">
        <v>0</v>
      </c>
      <c r="P25" s="11">
        <v>0</v>
      </c>
      <c r="Q25" s="13">
        <f>K25+N25</f>
        <v>0</v>
      </c>
      <c r="R25" s="11">
        <f>L25+O25</f>
        <v>0</v>
      </c>
      <c r="S25" s="11">
        <f>M25+P25</f>
        <v>0</v>
      </c>
      <c r="T25" s="8">
        <f>I25-Q25</f>
        <v>0</v>
      </c>
      <c r="U25" s="18">
        <v>-1.6851450374247855E-2</v>
      </c>
      <c r="V25" s="11">
        <v>0</v>
      </c>
      <c r="W25" s="11">
        <v>0</v>
      </c>
      <c r="X25" s="11">
        <v>0</v>
      </c>
      <c r="Y25" s="11">
        <v>0</v>
      </c>
    </row>
    <row r="26" spans="1:25" x14ac:dyDescent="0.25">
      <c r="A26" s="20" t="s">
        <v>912</v>
      </c>
      <c r="B26" s="20" t="s">
        <v>912</v>
      </c>
      <c r="C26" s="20" t="s">
        <v>1471</v>
      </c>
      <c r="D26" s="20" t="s">
        <v>216</v>
      </c>
      <c r="E26" s="13">
        <v>0</v>
      </c>
      <c r="F26" s="11">
        <v>0</v>
      </c>
      <c r="G26" s="13">
        <v>0</v>
      </c>
      <c r="H26" s="11">
        <v>0</v>
      </c>
      <c r="I26" s="13">
        <f>E26+G26</f>
        <v>0</v>
      </c>
      <c r="J26" s="11">
        <f>F26+H26</f>
        <v>0</v>
      </c>
      <c r="K26" s="13">
        <v>0</v>
      </c>
      <c r="L26" s="11">
        <v>0</v>
      </c>
      <c r="M26" s="11">
        <v>0</v>
      </c>
      <c r="N26" s="13">
        <v>0</v>
      </c>
      <c r="O26" s="11">
        <v>0</v>
      </c>
      <c r="P26" s="11">
        <v>2</v>
      </c>
      <c r="Q26" s="13">
        <f>K26+N26</f>
        <v>0</v>
      </c>
      <c r="R26" s="11">
        <f>L26+O26</f>
        <v>0</v>
      </c>
      <c r="S26" s="11">
        <f>M26+P26</f>
        <v>2</v>
      </c>
      <c r="T26" s="8">
        <f>I26-Q26</f>
        <v>0</v>
      </c>
      <c r="U26" s="18">
        <v>4.946250180165334E-2</v>
      </c>
      <c r="V26" s="11">
        <v>0.5</v>
      </c>
      <c r="W26" s="11">
        <v>2</v>
      </c>
      <c r="X26" s="11">
        <v>2</v>
      </c>
      <c r="Y26" s="11">
        <v>0</v>
      </c>
    </row>
    <row r="27" spans="1:25" x14ac:dyDescent="0.25">
      <c r="A27" s="20" t="s">
        <v>1482</v>
      </c>
      <c r="B27" s="20" t="s">
        <v>91</v>
      </c>
      <c r="C27" s="20" t="s">
        <v>1483</v>
      </c>
      <c r="D27" s="20" t="s">
        <v>216</v>
      </c>
      <c r="E27" s="13">
        <v>15569.97</v>
      </c>
      <c r="F27" s="11">
        <v>1</v>
      </c>
      <c r="G27" s="13">
        <v>14244.12</v>
      </c>
      <c r="H27" s="11">
        <v>1</v>
      </c>
      <c r="I27" s="13">
        <f>E27+G27</f>
        <v>29814.09</v>
      </c>
      <c r="J27" s="11">
        <f>F27+H27</f>
        <v>2</v>
      </c>
      <c r="K27" s="13">
        <v>10166</v>
      </c>
      <c r="L27" s="11">
        <v>2</v>
      </c>
      <c r="M27" s="11">
        <v>11</v>
      </c>
      <c r="N27" s="13">
        <v>5389</v>
      </c>
      <c r="O27" s="11">
        <v>0</v>
      </c>
      <c r="P27" s="11">
        <v>4</v>
      </c>
      <c r="Q27" s="13">
        <f>K27+N27</f>
        <v>15555</v>
      </c>
      <c r="R27" s="11">
        <f>L27+O27</f>
        <v>2</v>
      </c>
      <c r="S27" s="11">
        <f>M27+P27</f>
        <v>15</v>
      </c>
      <c r="T27" s="8">
        <f>I27-Q27</f>
        <v>14259.09</v>
      </c>
      <c r="U27" s="18">
        <v>0.2353077467838629</v>
      </c>
      <c r="V27" s="11">
        <v>0.38</v>
      </c>
      <c r="W27" s="11">
        <v>18</v>
      </c>
      <c r="X27" s="11">
        <v>29</v>
      </c>
      <c r="Y27" s="11">
        <v>1</v>
      </c>
    </row>
    <row r="28" spans="1:25" x14ac:dyDescent="0.25">
      <c r="A28" s="20" t="s">
        <v>1484</v>
      </c>
      <c r="B28" s="20" t="s">
        <v>60</v>
      </c>
      <c r="C28" s="20" t="s">
        <v>1485</v>
      </c>
      <c r="D28" s="20" t="s">
        <v>216</v>
      </c>
      <c r="E28" s="13">
        <v>0</v>
      </c>
      <c r="F28" s="11">
        <v>0</v>
      </c>
      <c r="G28" s="13">
        <v>0</v>
      </c>
      <c r="H28" s="11">
        <v>0</v>
      </c>
      <c r="I28" s="13">
        <f>E28+G28</f>
        <v>0</v>
      </c>
      <c r="J28" s="11">
        <f>F28+H28</f>
        <v>0</v>
      </c>
      <c r="K28" s="13">
        <v>0</v>
      </c>
      <c r="L28" s="11">
        <v>0</v>
      </c>
      <c r="M28" s="11">
        <v>0</v>
      </c>
      <c r="N28" s="13">
        <v>1547</v>
      </c>
      <c r="O28" s="11">
        <v>1</v>
      </c>
      <c r="P28" s="11">
        <v>2</v>
      </c>
      <c r="Q28" s="13">
        <f>K28+N28</f>
        <v>1547</v>
      </c>
      <c r="R28" s="11">
        <f>L28+O28</f>
        <v>1</v>
      </c>
      <c r="S28" s="11">
        <f>M28+P28</f>
        <v>2</v>
      </c>
      <c r="T28" s="8">
        <f>I28-Q28</f>
        <v>-1547</v>
      </c>
      <c r="U28" s="18">
        <v>0.44375262895380918</v>
      </c>
      <c r="V28" s="11">
        <v>0.5</v>
      </c>
      <c r="W28" s="11">
        <v>1</v>
      </c>
      <c r="X28" s="11">
        <v>1</v>
      </c>
      <c r="Y28" s="11">
        <v>2</v>
      </c>
    </row>
    <row r="29" spans="1:25" x14ac:dyDescent="0.25">
      <c r="A29" s="20" t="s">
        <v>1486</v>
      </c>
      <c r="B29" s="20" t="s">
        <v>91</v>
      </c>
      <c r="C29" s="20" t="s">
        <v>1487</v>
      </c>
      <c r="D29" s="20" t="s">
        <v>216</v>
      </c>
      <c r="E29" s="13">
        <v>0</v>
      </c>
      <c r="F29" s="11">
        <v>0</v>
      </c>
      <c r="G29" s="13">
        <v>0</v>
      </c>
      <c r="H29" s="11">
        <v>0</v>
      </c>
      <c r="I29" s="13">
        <f>E29+G29</f>
        <v>0</v>
      </c>
      <c r="J29" s="11">
        <f>F29+H29</f>
        <v>0</v>
      </c>
      <c r="K29" s="13">
        <v>0</v>
      </c>
      <c r="L29" s="11">
        <v>0</v>
      </c>
      <c r="M29" s="11">
        <v>0</v>
      </c>
      <c r="N29" s="13">
        <v>0</v>
      </c>
      <c r="O29" s="11">
        <v>0</v>
      </c>
      <c r="P29" s="11">
        <v>0</v>
      </c>
      <c r="Q29" s="13">
        <f>K29+N29</f>
        <v>0</v>
      </c>
      <c r="R29" s="11">
        <f>L29+O29</f>
        <v>0</v>
      </c>
      <c r="S29" s="11">
        <f>M29+P29</f>
        <v>0</v>
      </c>
      <c r="T29" s="8">
        <f>I29-Q29</f>
        <v>0</v>
      </c>
      <c r="U29" s="18">
        <v>-0.20118658530043187</v>
      </c>
      <c r="V29" s="11">
        <v>0</v>
      </c>
      <c r="W29" s="11">
        <v>0</v>
      </c>
      <c r="X29" s="11">
        <v>0</v>
      </c>
      <c r="Y29" s="11">
        <v>0</v>
      </c>
    </row>
    <row r="30" spans="1:25" x14ac:dyDescent="0.25">
      <c r="A30" s="20" t="s">
        <v>1468</v>
      </c>
      <c r="B30" s="20" t="s">
        <v>3591</v>
      </c>
      <c r="C30" s="20" t="s">
        <v>3592</v>
      </c>
      <c r="D30" s="20" t="s">
        <v>215</v>
      </c>
      <c r="E30" s="13">
        <v>0</v>
      </c>
      <c r="F30" s="11">
        <v>0</v>
      </c>
      <c r="G30" s="13">
        <v>0</v>
      </c>
      <c r="H30" s="11">
        <v>0</v>
      </c>
      <c r="I30" s="13">
        <f>E30+G30</f>
        <v>0</v>
      </c>
      <c r="J30" s="11">
        <f>F30+H30</f>
        <v>0</v>
      </c>
      <c r="K30" s="13">
        <v>274.55</v>
      </c>
      <c r="L30" s="11">
        <v>0</v>
      </c>
      <c r="M30" s="11">
        <v>0</v>
      </c>
      <c r="N30" s="13">
        <v>0</v>
      </c>
      <c r="O30" s="11">
        <v>0</v>
      </c>
      <c r="P30" s="11">
        <v>0</v>
      </c>
      <c r="Q30" s="13">
        <f>K30+N30</f>
        <v>274.55</v>
      </c>
      <c r="R30" s="11">
        <f>L30+O30</f>
        <v>0</v>
      </c>
      <c r="S30" s="11">
        <f>M30+P30</f>
        <v>0</v>
      </c>
      <c r="T30" s="8">
        <f>I30-Q30</f>
        <v>-274.55</v>
      </c>
      <c r="U30" s="18" t="s">
        <v>1803</v>
      </c>
      <c r="V30" s="11">
        <v>0</v>
      </c>
      <c r="W30" s="11">
        <v>0</v>
      </c>
      <c r="X30" s="11">
        <v>3</v>
      </c>
      <c r="Y30" s="11">
        <v>0</v>
      </c>
    </row>
    <row r="31" spans="1:25" x14ac:dyDescent="0.25">
      <c r="A31" s="20" t="s">
        <v>1489</v>
      </c>
      <c r="B31" s="20" t="s">
        <v>756</v>
      </c>
      <c r="C31" s="20" t="s">
        <v>1490</v>
      </c>
      <c r="D31" s="20" t="s">
        <v>216</v>
      </c>
      <c r="E31" s="13">
        <v>0</v>
      </c>
      <c r="F31" s="11">
        <v>0</v>
      </c>
      <c r="G31" s="13">
        <v>0</v>
      </c>
      <c r="H31" s="11">
        <v>0</v>
      </c>
      <c r="I31" s="13">
        <f>E31+G31</f>
        <v>0</v>
      </c>
      <c r="J31" s="11">
        <f>F31+H31</f>
        <v>0</v>
      </c>
      <c r="K31" s="13">
        <v>0</v>
      </c>
      <c r="L31" s="11">
        <v>0</v>
      </c>
      <c r="M31" s="11">
        <v>0</v>
      </c>
      <c r="N31" s="13">
        <v>0</v>
      </c>
      <c r="O31" s="11">
        <v>0</v>
      </c>
      <c r="P31" s="11">
        <v>0</v>
      </c>
      <c r="Q31" s="13">
        <f>K31+N31</f>
        <v>0</v>
      </c>
      <c r="R31" s="11">
        <f>L31+O31</f>
        <v>0</v>
      </c>
      <c r="S31" s="11">
        <f>M31+P31</f>
        <v>0</v>
      </c>
      <c r="T31" s="8">
        <f>I31-Q31</f>
        <v>0</v>
      </c>
      <c r="U31" s="18" t="s">
        <v>1803</v>
      </c>
      <c r="V31" s="11">
        <v>0</v>
      </c>
      <c r="W31" s="11">
        <v>0</v>
      </c>
      <c r="X31" s="11">
        <v>0</v>
      </c>
      <c r="Y31" s="11">
        <v>0</v>
      </c>
    </row>
    <row r="32" spans="1:25" x14ac:dyDescent="0.25">
      <c r="A32" s="20" t="s">
        <v>1491</v>
      </c>
      <c r="B32" s="20" t="s">
        <v>756</v>
      </c>
      <c r="C32" s="20" t="s">
        <v>1492</v>
      </c>
      <c r="D32" s="20" t="s">
        <v>216</v>
      </c>
      <c r="E32" s="13">
        <v>0</v>
      </c>
      <c r="F32" s="11">
        <v>0</v>
      </c>
      <c r="G32" s="13">
        <v>0</v>
      </c>
      <c r="H32" s="11">
        <v>0</v>
      </c>
      <c r="I32" s="13">
        <f>E32+G32</f>
        <v>0</v>
      </c>
      <c r="J32" s="11">
        <f>F32+H32</f>
        <v>0</v>
      </c>
      <c r="K32" s="13">
        <v>0</v>
      </c>
      <c r="L32" s="11">
        <v>0</v>
      </c>
      <c r="M32" s="11">
        <v>0</v>
      </c>
      <c r="N32" s="13">
        <v>0</v>
      </c>
      <c r="O32" s="11">
        <v>0</v>
      </c>
      <c r="P32" s="11">
        <v>0</v>
      </c>
      <c r="Q32" s="13">
        <f>K32+N32</f>
        <v>0</v>
      </c>
      <c r="R32" s="11">
        <f>L32+O32</f>
        <v>0</v>
      </c>
      <c r="S32" s="11">
        <f>M32+P32</f>
        <v>0</v>
      </c>
      <c r="T32" s="8">
        <f>I32-Q32</f>
        <v>0</v>
      </c>
      <c r="U32" s="18" t="s">
        <v>1803</v>
      </c>
      <c r="V32" s="11">
        <v>0</v>
      </c>
      <c r="W32" s="11">
        <v>0</v>
      </c>
      <c r="X32" s="11">
        <v>0</v>
      </c>
      <c r="Y32" s="11">
        <v>0</v>
      </c>
    </row>
    <row r="33" spans="1:25" x14ac:dyDescent="0.25">
      <c r="A33" s="20" t="s">
        <v>1499</v>
      </c>
      <c r="B33" s="20" t="s">
        <v>202</v>
      </c>
      <c r="C33" s="20" t="s">
        <v>320</v>
      </c>
      <c r="D33" s="20" t="s">
        <v>216</v>
      </c>
      <c r="E33" s="13">
        <v>1379</v>
      </c>
      <c r="F33" s="11">
        <v>0</v>
      </c>
      <c r="G33" s="13">
        <v>3406</v>
      </c>
      <c r="H33" s="11">
        <v>1</v>
      </c>
      <c r="I33" s="13">
        <f>E33+G33</f>
        <v>4785</v>
      </c>
      <c r="J33" s="11">
        <f>F33+H33</f>
        <v>1</v>
      </c>
      <c r="K33" s="13">
        <v>19589</v>
      </c>
      <c r="L33" s="11">
        <v>0</v>
      </c>
      <c r="M33" s="11">
        <v>0</v>
      </c>
      <c r="N33" s="13">
        <v>23531.09</v>
      </c>
      <c r="O33" s="11">
        <v>4</v>
      </c>
      <c r="P33" s="11">
        <v>7</v>
      </c>
      <c r="Q33" s="13">
        <f>K33+N33</f>
        <v>43120.09</v>
      </c>
      <c r="R33" s="11">
        <f>L33+O33</f>
        <v>4</v>
      </c>
      <c r="S33" s="11">
        <f>M33+P33</f>
        <v>7</v>
      </c>
      <c r="T33" s="8">
        <f>I33-Q33</f>
        <v>-38335.089999999997</v>
      </c>
      <c r="U33" s="18">
        <v>1.8077644938908257E-2</v>
      </c>
      <c r="V33" s="11">
        <v>0.31</v>
      </c>
      <c r="W33" s="11">
        <v>4</v>
      </c>
      <c r="X33" s="11">
        <v>9</v>
      </c>
      <c r="Y33" s="11">
        <v>2</v>
      </c>
    </row>
    <row r="34" spans="1:25" x14ac:dyDescent="0.25">
      <c r="A34" s="20" t="s">
        <v>1500</v>
      </c>
      <c r="B34" s="20" t="s">
        <v>1465</v>
      </c>
      <c r="C34" s="20" t="s">
        <v>1501</v>
      </c>
      <c r="D34" s="20" t="s">
        <v>216</v>
      </c>
      <c r="E34" s="13">
        <v>0</v>
      </c>
      <c r="F34" s="11">
        <v>0</v>
      </c>
      <c r="G34" s="13">
        <v>0</v>
      </c>
      <c r="H34" s="11">
        <v>0</v>
      </c>
      <c r="I34" s="13">
        <f>E34+G34</f>
        <v>0</v>
      </c>
      <c r="J34" s="11">
        <f>F34+H34</f>
        <v>0</v>
      </c>
      <c r="K34" s="13">
        <v>0</v>
      </c>
      <c r="L34" s="11">
        <v>0</v>
      </c>
      <c r="M34" s="11">
        <v>0</v>
      </c>
      <c r="N34" s="13">
        <v>0</v>
      </c>
      <c r="O34" s="11">
        <v>0</v>
      </c>
      <c r="P34" s="11">
        <v>1</v>
      </c>
      <c r="Q34" s="13">
        <f>K34+N34</f>
        <v>0</v>
      </c>
      <c r="R34" s="11">
        <f>L34+O34</f>
        <v>0</v>
      </c>
      <c r="S34" s="11">
        <f>M34+P34</f>
        <v>1</v>
      </c>
      <c r="T34" s="8">
        <f>I34-Q34</f>
        <v>0</v>
      </c>
      <c r="U34" s="18">
        <v>9.1207201737208338E-2</v>
      </c>
      <c r="V34" s="11">
        <v>0.25</v>
      </c>
      <c r="W34" s="11">
        <v>1</v>
      </c>
      <c r="X34" s="11">
        <v>3</v>
      </c>
      <c r="Y34" s="11">
        <v>1</v>
      </c>
    </row>
    <row r="35" spans="1:25" x14ac:dyDescent="0.25">
      <c r="A35" s="20" t="s">
        <v>1504</v>
      </c>
      <c r="B35" s="20" t="s">
        <v>1465</v>
      </c>
      <c r="C35" s="20" t="s">
        <v>1505</v>
      </c>
      <c r="D35" s="20" t="s">
        <v>216</v>
      </c>
      <c r="E35" s="13">
        <v>0</v>
      </c>
      <c r="F35" s="11">
        <v>0</v>
      </c>
      <c r="G35" s="13">
        <v>7373</v>
      </c>
      <c r="H35" s="11">
        <v>0</v>
      </c>
      <c r="I35" s="13">
        <f>E35+G35</f>
        <v>7373</v>
      </c>
      <c r="J35" s="11">
        <f>F35+H35</f>
        <v>0</v>
      </c>
      <c r="K35" s="13">
        <v>0</v>
      </c>
      <c r="L35" s="11">
        <v>0</v>
      </c>
      <c r="M35" s="11">
        <v>0</v>
      </c>
      <c r="N35" s="13">
        <v>6767</v>
      </c>
      <c r="O35" s="11">
        <v>0</v>
      </c>
      <c r="P35" s="11">
        <v>0</v>
      </c>
      <c r="Q35" s="13">
        <f>K35+N35</f>
        <v>6767</v>
      </c>
      <c r="R35" s="11">
        <f>L35+O35</f>
        <v>0</v>
      </c>
      <c r="S35" s="11">
        <f>M35+P35</f>
        <v>0</v>
      </c>
      <c r="T35" s="8">
        <f>I35-Q35</f>
        <v>606</v>
      </c>
      <c r="U35" s="18">
        <v>6.4744833864223097E-2</v>
      </c>
      <c r="V35" s="11">
        <v>0</v>
      </c>
      <c r="W35" s="11">
        <v>0</v>
      </c>
      <c r="X35" s="11">
        <v>1</v>
      </c>
      <c r="Y35" s="11">
        <v>0</v>
      </c>
    </row>
    <row r="36" spans="1:25" x14ac:dyDescent="0.25">
      <c r="A36" s="20" t="s">
        <v>1508</v>
      </c>
      <c r="B36" s="20" t="s">
        <v>60</v>
      </c>
      <c r="C36" s="20" t="s">
        <v>1509</v>
      </c>
      <c r="D36" s="20" t="s">
        <v>216</v>
      </c>
      <c r="E36" s="13">
        <v>4636</v>
      </c>
      <c r="F36" s="11">
        <v>0</v>
      </c>
      <c r="G36" s="13">
        <v>0</v>
      </c>
      <c r="H36" s="11">
        <v>0</v>
      </c>
      <c r="I36" s="13">
        <f>E36+G36</f>
        <v>4636</v>
      </c>
      <c r="J36" s="11">
        <f>F36+H36</f>
        <v>0</v>
      </c>
      <c r="K36" s="13">
        <v>4389</v>
      </c>
      <c r="L36" s="11">
        <v>0</v>
      </c>
      <c r="M36" s="11">
        <v>0</v>
      </c>
      <c r="N36" s="13">
        <v>0</v>
      </c>
      <c r="O36" s="11">
        <v>0</v>
      </c>
      <c r="P36" s="11">
        <v>0</v>
      </c>
      <c r="Q36" s="13">
        <f>K36+N36</f>
        <v>4389</v>
      </c>
      <c r="R36" s="11">
        <f>L36+O36</f>
        <v>0</v>
      </c>
      <c r="S36" s="11">
        <f>M36+P36</f>
        <v>0</v>
      </c>
      <c r="T36" s="8">
        <f>I36-Q36</f>
        <v>247</v>
      </c>
      <c r="U36" s="18">
        <v>4.4155616552917949E-2</v>
      </c>
      <c r="V36" s="11">
        <v>0</v>
      </c>
      <c r="W36" s="11">
        <v>0</v>
      </c>
      <c r="X36" s="11">
        <v>0</v>
      </c>
      <c r="Y36" s="11">
        <v>0</v>
      </c>
    </row>
    <row r="37" spans="1:25" x14ac:dyDescent="0.25">
      <c r="A37" s="20" t="s">
        <v>1510</v>
      </c>
      <c r="B37" s="20" t="s">
        <v>257</v>
      </c>
      <c r="C37" s="20" t="s">
        <v>1477</v>
      </c>
      <c r="D37" s="20" t="s">
        <v>216</v>
      </c>
      <c r="E37" s="13">
        <v>19078.62</v>
      </c>
      <c r="F37" s="11">
        <v>1</v>
      </c>
      <c r="G37" s="13">
        <v>41887.25</v>
      </c>
      <c r="H37" s="11">
        <v>2</v>
      </c>
      <c r="I37" s="13">
        <f>E37+G37</f>
        <v>60965.869999999995</v>
      </c>
      <c r="J37" s="11">
        <f>F37+H37</f>
        <v>3</v>
      </c>
      <c r="K37" s="13">
        <v>17631.57</v>
      </c>
      <c r="L37" s="11">
        <v>3</v>
      </c>
      <c r="M37" s="11">
        <v>8</v>
      </c>
      <c r="N37" s="13">
        <v>35841.75</v>
      </c>
      <c r="O37" s="11">
        <v>4</v>
      </c>
      <c r="P37" s="11">
        <v>12</v>
      </c>
      <c r="Q37" s="13">
        <f>K37+N37</f>
        <v>53473.32</v>
      </c>
      <c r="R37" s="11">
        <f>L37+O37</f>
        <v>7</v>
      </c>
      <c r="S37" s="11">
        <f>M37+P37</f>
        <v>20</v>
      </c>
      <c r="T37" s="8">
        <f>I37-Q37</f>
        <v>7492.5499999999956</v>
      </c>
      <c r="U37" s="18">
        <v>0.32131509614420728</v>
      </c>
      <c r="V37" s="11">
        <v>0.41</v>
      </c>
      <c r="W37" s="11">
        <v>17</v>
      </c>
      <c r="X37" s="11">
        <v>24</v>
      </c>
      <c r="Y37" s="11">
        <v>4</v>
      </c>
    </row>
    <row r="38" spans="1:25" x14ac:dyDescent="0.25">
      <c r="A38" s="20" t="s">
        <v>1511</v>
      </c>
      <c r="B38" s="20" t="s">
        <v>1377</v>
      </c>
      <c r="C38" s="20" t="s">
        <v>1512</v>
      </c>
      <c r="D38" s="20" t="s">
        <v>216</v>
      </c>
      <c r="E38" s="13">
        <v>0</v>
      </c>
      <c r="F38" s="11">
        <v>0</v>
      </c>
      <c r="G38" s="13">
        <v>0</v>
      </c>
      <c r="H38" s="11">
        <v>0</v>
      </c>
      <c r="I38" s="13">
        <f>E38+G38</f>
        <v>0</v>
      </c>
      <c r="J38" s="11">
        <f>F38+H38</f>
        <v>0</v>
      </c>
      <c r="K38" s="13">
        <v>0</v>
      </c>
      <c r="L38" s="11">
        <v>0</v>
      </c>
      <c r="M38" s="11">
        <v>0</v>
      </c>
      <c r="N38" s="13">
        <v>0</v>
      </c>
      <c r="O38" s="11">
        <v>0</v>
      </c>
      <c r="P38" s="11">
        <v>0</v>
      </c>
      <c r="Q38" s="13">
        <f>K38+N38</f>
        <v>0</v>
      </c>
      <c r="R38" s="11">
        <f>L38+O38</f>
        <v>0</v>
      </c>
      <c r="S38" s="11">
        <f>M38+P38</f>
        <v>0</v>
      </c>
      <c r="T38" s="8">
        <f>I38-Q38</f>
        <v>0</v>
      </c>
      <c r="U38" s="18" t="s">
        <v>1803</v>
      </c>
      <c r="V38" s="11">
        <v>0</v>
      </c>
      <c r="W38" s="11">
        <v>0</v>
      </c>
      <c r="X38" s="11">
        <v>0</v>
      </c>
      <c r="Y38" s="11">
        <v>0</v>
      </c>
    </row>
    <row r="39" spans="1:25" x14ac:dyDescent="0.25">
      <c r="A39" s="20" t="s">
        <v>1814</v>
      </c>
      <c r="B39" s="20" t="s">
        <v>202</v>
      </c>
      <c r="C39" s="20" t="s">
        <v>203</v>
      </c>
      <c r="D39" s="20" t="s">
        <v>216</v>
      </c>
      <c r="E39" s="13">
        <v>5074</v>
      </c>
      <c r="F39" s="11">
        <v>0</v>
      </c>
      <c r="G39" s="13">
        <v>0</v>
      </c>
      <c r="H39" s="11">
        <v>0</v>
      </c>
      <c r="I39" s="13">
        <f>E39+G39</f>
        <v>5074</v>
      </c>
      <c r="J39" s="11">
        <f>F39+H39</f>
        <v>0</v>
      </c>
      <c r="K39" s="13">
        <v>5461</v>
      </c>
      <c r="L39" s="11">
        <v>0</v>
      </c>
      <c r="M39" s="11">
        <v>0</v>
      </c>
      <c r="N39" s="13">
        <v>-773.76</v>
      </c>
      <c r="O39" s="11">
        <v>0</v>
      </c>
      <c r="P39" s="11">
        <v>0</v>
      </c>
      <c r="Q39" s="13">
        <f>K39+N39</f>
        <v>4687.24</v>
      </c>
      <c r="R39" s="11">
        <f>L39+O39</f>
        <v>0</v>
      </c>
      <c r="S39" s="11">
        <f>M39+P39</f>
        <v>0</v>
      </c>
      <c r="T39" s="8">
        <f>I39-Q39</f>
        <v>386.76000000000022</v>
      </c>
      <c r="U39" s="18">
        <v>7.5713857237957993E-3</v>
      </c>
      <c r="V39" s="11">
        <v>0</v>
      </c>
      <c r="W39" s="11">
        <v>0</v>
      </c>
      <c r="X39" s="11">
        <v>4</v>
      </c>
      <c r="Y39" s="11">
        <v>0</v>
      </c>
    </row>
    <row r="40" spans="1:25" x14ac:dyDescent="0.25">
      <c r="A40" s="20" t="s">
        <v>3041</v>
      </c>
      <c r="B40" s="20" t="s">
        <v>202</v>
      </c>
      <c r="C40" s="20" t="s">
        <v>3042</v>
      </c>
      <c r="D40" s="20" t="s">
        <v>216</v>
      </c>
      <c r="E40" s="13">
        <v>0</v>
      </c>
      <c r="F40" s="11">
        <v>0</v>
      </c>
      <c r="G40" s="13">
        <v>2908</v>
      </c>
      <c r="H40" s="11">
        <v>1</v>
      </c>
      <c r="I40" s="13">
        <f>E40+G40</f>
        <v>2908</v>
      </c>
      <c r="J40" s="11">
        <f>F40+H40</f>
        <v>1</v>
      </c>
      <c r="K40" s="13">
        <v>4414.99</v>
      </c>
      <c r="L40" s="11">
        <v>1</v>
      </c>
      <c r="M40" s="11">
        <v>1</v>
      </c>
      <c r="N40" s="13">
        <v>-720.5</v>
      </c>
      <c r="O40" s="11">
        <v>0</v>
      </c>
      <c r="P40" s="11">
        <v>0</v>
      </c>
      <c r="Q40" s="13">
        <f>K40+N40</f>
        <v>3694.49</v>
      </c>
      <c r="R40" s="11">
        <f>L40+O40</f>
        <v>1</v>
      </c>
      <c r="S40" s="11">
        <f>M40+P40</f>
        <v>1</v>
      </c>
      <c r="T40" s="8">
        <f>I40-Q40</f>
        <v>-786.48999999999978</v>
      </c>
      <c r="U40" s="18">
        <v>6.4014173243362213E-2</v>
      </c>
      <c r="V40" s="11">
        <v>0.25</v>
      </c>
      <c r="W40" s="11">
        <v>1</v>
      </c>
      <c r="X40" s="11">
        <v>3</v>
      </c>
      <c r="Y40" s="11">
        <v>0</v>
      </c>
    </row>
    <row r="41" spans="1:25" x14ac:dyDescent="0.25">
      <c r="A41" s="20" t="s">
        <v>3043</v>
      </c>
      <c r="B41" s="20" t="s">
        <v>83</v>
      </c>
      <c r="C41" s="20" t="s">
        <v>638</v>
      </c>
      <c r="D41" s="20" t="s">
        <v>216</v>
      </c>
      <c r="E41" s="13">
        <v>0</v>
      </c>
      <c r="F41" s="11">
        <v>0</v>
      </c>
      <c r="G41" s="13">
        <v>0</v>
      </c>
      <c r="H41" s="11">
        <v>0</v>
      </c>
      <c r="I41" s="13">
        <f>E41+G41</f>
        <v>0</v>
      </c>
      <c r="J41" s="11">
        <f>F41+H41</f>
        <v>0</v>
      </c>
      <c r="K41" s="13">
        <v>0</v>
      </c>
      <c r="L41" s="11">
        <v>0</v>
      </c>
      <c r="M41" s="11">
        <v>0</v>
      </c>
      <c r="N41" s="13">
        <v>0</v>
      </c>
      <c r="O41" s="11">
        <v>0</v>
      </c>
      <c r="P41" s="11">
        <v>0</v>
      </c>
      <c r="Q41" s="13">
        <f>K41+N41</f>
        <v>0</v>
      </c>
      <c r="R41" s="11">
        <f>L41+O41</f>
        <v>0</v>
      </c>
      <c r="S41" s="11">
        <f>M41+P41</f>
        <v>0</v>
      </c>
      <c r="T41" s="8">
        <f>I41-Q41</f>
        <v>0</v>
      </c>
      <c r="U41" s="18">
        <v>2.541420798515143E-2</v>
      </c>
      <c r="V41" s="11">
        <v>0</v>
      </c>
      <c r="W41" s="11">
        <v>0</v>
      </c>
      <c r="X41" s="11">
        <v>1</v>
      </c>
      <c r="Y41" s="11">
        <v>0</v>
      </c>
    </row>
    <row r="42" spans="1:25" x14ac:dyDescent="0.25">
      <c r="A42" s="20" t="s">
        <v>3044</v>
      </c>
      <c r="B42" s="20" t="s">
        <v>91</v>
      </c>
      <c r="C42" s="20" t="s">
        <v>3045</v>
      </c>
      <c r="D42" s="20" t="s">
        <v>216</v>
      </c>
      <c r="E42" s="13">
        <v>0</v>
      </c>
      <c r="F42" s="11">
        <v>0</v>
      </c>
      <c r="G42" s="13">
        <v>0</v>
      </c>
      <c r="H42" s="11">
        <v>0</v>
      </c>
      <c r="I42" s="13">
        <f>E42+G42</f>
        <v>0</v>
      </c>
      <c r="J42" s="11">
        <f>F42+H42</f>
        <v>0</v>
      </c>
      <c r="K42" s="13">
        <v>0</v>
      </c>
      <c r="L42" s="11">
        <v>0</v>
      </c>
      <c r="M42" s="11">
        <v>0</v>
      </c>
      <c r="N42" s="13">
        <v>0</v>
      </c>
      <c r="O42" s="11">
        <v>0</v>
      </c>
      <c r="P42" s="11">
        <v>0</v>
      </c>
      <c r="Q42" s="13">
        <f>K42+N42</f>
        <v>0</v>
      </c>
      <c r="R42" s="11">
        <f>L42+O42</f>
        <v>0</v>
      </c>
      <c r="S42" s="11">
        <f>M42+P42</f>
        <v>0</v>
      </c>
      <c r="T42" s="8">
        <f>I42-Q42</f>
        <v>0</v>
      </c>
      <c r="U42" s="18">
        <v>3.1600446416474949E-2</v>
      </c>
      <c r="V42" s="11">
        <v>0</v>
      </c>
      <c r="W42" s="11">
        <v>0</v>
      </c>
      <c r="X42" s="11">
        <v>5</v>
      </c>
      <c r="Y42" s="11">
        <v>7</v>
      </c>
    </row>
    <row r="43" spans="1:25" x14ac:dyDescent="0.25">
      <c r="A43" s="20" t="s">
        <v>3056</v>
      </c>
      <c r="B43" s="20" t="s">
        <v>257</v>
      </c>
      <c r="C43" s="20" t="s">
        <v>1436</v>
      </c>
      <c r="D43" s="20" t="s">
        <v>216</v>
      </c>
      <c r="E43" s="13">
        <v>38455.699999999997</v>
      </c>
      <c r="F43" s="11">
        <v>1</v>
      </c>
      <c r="G43" s="13">
        <v>48887</v>
      </c>
      <c r="H43" s="11">
        <v>2</v>
      </c>
      <c r="I43" s="13">
        <f>E43+G43</f>
        <v>87342.7</v>
      </c>
      <c r="J43" s="11">
        <f>F43+H43</f>
        <v>3</v>
      </c>
      <c r="K43" s="13">
        <v>47680.99</v>
      </c>
      <c r="L43" s="11">
        <v>0</v>
      </c>
      <c r="M43" s="11">
        <v>1</v>
      </c>
      <c r="N43" s="13">
        <v>56820</v>
      </c>
      <c r="O43" s="11">
        <v>0</v>
      </c>
      <c r="P43" s="11">
        <v>6</v>
      </c>
      <c r="Q43" s="13">
        <f>K43+N43</f>
        <v>104500.98999999999</v>
      </c>
      <c r="R43" s="11">
        <f>L43+O43</f>
        <v>0</v>
      </c>
      <c r="S43" s="11">
        <f>M43+P43</f>
        <v>7</v>
      </c>
      <c r="T43" s="8">
        <f>I43-Q43</f>
        <v>-17158.289999999994</v>
      </c>
      <c r="U43" s="18">
        <v>7.6411750146958599E-2</v>
      </c>
      <c r="V43" s="11">
        <v>0.22</v>
      </c>
      <c r="W43" s="11">
        <v>10</v>
      </c>
      <c r="X43" s="11">
        <v>36</v>
      </c>
      <c r="Y43" s="11">
        <v>14</v>
      </c>
    </row>
    <row r="44" spans="1:25" x14ac:dyDescent="0.25">
      <c r="A44" s="20" t="s">
        <v>3122</v>
      </c>
      <c r="B44" s="20" t="s">
        <v>60</v>
      </c>
      <c r="C44" s="20" t="s">
        <v>3123</v>
      </c>
      <c r="D44" s="20" t="s">
        <v>216</v>
      </c>
      <c r="E44" s="13">
        <v>0</v>
      </c>
      <c r="F44" s="11">
        <v>0</v>
      </c>
      <c r="G44" s="13">
        <v>0</v>
      </c>
      <c r="H44" s="11">
        <v>0</v>
      </c>
      <c r="I44" s="13">
        <f>E44+G44</f>
        <v>0</v>
      </c>
      <c r="J44" s="11">
        <f>F44+H44</f>
        <v>0</v>
      </c>
      <c r="K44" s="13">
        <v>18379</v>
      </c>
      <c r="L44" s="11">
        <v>2</v>
      </c>
      <c r="M44" s="11">
        <v>4</v>
      </c>
      <c r="N44" s="13">
        <v>0</v>
      </c>
      <c r="O44" s="11">
        <v>0</v>
      </c>
      <c r="P44" s="11">
        <v>1</v>
      </c>
      <c r="Q44" s="13">
        <f>K44+N44</f>
        <v>18379</v>
      </c>
      <c r="R44" s="11">
        <f>L44+O44</f>
        <v>2</v>
      </c>
      <c r="S44" s="11">
        <f>M44+P44</f>
        <v>5</v>
      </c>
      <c r="T44" s="8">
        <f>I44-Q44</f>
        <v>-18379</v>
      </c>
      <c r="U44" s="18">
        <v>0.17989953010533175</v>
      </c>
      <c r="V44" s="11">
        <v>0.27</v>
      </c>
      <c r="W44" s="11">
        <v>3</v>
      </c>
      <c r="X44" s="11">
        <v>8</v>
      </c>
      <c r="Y44" s="11">
        <v>1</v>
      </c>
    </row>
    <row r="45" spans="1:25" x14ac:dyDescent="0.25">
      <c r="A45" s="20" t="s">
        <v>3135</v>
      </c>
      <c r="B45" s="20" t="s">
        <v>83</v>
      </c>
      <c r="C45" s="20" t="s">
        <v>3134</v>
      </c>
      <c r="D45" s="20" t="s">
        <v>216</v>
      </c>
      <c r="E45" s="13">
        <v>0</v>
      </c>
      <c r="F45" s="11">
        <v>0</v>
      </c>
      <c r="G45" s="13">
        <v>0</v>
      </c>
      <c r="H45" s="11">
        <v>0</v>
      </c>
      <c r="I45" s="13">
        <f>E45+G45</f>
        <v>0</v>
      </c>
      <c r="J45" s="11">
        <f>F45+H45</f>
        <v>0</v>
      </c>
      <c r="K45" s="13">
        <v>-9932</v>
      </c>
      <c r="L45" s="11">
        <v>0</v>
      </c>
      <c r="M45" s="11">
        <v>0</v>
      </c>
      <c r="N45" s="13">
        <v>0</v>
      </c>
      <c r="O45" s="11">
        <v>0</v>
      </c>
      <c r="P45" s="11">
        <v>0</v>
      </c>
      <c r="Q45" s="13">
        <f>K45+N45</f>
        <v>-9932</v>
      </c>
      <c r="R45" s="11">
        <f>L45+O45</f>
        <v>0</v>
      </c>
      <c r="S45" s="11">
        <f>M45+P45</f>
        <v>0</v>
      </c>
      <c r="T45" s="8">
        <f>I45-Q45</f>
        <v>9932</v>
      </c>
      <c r="U45" s="18">
        <v>-2.8432886739152206E-2</v>
      </c>
      <c r="V45" s="11">
        <v>0</v>
      </c>
      <c r="W45" s="11">
        <v>0</v>
      </c>
      <c r="X45" s="11">
        <v>0</v>
      </c>
      <c r="Y45" s="11">
        <v>0</v>
      </c>
    </row>
    <row r="46" spans="1:25" x14ac:dyDescent="0.25">
      <c r="A46" s="20" t="s">
        <v>3206</v>
      </c>
      <c r="B46" s="20" t="s">
        <v>257</v>
      </c>
      <c r="C46" s="20" t="s">
        <v>3207</v>
      </c>
      <c r="D46" s="20" t="s">
        <v>216</v>
      </c>
      <c r="E46" s="13">
        <v>0</v>
      </c>
      <c r="F46" s="11">
        <v>0</v>
      </c>
      <c r="G46" s="13">
        <v>0</v>
      </c>
      <c r="H46" s="11">
        <v>0</v>
      </c>
      <c r="I46" s="13">
        <f>E46+G46</f>
        <v>0</v>
      </c>
      <c r="J46" s="11">
        <f>F46+H46</f>
        <v>0</v>
      </c>
      <c r="K46" s="13">
        <v>0</v>
      </c>
      <c r="L46" s="11">
        <v>0</v>
      </c>
      <c r="M46" s="11">
        <v>0</v>
      </c>
      <c r="N46" s="13">
        <v>0</v>
      </c>
      <c r="O46" s="11">
        <v>0</v>
      </c>
      <c r="P46" s="11">
        <v>0</v>
      </c>
      <c r="Q46" s="13">
        <f>K46+N46</f>
        <v>0</v>
      </c>
      <c r="R46" s="11">
        <f>L46+O46</f>
        <v>0</v>
      </c>
      <c r="S46" s="11">
        <f>M46+P46</f>
        <v>0</v>
      </c>
      <c r="T46" s="8">
        <f>I46-Q46</f>
        <v>0</v>
      </c>
      <c r="U46" s="18">
        <v>2.7518290839738002E-2</v>
      </c>
      <c r="V46" s="11">
        <v>0</v>
      </c>
      <c r="W46" s="11">
        <v>0</v>
      </c>
      <c r="X46" s="11">
        <v>0</v>
      </c>
      <c r="Y46" s="11">
        <v>0</v>
      </c>
    </row>
    <row r="47" spans="1:25" x14ac:dyDescent="0.25">
      <c r="A47" s="20" t="s">
        <v>3208</v>
      </c>
      <c r="B47" s="20" t="s">
        <v>83</v>
      </c>
      <c r="C47" s="20" t="s">
        <v>266</v>
      </c>
      <c r="D47" s="20" t="s">
        <v>216</v>
      </c>
      <c r="E47" s="13">
        <v>0</v>
      </c>
      <c r="F47" s="11">
        <v>0</v>
      </c>
      <c r="G47" s="13">
        <v>0</v>
      </c>
      <c r="H47" s="11">
        <v>0</v>
      </c>
      <c r="I47" s="13">
        <f>E47+G47</f>
        <v>0</v>
      </c>
      <c r="J47" s="11">
        <f>F47+H47</f>
        <v>0</v>
      </c>
      <c r="K47" s="13">
        <v>2284</v>
      </c>
      <c r="L47" s="11">
        <v>0</v>
      </c>
      <c r="M47" s="11">
        <v>0</v>
      </c>
      <c r="N47" s="13">
        <v>0</v>
      </c>
      <c r="O47" s="11">
        <v>0</v>
      </c>
      <c r="P47" s="11">
        <v>0</v>
      </c>
      <c r="Q47" s="13">
        <f>K47+N47</f>
        <v>2284</v>
      </c>
      <c r="R47" s="11">
        <f>L47+O47</f>
        <v>0</v>
      </c>
      <c r="S47" s="11">
        <f>M47+P47</f>
        <v>0</v>
      </c>
      <c r="T47" s="8">
        <f>I47-Q47</f>
        <v>-2284</v>
      </c>
      <c r="U47" s="18">
        <v>-4.5788158454965276E-2</v>
      </c>
      <c r="V47" s="11">
        <v>0</v>
      </c>
      <c r="W47" s="11">
        <v>0</v>
      </c>
      <c r="X47" s="11">
        <v>1</v>
      </c>
      <c r="Y47" s="11">
        <v>0</v>
      </c>
    </row>
    <row r="48" spans="1:25" x14ac:dyDescent="0.25">
      <c r="A48" s="20" t="s">
        <v>3251</v>
      </c>
      <c r="B48" s="20" t="s">
        <v>1432</v>
      </c>
      <c r="C48" s="20" t="s">
        <v>3250</v>
      </c>
      <c r="D48" s="20" t="s">
        <v>216</v>
      </c>
      <c r="E48" s="13">
        <v>1557</v>
      </c>
      <c r="F48" s="11">
        <v>0</v>
      </c>
      <c r="G48" s="13">
        <v>0</v>
      </c>
      <c r="H48" s="11">
        <v>0</v>
      </c>
      <c r="I48" s="13">
        <f>E48+G48</f>
        <v>1557</v>
      </c>
      <c r="J48" s="11">
        <f>F48+H48</f>
        <v>0</v>
      </c>
      <c r="K48" s="13">
        <v>7591.1</v>
      </c>
      <c r="L48" s="11">
        <v>1</v>
      </c>
      <c r="M48" s="11">
        <v>1</v>
      </c>
      <c r="N48" s="13">
        <v>0</v>
      </c>
      <c r="O48" s="11">
        <v>0</v>
      </c>
      <c r="P48" s="11">
        <v>0</v>
      </c>
      <c r="Q48" s="13">
        <f>K48+N48</f>
        <v>7591.1</v>
      </c>
      <c r="R48" s="11">
        <f>L48+O48</f>
        <v>1</v>
      </c>
      <c r="S48" s="11">
        <f>M48+P48</f>
        <v>1</v>
      </c>
      <c r="T48" s="8">
        <f>I48-Q48</f>
        <v>-6034.1</v>
      </c>
      <c r="U48" s="18">
        <v>-1.6114004997247279E-2</v>
      </c>
      <c r="V48" s="11">
        <v>0</v>
      </c>
      <c r="W48" s="11">
        <v>0</v>
      </c>
      <c r="X48" s="11">
        <v>0</v>
      </c>
      <c r="Y48" s="11">
        <v>0</v>
      </c>
    </row>
    <row r="49" spans="1:25" x14ac:dyDescent="0.25">
      <c r="A49" s="20" t="s">
        <v>3275</v>
      </c>
      <c r="B49" s="20" t="s">
        <v>257</v>
      </c>
      <c r="C49" s="20" t="s">
        <v>3274</v>
      </c>
      <c r="D49" s="20" t="s">
        <v>215</v>
      </c>
      <c r="E49" s="13">
        <v>0</v>
      </c>
      <c r="F49" s="11">
        <v>0</v>
      </c>
      <c r="G49" s="13">
        <v>0</v>
      </c>
      <c r="H49" s="11">
        <v>0</v>
      </c>
      <c r="I49" s="13">
        <f>E49+G49</f>
        <v>0</v>
      </c>
      <c r="J49" s="11">
        <f>F49+H49</f>
        <v>0</v>
      </c>
      <c r="K49" s="13">
        <v>4078</v>
      </c>
      <c r="L49" s="11">
        <v>0</v>
      </c>
      <c r="M49" s="11">
        <v>0</v>
      </c>
      <c r="N49" s="13">
        <v>2214</v>
      </c>
      <c r="O49" s="11">
        <v>0</v>
      </c>
      <c r="P49" s="11">
        <v>0</v>
      </c>
      <c r="Q49" s="13">
        <f>K49+N49</f>
        <v>6292</v>
      </c>
      <c r="R49" s="11">
        <f>L49+O49</f>
        <v>0</v>
      </c>
      <c r="S49" s="11">
        <f>M49+P49</f>
        <v>0</v>
      </c>
      <c r="T49" s="8">
        <f>I49-Q49</f>
        <v>-6292</v>
      </c>
      <c r="U49" s="18">
        <v>9.3781877391307146E-3</v>
      </c>
      <c r="V49" s="11">
        <v>0</v>
      </c>
      <c r="W49" s="11">
        <v>0</v>
      </c>
      <c r="X49" s="11">
        <v>0</v>
      </c>
      <c r="Y49" s="11">
        <v>0</v>
      </c>
    </row>
    <row r="50" spans="1:25" x14ac:dyDescent="0.25">
      <c r="A50" s="20" t="s">
        <v>3426</v>
      </c>
      <c r="B50" s="20" t="s">
        <v>3252</v>
      </c>
      <c r="C50" s="20" t="s">
        <v>3427</v>
      </c>
      <c r="D50" s="20" t="s">
        <v>216</v>
      </c>
      <c r="E50" s="13">
        <v>0</v>
      </c>
      <c r="F50" s="11">
        <v>0</v>
      </c>
      <c r="G50" s="13">
        <v>2494</v>
      </c>
      <c r="H50" s="11">
        <v>0</v>
      </c>
      <c r="I50" s="13">
        <f>E50+G50</f>
        <v>2494</v>
      </c>
      <c r="J50" s="11">
        <f>F50+H50</f>
        <v>0</v>
      </c>
      <c r="K50" s="13">
        <v>0</v>
      </c>
      <c r="L50" s="11">
        <v>0</v>
      </c>
      <c r="M50" s="11">
        <v>0</v>
      </c>
      <c r="N50" s="13">
        <v>0</v>
      </c>
      <c r="O50" s="11">
        <v>0</v>
      </c>
      <c r="P50" s="11">
        <v>0</v>
      </c>
      <c r="Q50" s="13">
        <f>K50+N50</f>
        <v>0</v>
      </c>
      <c r="R50" s="11">
        <f>L50+O50</f>
        <v>0</v>
      </c>
      <c r="S50" s="11">
        <f>M50+P50</f>
        <v>0</v>
      </c>
      <c r="T50" s="8">
        <f>I50-Q50</f>
        <v>2494</v>
      </c>
      <c r="U50" s="18">
        <v>0.35852812681930141</v>
      </c>
      <c r="V50" s="11">
        <v>0</v>
      </c>
      <c r="W50" s="11">
        <v>0</v>
      </c>
      <c r="X50" s="11">
        <v>9</v>
      </c>
      <c r="Y50" s="11">
        <v>0</v>
      </c>
    </row>
    <row r="51" spans="1:25" x14ac:dyDescent="0.25">
      <c r="A51" s="20" t="s">
        <v>3577</v>
      </c>
      <c r="B51" s="20" t="s">
        <v>60</v>
      </c>
      <c r="C51" s="20" t="s">
        <v>3223</v>
      </c>
      <c r="D51" s="20" t="s">
        <v>216</v>
      </c>
      <c r="E51" s="13">
        <v>0</v>
      </c>
      <c r="F51" s="11">
        <v>0</v>
      </c>
      <c r="G51" s="13">
        <v>0</v>
      </c>
      <c r="H51" s="11">
        <v>0</v>
      </c>
      <c r="I51" s="13">
        <f>E51+G51</f>
        <v>0</v>
      </c>
      <c r="J51" s="11">
        <f>F51+H51</f>
        <v>0</v>
      </c>
      <c r="K51" s="13">
        <v>0</v>
      </c>
      <c r="L51" s="11">
        <v>0</v>
      </c>
      <c r="M51" s="11">
        <v>1</v>
      </c>
      <c r="N51" s="13">
        <v>0</v>
      </c>
      <c r="O51" s="11">
        <v>0</v>
      </c>
      <c r="P51" s="11">
        <v>0</v>
      </c>
      <c r="Q51" s="13">
        <f>K51+N51</f>
        <v>0</v>
      </c>
      <c r="R51" s="11">
        <f>L51+O51</f>
        <v>0</v>
      </c>
      <c r="S51" s="11">
        <f>M51+P51</f>
        <v>1</v>
      </c>
      <c r="T51" s="8">
        <f>I51-Q51</f>
        <v>0</v>
      </c>
      <c r="U51" s="18">
        <v>0.1810957879369216</v>
      </c>
      <c r="V51" s="11">
        <v>0.11</v>
      </c>
      <c r="W51" s="11">
        <v>1</v>
      </c>
      <c r="X51" s="11">
        <v>8</v>
      </c>
      <c r="Y51" s="11">
        <v>6</v>
      </c>
    </row>
    <row r="52" spans="1:25" x14ac:dyDescent="0.25">
      <c r="A52" s="20" t="s">
        <v>3591</v>
      </c>
      <c r="B52" s="20" t="s">
        <v>3591</v>
      </c>
      <c r="C52" s="20" t="s">
        <v>3592</v>
      </c>
      <c r="D52" s="20" t="s">
        <v>216</v>
      </c>
      <c r="E52" s="13">
        <v>602</v>
      </c>
      <c r="F52" s="11">
        <v>0</v>
      </c>
      <c r="G52" s="13">
        <v>0</v>
      </c>
      <c r="H52" s="11">
        <v>0</v>
      </c>
      <c r="I52" s="13">
        <f>E52+G52</f>
        <v>602</v>
      </c>
      <c r="J52" s="11">
        <f>F52+H52</f>
        <v>0</v>
      </c>
      <c r="K52" s="13">
        <v>0</v>
      </c>
      <c r="L52" s="11">
        <v>0</v>
      </c>
      <c r="M52" s="11">
        <v>0</v>
      </c>
      <c r="N52" s="13">
        <v>0</v>
      </c>
      <c r="O52" s="11">
        <v>0</v>
      </c>
      <c r="P52" s="11">
        <v>0</v>
      </c>
      <c r="Q52" s="13">
        <f>K52+N52</f>
        <v>0</v>
      </c>
      <c r="R52" s="11">
        <f>L52+O52</f>
        <v>0</v>
      </c>
      <c r="S52" s="11">
        <f>M52+P52</f>
        <v>0</v>
      </c>
      <c r="T52" s="8">
        <f>I52-Q52</f>
        <v>602</v>
      </c>
      <c r="U52" s="18">
        <v>0.20343923815044032</v>
      </c>
      <c r="V52" s="11">
        <v>0</v>
      </c>
      <c r="W52" s="11">
        <v>0</v>
      </c>
      <c r="X52" s="11">
        <v>0</v>
      </c>
      <c r="Y52" s="11">
        <v>0</v>
      </c>
    </row>
    <row r="53" spans="1:25" x14ac:dyDescent="0.25">
      <c r="A53" s="20" t="s">
        <v>3651</v>
      </c>
      <c r="B53" s="20" t="s">
        <v>60</v>
      </c>
      <c r="C53" s="20" t="s">
        <v>3652</v>
      </c>
      <c r="D53" s="20" t="s">
        <v>216</v>
      </c>
      <c r="E53" s="13">
        <v>0</v>
      </c>
      <c r="F53" s="11">
        <v>0</v>
      </c>
      <c r="G53" s="13">
        <v>0</v>
      </c>
      <c r="H53" s="11">
        <v>0</v>
      </c>
      <c r="I53" s="13">
        <f>E53+G53</f>
        <v>0</v>
      </c>
      <c r="J53" s="11">
        <f>F53+H53</f>
        <v>0</v>
      </c>
      <c r="K53" s="13">
        <v>0</v>
      </c>
      <c r="L53" s="11">
        <v>0</v>
      </c>
      <c r="M53" s="11">
        <v>0</v>
      </c>
      <c r="N53" s="13">
        <v>0</v>
      </c>
      <c r="O53" s="11">
        <v>0</v>
      </c>
      <c r="P53" s="11">
        <v>0</v>
      </c>
      <c r="Q53" s="13">
        <f>K53+N53</f>
        <v>0</v>
      </c>
      <c r="R53" s="11">
        <f>L53+O53</f>
        <v>0</v>
      </c>
      <c r="S53" s="11">
        <f>M53+P53</f>
        <v>0</v>
      </c>
      <c r="T53" s="8">
        <f>I53-Q53</f>
        <v>0</v>
      </c>
      <c r="U53" s="18" t="s">
        <v>1803</v>
      </c>
      <c r="V53" s="11">
        <v>0</v>
      </c>
      <c r="W53" s="11">
        <v>0</v>
      </c>
      <c r="X53" s="11">
        <v>0</v>
      </c>
      <c r="Y53" s="11">
        <v>0</v>
      </c>
    </row>
    <row r="54" spans="1:25" x14ac:dyDescent="0.25">
      <c r="A54" s="20" t="s">
        <v>1470</v>
      </c>
      <c r="B54" s="20" t="s">
        <v>3252</v>
      </c>
      <c r="C54" s="20" t="s">
        <v>3420</v>
      </c>
      <c r="D54" s="20" t="s">
        <v>215</v>
      </c>
      <c r="E54" s="13">
        <v>0</v>
      </c>
      <c r="F54" s="11">
        <v>0</v>
      </c>
      <c r="G54" s="13">
        <v>0</v>
      </c>
      <c r="H54" s="11">
        <v>0</v>
      </c>
      <c r="I54" s="13">
        <f>E54+G54</f>
        <v>0</v>
      </c>
      <c r="J54" s="11">
        <f>F54+H54</f>
        <v>0</v>
      </c>
      <c r="K54" s="13">
        <v>0</v>
      </c>
      <c r="L54" s="11">
        <v>0</v>
      </c>
      <c r="M54" s="11">
        <v>0</v>
      </c>
      <c r="N54" s="13">
        <v>2399</v>
      </c>
      <c r="O54" s="11">
        <v>0</v>
      </c>
      <c r="P54" s="11">
        <v>0</v>
      </c>
      <c r="Q54" s="13">
        <f>K54+N54</f>
        <v>2399</v>
      </c>
      <c r="R54" s="11">
        <f>L54+O54</f>
        <v>0</v>
      </c>
      <c r="S54" s="11">
        <f>M54+P54</f>
        <v>0</v>
      </c>
      <c r="T54" s="8">
        <f>I54-Q54</f>
        <v>-2399</v>
      </c>
      <c r="U54" s="18" t="s">
        <v>1803</v>
      </c>
      <c r="V54" s="11">
        <v>0</v>
      </c>
      <c r="W54" s="11">
        <v>0</v>
      </c>
      <c r="X54" s="11">
        <v>0</v>
      </c>
      <c r="Y54" s="11">
        <v>0</v>
      </c>
    </row>
    <row r="55" spans="1:25" x14ac:dyDescent="0.25">
      <c r="A55" s="20" t="s">
        <v>1805</v>
      </c>
      <c r="B55" s="20"/>
      <c r="C55" s="20"/>
      <c r="D55" s="20"/>
      <c r="E55" s="13">
        <f>SUBTOTAL(109,TableSEA[YTD WP])</f>
        <v>167496.09999999998</v>
      </c>
      <c r="F55" s="11">
        <f>SUBTOTAL(109,TableSEA[YTD NB '#])</f>
        <v>4</v>
      </c>
      <c r="G55" s="13">
        <f>SUBTOTAL(109,TableSEA[[YTD WP ]])</f>
        <v>237797</v>
      </c>
      <c r="H55" s="11">
        <f>SUBTOTAL(109,TableSEA[YTD NB '# ])</f>
        <v>14</v>
      </c>
      <c r="I55" s="13">
        <f>SUBTOTAL(109,TableSEA[[YTD WP  ]])</f>
        <v>405293.1</v>
      </c>
      <c r="J55" s="11">
        <f>SUBTOTAL(109,TableSEA[YTD NB '#  ])</f>
        <v>18</v>
      </c>
      <c r="K55" s="13">
        <f>SUBTOTAL(109,TableSEA[PYTD WP])</f>
        <v>229288.00999999998</v>
      </c>
      <c r="L55" s="11">
        <f>SUBTOTAL(109,TableSEA[PYTD NB '#])</f>
        <v>12</v>
      </c>
      <c r="M55" s="11">
        <f>SUBTOTAL(109,TableSEA[PY Total NB '#])</f>
        <v>41</v>
      </c>
      <c r="N55" s="13">
        <f>SUBTOTAL(109,TableSEA[[PYTD WP ]])</f>
        <v>265476.69999999995</v>
      </c>
      <c r="O55" s="11">
        <f>SUBTOTAL(109,TableSEA[PYTD NB '# ])</f>
        <v>11</v>
      </c>
      <c r="P55" s="11">
        <f>SUBTOTAL(109,TableSEA[PY Total NB '# ])</f>
        <v>65</v>
      </c>
      <c r="Q55" s="13">
        <f>SUBTOTAL(109,TableSEA[[PYTD WP  ]])</f>
        <v>494764.7099999999</v>
      </c>
      <c r="R55" s="11">
        <f>SUBTOTAL(109,TableSEA[PYTD NB '#  ])</f>
        <v>23</v>
      </c>
      <c r="S55" s="11">
        <f>SUBTOTAL(109,TableSEA[PY Total NB '#  ])</f>
        <v>106</v>
      </c>
      <c r="T55" s="8">
        <f>SUBTOTAL(109,TableSEA[Premium Change])</f>
        <v>-89471.610000000015</v>
      </c>
      <c r="V55" s="11">
        <f>ROUND(SUM(TableSEA[12 Mo Bound])/SUM(TableSEA[12 Mo Quoted])+ SUM(TableSEA[12 Mo Bound]), 2)</f>
        <v>105.35</v>
      </c>
      <c r="W55" s="11">
        <f>SUBTOTAL(109,TableSEA[12 Mo Bound])</f>
        <v>105</v>
      </c>
      <c r="X55" s="11">
        <f>SUBTOTAL(109,TableSEA[12 Mo Quoted])</f>
        <v>304</v>
      </c>
      <c r="Y55" s="11">
        <f>SUBTOTAL(109,TableSEA[12 Mo Declined])</f>
        <v>85</v>
      </c>
    </row>
  </sheetData>
  <mergeCells count="9">
    <mergeCell ref="N5:P5"/>
    <mergeCell ref="Q5:S5"/>
    <mergeCell ref="V5:Y5"/>
    <mergeCell ref="A1:C1"/>
    <mergeCell ref="A5:D5"/>
    <mergeCell ref="E5:F5"/>
    <mergeCell ref="G5:H5"/>
    <mergeCell ref="I5:J5"/>
    <mergeCell ref="K5:M5"/>
  </mergeCells>
  <pageMargins left="0.25" right="0.25" top="0.75" bottom="0.75" header="0.3" footer="0.3"/>
  <pageSetup scale="40" orientation="landscape" horizontalDpi="300" verticalDpi="30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053BE-26A4-4209-A823-4100514146F7}">
  <dimension ref="A1:AP2527"/>
  <sheetViews>
    <sheetView topLeftCell="W1" workbookViewId="0">
      <selection activeCell="AK1" sqref="AK1:AM1048576"/>
    </sheetView>
  </sheetViews>
  <sheetFormatPr defaultRowHeight="15" x14ac:dyDescent="0.25"/>
  <sheetData>
    <row r="1" spans="1:42" x14ac:dyDescent="0.25">
      <c r="A1" s="20" t="s">
        <v>1815</v>
      </c>
      <c r="B1" s="20" t="s">
        <v>2191</v>
      </c>
      <c r="C1" s="20">
        <v>0</v>
      </c>
      <c r="E1" s="20" t="s">
        <v>1815</v>
      </c>
      <c r="F1" s="20" t="s">
        <v>2191</v>
      </c>
      <c r="G1" s="20">
        <v>0</v>
      </c>
      <c r="I1" s="20" t="s">
        <v>64</v>
      </c>
      <c r="J1" s="20">
        <v>18144</v>
      </c>
      <c r="L1" s="20" t="s">
        <v>64</v>
      </c>
      <c r="M1" s="20">
        <v>0</v>
      </c>
      <c r="O1" s="20" t="s">
        <v>851</v>
      </c>
      <c r="P1" s="20">
        <v>5</v>
      </c>
      <c r="R1" s="20" t="s">
        <v>851</v>
      </c>
      <c r="S1" s="20">
        <v>2</v>
      </c>
      <c r="U1" s="20" t="s">
        <v>64</v>
      </c>
      <c r="V1" s="20">
        <v>1</v>
      </c>
      <c r="X1" s="20" t="s">
        <v>66</v>
      </c>
      <c r="Y1" s="20">
        <v>6</v>
      </c>
      <c r="AA1" s="20" t="s">
        <v>1815</v>
      </c>
      <c r="AB1" s="20">
        <v>0</v>
      </c>
      <c r="AC1" s="20">
        <v>0</v>
      </c>
      <c r="AE1" s="20" t="s">
        <v>66</v>
      </c>
      <c r="AF1" s="20">
        <v>2</v>
      </c>
      <c r="AH1" s="20" t="s">
        <v>66</v>
      </c>
      <c r="AI1" s="20">
        <v>1</v>
      </c>
      <c r="AK1" s="20" t="s">
        <v>64</v>
      </c>
      <c r="AL1" s="20">
        <v>1</v>
      </c>
      <c r="AM1">
        <v>2</v>
      </c>
      <c r="AO1" s="20" t="s">
        <v>64</v>
      </c>
      <c r="AP1" s="20">
        <v>1</v>
      </c>
    </row>
    <row r="2" spans="1:42" x14ac:dyDescent="0.25">
      <c r="A2" s="20" t="s">
        <v>2143</v>
      </c>
      <c r="B2" s="20" t="s">
        <v>2191</v>
      </c>
      <c r="C2" s="20">
        <v>0</v>
      </c>
      <c r="E2" s="20" t="s">
        <v>61</v>
      </c>
      <c r="F2" s="20" t="s">
        <v>2191</v>
      </c>
      <c r="G2" s="20">
        <v>0</v>
      </c>
      <c r="I2" s="20" t="s">
        <v>66</v>
      </c>
      <c r="J2" s="20">
        <v>23529</v>
      </c>
      <c r="L2" s="20" t="s">
        <v>66</v>
      </c>
      <c r="M2" s="20">
        <v>58831.25</v>
      </c>
      <c r="O2" s="20" t="s">
        <v>69</v>
      </c>
      <c r="P2" s="20">
        <v>1</v>
      </c>
      <c r="R2" s="20" t="s">
        <v>202</v>
      </c>
      <c r="S2" s="20">
        <v>2</v>
      </c>
      <c r="U2" s="20" t="s">
        <v>66</v>
      </c>
      <c r="V2" s="20">
        <v>3</v>
      </c>
      <c r="X2" s="20" t="s">
        <v>227</v>
      </c>
      <c r="Y2" s="20">
        <v>1</v>
      </c>
      <c r="AA2" s="20" t="s">
        <v>2143</v>
      </c>
      <c r="AB2" s="20">
        <v>0</v>
      </c>
      <c r="AC2" s="20">
        <v>0</v>
      </c>
      <c r="AE2" s="20" t="s">
        <v>853</v>
      </c>
      <c r="AF2" s="20">
        <v>5</v>
      </c>
      <c r="AH2" s="20" t="s">
        <v>853</v>
      </c>
      <c r="AI2" s="20">
        <v>5</v>
      </c>
      <c r="AK2" s="20" t="s">
        <v>66</v>
      </c>
      <c r="AL2" s="20">
        <v>7</v>
      </c>
      <c r="AM2">
        <v>8</v>
      </c>
      <c r="AO2" s="20" t="s">
        <v>851</v>
      </c>
      <c r="AP2" s="20">
        <v>2</v>
      </c>
    </row>
    <row r="3" spans="1:42" x14ac:dyDescent="0.25">
      <c r="A3" s="20" t="s">
        <v>1854</v>
      </c>
      <c r="B3" s="20" t="s">
        <v>2191</v>
      </c>
      <c r="C3" s="20">
        <v>0</v>
      </c>
      <c r="E3" s="20" t="s">
        <v>62</v>
      </c>
      <c r="F3" s="20" t="s">
        <v>2191</v>
      </c>
      <c r="G3" s="20">
        <v>0</v>
      </c>
      <c r="I3" s="20" t="s">
        <v>1546</v>
      </c>
      <c r="J3" s="20">
        <v>13226</v>
      </c>
      <c r="L3" s="20" t="s">
        <v>848</v>
      </c>
      <c r="M3" s="20">
        <v>11235</v>
      </c>
      <c r="O3" s="20" t="s">
        <v>863</v>
      </c>
      <c r="P3" s="20">
        <v>1</v>
      </c>
      <c r="R3" s="20" t="s">
        <v>232</v>
      </c>
      <c r="S3" s="20">
        <v>4</v>
      </c>
      <c r="U3" s="20" t="s">
        <v>1546</v>
      </c>
      <c r="V3" s="20">
        <v>26</v>
      </c>
      <c r="X3" s="20" t="s">
        <v>68</v>
      </c>
      <c r="Y3" s="20">
        <v>1</v>
      </c>
      <c r="AA3" s="20" t="s">
        <v>64</v>
      </c>
      <c r="AB3" s="20">
        <v>46006.6</v>
      </c>
      <c r="AC3" s="20">
        <v>942237.54</v>
      </c>
      <c r="AE3" s="20" t="s">
        <v>682</v>
      </c>
      <c r="AF3" s="20">
        <v>2</v>
      </c>
      <c r="AH3" s="20" t="s">
        <v>867</v>
      </c>
      <c r="AI3" s="20">
        <v>2</v>
      </c>
      <c r="AK3" s="20" t="s">
        <v>1546</v>
      </c>
      <c r="AL3" s="20">
        <v>26</v>
      </c>
      <c r="AM3">
        <v>2</v>
      </c>
      <c r="AO3" s="20" t="s">
        <v>69</v>
      </c>
      <c r="AP3" s="20">
        <v>2</v>
      </c>
    </row>
    <row r="4" spans="1:42" x14ac:dyDescent="0.25">
      <c r="A4" s="20" t="s">
        <v>61</v>
      </c>
      <c r="B4" s="20" t="s">
        <v>2191</v>
      </c>
      <c r="C4" s="20">
        <v>0</v>
      </c>
      <c r="E4" s="20" t="s">
        <v>2144</v>
      </c>
      <c r="F4" s="20" t="s">
        <v>2191</v>
      </c>
      <c r="G4" s="20">
        <v>0</v>
      </c>
      <c r="I4" s="20" t="s">
        <v>848</v>
      </c>
      <c r="J4" s="20">
        <v>31380</v>
      </c>
      <c r="L4" s="20" t="s">
        <v>68</v>
      </c>
      <c r="M4" s="20">
        <v>159626.5</v>
      </c>
      <c r="O4" s="20" t="s">
        <v>867</v>
      </c>
      <c r="P4" s="20">
        <v>1</v>
      </c>
      <c r="R4" s="20" t="s">
        <v>884</v>
      </c>
      <c r="S4" s="20">
        <v>1</v>
      </c>
      <c r="U4" s="20" t="s">
        <v>68</v>
      </c>
      <c r="V4" s="20">
        <v>1</v>
      </c>
      <c r="X4" s="20" t="s">
        <v>851</v>
      </c>
      <c r="Y4" s="20">
        <v>10</v>
      </c>
      <c r="AA4" s="20" t="s">
        <v>1544</v>
      </c>
      <c r="AB4" s="20">
        <v>-1572.38</v>
      </c>
      <c r="AC4" s="20">
        <v>0</v>
      </c>
      <c r="AE4" s="20" t="s">
        <v>877</v>
      </c>
      <c r="AF4" s="20">
        <v>1</v>
      </c>
      <c r="AH4" s="20" t="s">
        <v>232</v>
      </c>
      <c r="AI4" s="20">
        <v>6</v>
      </c>
      <c r="AK4" s="20" t="s">
        <v>848</v>
      </c>
      <c r="AL4" s="20">
        <v>0</v>
      </c>
      <c r="AM4">
        <v>6</v>
      </c>
      <c r="AO4" s="20" t="s">
        <v>853</v>
      </c>
      <c r="AP4" s="20">
        <v>3</v>
      </c>
    </row>
    <row r="5" spans="1:42" x14ac:dyDescent="0.25">
      <c r="A5" s="20" t="s">
        <v>62</v>
      </c>
      <c r="B5" s="20" t="s">
        <v>2191</v>
      </c>
      <c r="C5" s="20">
        <v>0</v>
      </c>
      <c r="E5" s="20" t="s">
        <v>64</v>
      </c>
      <c r="F5" s="20" t="s">
        <v>2191</v>
      </c>
      <c r="G5" s="20">
        <v>0</v>
      </c>
      <c r="I5" s="20" t="s">
        <v>68</v>
      </c>
      <c r="J5" s="20">
        <v>31685.01</v>
      </c>
      <c r="L5" s="20" t="s">
        <v>851</v>
      </c>
      <c r="M5" s="20">
        <v>38803.019999999997</v>
      </c>
      <c r="O5" s="20" t="s">
        <v>232</v>
      </c>
      <c r="P5" s="20">
        <v>1</v>
      </c>
      <c r="R5" s="20" t="s">
        <v>355</v>
      </c>
      <c r="S5" s="20">
        <v>1</v>
      </c>
      <c r="U5" s="20" t="s">
        <v>851</v>
      </c>
      <c r="V5" s="20">
        <v>19</v>
      </c>
      <c r="X5" s="20" t="s">
        <v>69</v>
      </c>
      <c r="Y5" s="20">
        <v>1</v>
      </c>
      <c r="AA5" s="20" t="s">
        <v>2192</v>
      </c>
      <c r="AB5" s="20">
        <v>0</v>
      </c>
      <c r="AC5" s="20">
        <v>0</v>
      </c>
      <c r="AE5" s="20" t="s">
        <v>687</v>
      </c>
      <c r="AF5" s="20">
        <v>1</v>
      </c>
      <c r="AH5" s="20" t="s">
        <v>83</v>
      </c>
      <c r="AI5" s="20">
        <v>1</v>
      </c>
      <c r="AK5" s="20" t="s">
        <v>227</v>
      </c>
      <c r="AL5" s="20">
        <v>1</v>
      </c>
      <c r="AM5">
        <v>1</v>
      </c>
      <c r="AO5" s="20" t="s">
        <v>202</v>
      </c>
      <c r="AP5" s="20">
        <v>1</v>
      </c>
    </row>
    <row r="6" spans="1:42" x14ac:dyDescent="0.25">
      <c r="A6" s="20" t="s">
        <v>2144</v>
      </c>
      <c r="B6" s="20" t="s">
        <v>2191</v>
      </c>
      <c r="C6" s="20">
        <v>0</v>
      </c>
      <c r="E6" s="20" t="s">
        <v>2193</v>
      </c>
      <c r="F6" s="20" t="s">
        <v>2191</v>
      </c>
      <c r="G6" s="20">
        <v>0</v>
      </c>
      <c r="I6" s="20" t="s">
        <v>851</v>
      </c>
      <c r="J6" s="20">
        <v>300950.83</v>
      </c>
      <c r="L6" s="20" t="s">
        <v>853</v>
      </c>
      <c r="M6" s="20">
        <v>33380.26</v>
      </c>
      <c r="O6" s="20" t="s">
        <v>877</v>
      </c>
      <c r="P6" s="20">
        <v>1</v>
      </c>
      <c r="R6" s="20" t="s">
        <v>691</v>
      </c>
      <c r="S6" s="20">
        <v>1</v>
      </c>
      <c r="U6" s="20" t="s">
        <v>853</v>
      </c>
      <c r="V6" s="20">
        <v>25</v>
      </c>
      <c r="X6" s="20" t="s">
        <v>853</v>
      </c>
      <c r="Y6" s="20">
        <v>8</v>
      </c>
      <c r="AA6" s="20" t="s">
        <v>673</v>
      </c>
      <c r="AB6" s="20">
        <v>12427.46</v>
      </c>
      <c r="AC6" s="20">
        <v>52466.6</v>
      </c>
      <c r="AE6" s="20" t="s">
        <v>83</v>
      </c>
      <c r="AF6" s="20">
        <v>1</v>
      </c>
      <c r="AH6" s="20" t="s">
        <v>85</v>
      </c>
      <c r="AI6" s="20">
        <v>2</v>
      </c>
      <c r="AK6" s="20" t="s">
        <v>68</v>
      </c>
      <c r="AL6" s="20">
        <v>2</v>
      </c>
      <c r="AM6">
        <v>4</v>
      </c>
      <c r="AO6" s="20" t="s">
        <v>992</v>
      </c>
      <c r="AP6" s="20">
        <v>1</v>
      </c>
    </row>
    <row r="7" spans="1:42" x14ac:dyDescent="0.25">
      <c r="A7" s="20" t="s">
        <v>64</v>
      </c>
      <c r="B7" s="20" t="s">
        <v>2191</v>
      </c>
      <c r="C7" s="20">
        <v>26660.37</v>
      </c>
      <c r="E7" s="20" t="s">
        <v>1946</v>
      </c>
      <c r="F7" s="20" t="s">
        <v>2191</v>
      </c>
      <c r="G7" s="20">
        <v>0</v>
      </c>
      <c r="I7" s="20" t="s">
        <v>853</v>
      </c>
      <c r="J7" s="20">
        <v>7591.8</v>
      </c>
      <c r="L7" s="20" t="s">
        <v>855</v>
      </c>
      <c r="M7" s="20">
        <v>0</v>
      </c>
      <c r="O7" s="20" t="s">
        <v>687</v>
      </c>
      <c r="P7" s="20">
        <v>1</v>
      </c>
      <c r="R7" s="20" t="s">
        <v>403</v>
      </c>
      <c r="S7" s="20">
        <v>2</v>
      </c>
      <c r="U7" s="20" t="s">
        <v>855</v>
      </c>
      <c r="V7" s="20">
        <v>1</v>
      </c>
      <c r="X7" s="20" t="s">
        <v>202</v>
      </c>
      <c r="Y7" s="20">
        <v>3</v>
      </c>
      <c r="AA7" s="20" t="s">
        <v>1545</v>
      </c>
      <c r="AB7" s="20">
        <v>-10597.4</v>
      </c>
      <c r="AC7" s="20">
        <v>15390.07</v>
      </c>
      <c r="AE7" s="20" t="s">
        <v>886</v>
      </c>
      <c r="AF7" s="20">
        <v>2</v>
      </c>
      <c r="AH7" s="20" t="s">
        <v>1568</v>
      </c>
      <c r="AI7" s="20">
        <v>2</v>
      </c>
      <c r="AK7" s="20" t="s">
        <v>851</v>
      </c>
      <c r="AL7" s="20">
        <v>38</v>
      </c>
      <c r="AM7">
        <v>33</v>
      </c>
      <c r="AO7" s="20" t="s">
        <v>72</v>
      </c>
      <c r="AP7" s="20">
        <v>3</v>
      </c>
    </row>
    <row r="8" spans="1:42" x14ac:dyDescent="0.25">
      <c r="A8" s="20" t="s">
        <v>1543</v>
      </c>
      <c r="B8" s="20" t="s">
        <v>2191</v>
      </c>
      <c r="C8" s="20">
        <v>0</v>
      </c>
      <c r="E8" s="20" t="s">
        <v>1347</v>
      </c>
      <c r="F8" s="20" t="s">
        <v>2191</v>
      </c>
      <c r="G8" s="20">
        <v>0</v>
      </c>
      <c r="I8" s="20" t="s">
        <v>855</v>
      </c>
      <c r="J8" s="20">
        <v>15889</v>
      </c>
      <c r="L8" s="20" t="s">
        <v>202</v>
      </c>
      <c r="M8" s="20">
        <v>43989.3</v>
      </c>
      <c r="O8" s="20" t="s">
        <v>355</v>
      </c>
      <c r="P8" s="20">
        <v>1</v>
      </c>
      <c r="R8" s="20" t="s">
        <v>596</v>
      </c>
      <c r="S8" s="20">
        <v>1</v>
      </c>
      <c r="U8" s="20" t="s">
        <v>202</v>
      </c>
      <c r="V8" s="20">
        <v>4</v>
      </c>
      <c r="X8" s="20" t="s">
        <v>72</v>
      </c>
      <c r="Y8" s="20">
        <v>2</v>
      </c>
      <c r="AA8" s="20" t="s">
        <v>1995</v>
      </c>
      <c r="AB8" s="20">
        <v>0</v>
      </c>
      <c r="AC8" s="20">
        <v>0</v>
      </c>
      <c r="AE8" s="20" t="s">
        <v>355</v>
      </c>
      <c r="AF8" s="20">
        <v>1</v>
      </c>
      <c r="AH8" s="20" t="s">
        <v>403</v>
      </c>
      <c r="AI8" s="20">
        <v>1</v>
      </c>
      <c r="AK8" s="20" t="s">
        <v>69</v>
      </c>
      <c r="AL8" s="20">
        <v>2</v>
      </c>
      <c r="AM8">
        <v>4</v>
      </c>
      <c r="AO8" s="20" t="s">
        <v>1066</v>
      </c>
      <c r="AP8" s="20">
        <v>1</v>
      </c>
    </row>
    <row r="9" spans="1:42" x14ac:dyDescent="0.25">
      <c r="A9" s="20" t="s">
        <v>1544</v>
      </c>
      <c r="B9" s="20" t="s">
        <v>2191</v>
      </c>
      <c r="C9" s="20">
        <v>0</v>
      </c>
      <c r="E9" s="20" t="s">
        <v>673</v>
      </c>
      <c r="F9" s="20" t="s">
        <v>2191</v>
      </c>
      <c r="G9" s="20">
        <v>0</v>
      </c>
      <c r="I9" s="20" t="s">
        <v>202</v>
      </c>
      <c r="J9" s="20">
        <v>127038</v>
      </c>
      <c r="L9" s="20" t="s">
        <v>990</v>
      </c>
      <c r="M9" s="20">
        <v>-231.09</v>
      </c>
      <c r="O9" s="20" t="s">
        <v>403</v>
      </c>
      <c r="P9" s="20">
        <v>1</v>
      </c>
      <c r="R9" s="20" t="s">
        <v>410</v>
      </c>
      <c r="S9" s="20">
        <v>1</v>
      </c>
      <c r="U9" s="20" t="s">
        <v>72</v>
      </c>
      <c r="V9" s="20">
        <v>1</v>
      </c>
      <c r="X9" s="20" t="s">
        <v>867</v>
      </c>
      <c r="Y9" s="20">
        <v>16</v>
      </c>
      <c r="AA9" s="20" t="s">
        <v>66</v>
      </c>
      <c r="AB9" s="20">
        <v>13809.17</v>
      </c>
      <c r="AC9" s="20">
        <v>333960.89</v>
      </c>
      <c r="AE9" s="20" t="s">
        <v>1079</v>
      </c>
      <c r="AF9" s="20">
        <v>2</v>
      </c>
      <c r="AH9" s="20" t="s">
        <v>412</v>
      </c>
      <c r="AI9" s="20">
        <v>1</v>
      </c>
      <c r="AK9" s="20" t="s">
        <v>853</v>
      </c>
      <c r="AL9" s="20">
        <v>23</v>
      </c>
      <c r="AM9">
        <v>37</v>
      </c>
      <c r="AO9" s="20" t="s">
        <v>997</v>
      </c>
      <c r="AP9" s="20">
        <v>1</v>
      </c>
    </row>
    <row r="10" spans="1:42" x14ac:dyDescent="0.25">
      <c r="A10" s="20" t="s">
        <v>2192</v>
      </c>
      <c r="B10" s="20" t="s">
        <v>2191</v>
      </c>
      <c r="C10" s="20">
        <v>0</v>
      </c>
      <c r="E10" s="20" t="s">
        <v>845</v>
      </c>
      <c r="F10" s="20" t="s">
        <v>2191</v>
      </c>
      <c r="G10" s="20">
        <v>0</v>
      </c>
      <c r="I10" s="20" t="s">
        <v>1350</v>
      </c>
      <c r="J10" s="20">
        <v>-635.96</v>
      </c>
      <c r="L10" s="20" t="s">
        <v>992</v>
      </c>
      <c r="M10" s="20">
        <v>6877</v>
      </c>
      <c r="O10" s="20" t="s">
        <v>410</v>
      </c>
      <c r="P10" s="20">
        <v>1</v>
      </c>
      <c r="R10" s="20" t="s">
        <v>1251</v>
      </c>
      <c r="S10" s="20">
        <v>1</v>
      </c>
      <c r="U10" s="20" t="s">
        <v>867</v>
      </c>
      <c r="V10" s="20">
        <v>1</v>
      </c>
      <c r="X10" s="20" t="s">
        <v>682</v>
      </c>
      <c r="Y10" s="20">
        <v>1</v>
      </c>
      <c r="AA10" s="20" t="s">
        <v>2194</v>
      </c>
      <c r="AB10" s="20">
        <v>0</v>
      </c>
      <c r="AC10" s="20">
        <v>0</v>
      </c>
      <c r="AE10" s="20" t="s">
        <v>403</v>
      </c>
      <c r="AF10" s="20">
        <v>1</v>
      </c>
      <c r="AH10" s="20" t="s">
        <v>247</v>
      </c>
      <c r="AI10" s="20">
        <v>1</v>
      </c>
      <c r="AK10" s="20" t="s">
        <v>855</v>
      </c>
      <c r="AL10" s="20">
        <v>1</v>
      </c>
      <c r="AO10" s="20" t="s">
        <v>189</v>
      </c>
      <c r="AP10" s="20">
        <v>1</v>
      </c>
    </row>
    <row r="11" spans="1:42" x14ac:dyDescent="0.25">
      <c r="A11" s="20" t="s">
        <v>2193</v>
      </c>
      <c r="B11" s="20" t="s">
        <v>2191</v>
      </c>
      <c r="C11" s="20">
        <v>0</v>
      </c>
      <c r="E11" s="20" t="s">
        <v>847</v>
      </c>
      <c r="F11" s="20" t="s">
        <v>2191</v>
      </c>
      <c r="G11" s="20">
        <v>0</v>
      </c>
      <c r="I11" s="20" t="s">
        <v>858</v>
      </c>
      <c r="J11" s="20">
        <v>8840</v>
      </c>
      <c r="L11" s="20" t="s">
        <v>72</v>
      </c>
      <c r="M11" s="20">
        <v>17599</v>
      </c>
      <c r="O11" s="20" t="s">
        <v>698</v>
      </c>
      <c r="P11" s="20">
        <v>1</v>
      </c>
      <c r="R11" s="20" t="s">
        <v>1084</v>
      </c>
      <c r="S11" s="20">
        <v>1</v>
      </c>
      <c r="U11" s="20" t="s">
        <v>682</v>
      </c>
      <c r="V11" s="20">
        <v>3</v>
      </c>
      <c r="X11" s="20" t="s">
        <v>189</v>
      </c>
      <c r="Y11" s="20">
        <v>2</v>
      </c>
      <c r="AA11" s="20" t="s">
        <v>1546</v>
      </c>
      <c r="AB11" s="20">
        <v>47564.99</v>
      </c>
      <c r="AC11" s="20">
        <v>273954.01</v>
      </c>
      <c r="AE11" s="20" t="s">
        <v>698</v>
      </c>
      <c r="AF11" s="20">
        <v>1</v>
      </c>
      <c r="AH11" s="20" t="s">
        <v>416</v>
      </c>
      <c r="AI11" s="20">
        <v>1</v>
      </c>
      <c r="AK11" s="20" t="s">
        <v>202</v>
      </c>
      <c r="AL11" s="20">
        <v>9</v>
      </c>
      <c r="AM11">
        <v>15</v>
      </c>
      <c r="AO11" s="20" t="s">
        <v>232</v>
      </c>
      <c r="AP11" s="20">
        <v>3</v>
      </c>
    </row>
    <row r="12" spans="1:42" x14ac:dyDescent="0.25">
      <c r="A12" s="20" t="s">
        <v>1946</v>
      </c>
      <c r="B12" s="20" t="s">
        <v>2191</v>
      </c>
      <c r="C12" s="20">
        <v>0</v>
      </c>
      <c r="E12" s="20" t="s">
        <v>1995</v>
      </c>
      <c r="F12" s="20" t="s">
        <v>2191</v>
      </c>
      <c r="G12" s="20">
        <v>0</v>
      </c>
      <c r="I12" s="20" t="s">
        <v>994</v>
      </c>
      <c r="J12" s="20">
        <v>-286.58</v>
      </c>
      <c r="L12" s="20" t="s">
        <v>1356</v>
      </c>
      <c r="M12" s="20">
        <v>1962</v>
      </c>
      <c r="O12" s="20" t="s">
        <v>103</v>
      </c>
      <c r="P12" s="20">
        <v>1</v>
      </c>
      <c r="R12" s="20" t="s">
        <v>422</v>
      </c>
      <c r="S12" s="20">
        <v>2</v>
      </c>
      <c r="U12" s="20" t="s">
        <v>189</v>
      </c>
      <c r="V12" s="20">
        <v>2</v>
      </c>
      <c r="X12" s="20" t="s">
        <v>232</v>
      </c>
      <c r="Y12" s="20">
        <v>31</v>
      </c>
      <c r="AA12" s="20" t="s">
        <v>848</v>
      </c>
      <c r="AB12" s="20">
        <v>106906.71</v>
      </c>
      <c r="AC12" s="20">
        <v>743699.15</v>
      </c>
      <c r="AE12" s="20" t="s">
        <v>1590</v>
      </c>
      <c r="AF12" s="20">
        <v>1</v>
      </c>
      <c r="AH12" s="20" t="s">
        <v>422</v>
      </c>
      <c r="AI12" s="20">
        <v>2</v>
      </c>
      <c r="AK12" s="20" t="s">
        <v>992</v>
      </c>
      <c r="AL12" s="20"/>
      <c r="AM12">
        <v>1</v>
      </c>
      <c r="AO12" s="20" t="s">
        <v>877</v>
      </c>
      <c r="AP12" s="20">
        <v>2</v>
      </c>
    </row>
    <row r="13" spans="1:42" x14ac:dyDescent="0.25">
      <c r="A13" s="20" t="s">
        <v>1347</v>
      </c>
      <c r="B13" s="20" t="s">
        <v>2191</v>
      </c>
      <c r="C13" s="20">
        <v>0</v>
      </c>
      <c r="E13" s="20" t="s">
        <v>66</v>
      </c>
      <c r="F13" s="20" t="s">
        <v>2191</v>
      </c>
      <c r="G13" s="20">
        <v>33361</v>
      </c>
      <c r="I13" s="20" t="s">
        <v>229</v>
      </c>
      <c r="J13" s="20">
        <v>2069.7399999999998</v>
      </c>
      <c r="L13" s="20" t="s">
        <v>867</v>
      </c>
      <c r="M13" s="20">
        <v>34668.5</v>
      </c>
      <c r="O13" s="20" t="s">
        <v>1590</v>
      </c>
      <c r="P13" s="20">
        <v>5</v>
      </c>
      <c r="R13" s="20" t="s">
        <v>251</v>
      </c>
      <c r="S13" s="20">
        <v>1</v>
      </c>
      <c r="U13" s="20" t="s">
        <v>232</v>
      </c>
      <c r="V13" s="20">
        <v>1</v>
      </c>
      <c r="X13" s="20" t="s">
        <v>877</v>
      </c>
      <c r="Y13" s="20">
        <v>2</v>
      </c>
      <c r="AA13" s="20" t="s">
        <v>227</v>
      </c>
      <c r="AB13" s="20">
        <v>-2957.42</v>
      </c>
      <c r="AC13" s="20">
        <v>85326.21</v>
      </c>
      <c r="AE13" s="20" t="s">
        <v>2536</v>
      </c>
      <c r="AF13" s="20">
        <v>1</v>
      </c>
      <c r="AH13" s="20" t="s">
        <v>103</v>
      </c>
      <c r="AI13" s="20">
        <v>1</v>
      </c>
      <c r="AK13" s="20" t="s">
        <v>72</v>
      </c>
      <c r="AL13" s="20">
        <v>3</v>
      </c>
      <c r="AM13">
        <v>4</v>
      </c>
      <c r="AO13" s="20" t="s">
        <v>882</v>
      </c>
      <c r="AP13" s="20">
        <v>1</v>
      </c>
    </row>
    <row r="14" spans="1:42" x14ac:dyDescent="0.25">
      <c r="A14" s="20" t="s">
        <v>673</v>
      </c>
      <c r="B14" s="20" t="s">
        <v>2191</v>
      </c>
      <c r="C14" s="20">
        <v>0</v>
      </c>
      <c r="E14" s="20" t="s">
        <v>2145</v>
      </c>
      <c r="F14" s="20" t="s">
        <v>2191</v>
      </c>
      <c r="G14" s="20">
        <v>0</v>
      </c>
      <c r="I14" s="20" t="s">
        <v>867</v>
      </c>
      <c r="J14" s="20">
        <v>5305</v>
      </c>
      <c r="L14" s="20" t="s">
        <v>869</v>
      </c>
      <c r="M14" s="20">
        <v>2577</v>
      </c>
      <c r="O14" s="20" t="s">
        <v>424</v>
      </c>
      <c r="P14" s="20">
        <v>2</v>
      </c>
      <c r="R14" s="20" t="s">
        <v>103</v>
      </c>
      <c r="S14" s="20">
        <v>4</v>
      </c>
      <c r="U14" s="20" t="s">
        <v>877</v>
      </c>
      <c r="V14" s="20">
        <v>2</v>
      </c>
      <c r="X14" s="20" t="s">
        <v>884</v>
      </c>
      <c r="Y14" s="20">
        <v>3</v>
      </c>
      <c r="AA14" s="20" t="s">
        <v>2195</v>
      </c>
      <c r="AB14" s="20">
        <v>0</v>
      </c>
      <c r="AC14" s="20">
        <v>0</v>
      </c>
      <c r="AE14" s="20" t="s">
        <v>124</v>
      </c>
      <c r="AF14" s="20">
        <v>2</v>
      </c>
      <c r="AH14" s="20" t="s">
        <v>706</v>
      </c>
      <c r="AI14" s="20">
        <v>1</v>
      </c>
      <c r="AK14" s="20" t="s">
        <v>863</v>
      </c>
      <c r="AL14" s="20">
        <v>1</v>
      </c>
      <c r="AM14">
        <v>3</v>
      </c>
      <c r="AO14" s="20" t="s">
        <v>83</v>
      </c>
      <c r="AP14" s="20">
        <v>8</v>
      </c>
    </row>
    <row r="15" spans="1:42" x14ac:dyDescent="0.25">
      <c r="A15" s="20" t="s">
        <v>845</v>
      </c>
      <c r="B15" s="20" t="s">
        <v>2191</v>
      </c>
      <c r="C15" s="20">
        <v>0</v>
      </c>
      <c r="E15" s="20" t="s">
        <v>848</v>
      </c>
      <c r="F15" s="20" t="s">
        <v>2191</v>
      </c>
      <c r="G15" s="20">
        <v>11638</v>
      </c>
      <c r="I15" s="20" t="s">
        <v>869</v>
      </c>
      <c r="J15" s="20">
        <v>5062</v>
      </c>
      <c r="L15" s="20" t="s">
        <v>682</v>
      </c>
      <c r="M15" s="20">
        <v>27079</v>
      </c>
      <c r="O15" s="20" t="s">
        <v>2536</v>
      </c>
      <c r="P15" s="20">
        <v>1</v>
      </c>
      <c r="R15" s="20" t="s">
        <v>1438</v>
      </c>
      <c r="S15" s="20">
        <v>1</v>
      </c>
      <c r="U15" s="20" t="s">
        <v>687</v>
      </c>
      <c r="V15" s="20">
        <v>1</v>
      </c>
      <c r="X15" s="20" t="s">
        <v>83</v>
      </c>
      <c r="Y15" s="20">
        <v>3</v>
      </c>
      <c r="AA15" s="20" t="s">
        <v>2196</v>
      </c>
      <c r="AB15" s="20">
        <v>0</v>
      </c>
      <c r="AC15" s="20">
        <v>0</v>
      </c>
      <c r="AE15" s="20" t="s">
        <v>1275</v>
      </c>
      <c r="AF15" s="20">
        <v>1</v>
      </c>
      <c r="AH15" s="20" t="s">
        <v>1590</v>
      </c>
      <c r="AI15" s="20">
        <v>1</v>
      </c>
      <c r="AK15" s="20" t="s">
        <v>1356</v>
      </c>
      <c r="AL15" s="20">
        <v>0</v>
      </c>
      <c r="AM15">
        <v>5</v>
      </c>
      <c r="AO15" s="20" t="s">
        <v>355</v>
      </c>
      <c r="AP15" s="20">
        <v>2</v>
      </c>
    </row>
    <row r="16" spans="1:42" x14ac:dyDescent="0.25">
      <c r="A16" s="20" t="s">
        <v>847</v>
      </c>
      <c r="B16" s="20" t="s">
        <v>2191</v>
      </c>
      <c r="C16" s="20">
        <v>0</v>
      </c>
      <c r="E16" s="20" t="s">
        <v>227</v>
      </c>
      <c r="F16" s="20" t="s">
        <v>2191</v>
      </c>
      <c r="G16" s="20">
        <v>0</v>
      </c>
      <c r="I16" s="20" t="s">
        <v>682</v>
      </c>
      <c r="J16" s="20">
        <v>62755</v>
      </c>
      <c r="L16" s="20" t="s">
        <v>232</v>
      </c>
      <c r="M16" s="20">
        <v>179311.24</v>
      </c>
      <c r="O16" s="20" t="s">
        <v>124</v>
      </c>
      <c r="P16" s="20">
        <v>1</v>
      </c>
      <c r="R16" s="20" t="s">
        <v>1098</v>
      </c>
      <c r="S16" s="20">
        <v>1</v>
      </c>
      <c r="U16" s="20" t="s">
        <v>83</v>
      </c>
      <c r="V16" s="20">
        <v>6</v>
      </c>
      <c r="X16" s="20" t="s">
        <v>355</v>
      </c>
      <c r="Y16" s="20">
        <v>2</v>
      </c>
      <c r="AA16" s="20" t="s">
        <v>1996</v>
      </c>
      <c r="AB16" s="20">
        <v>0</v>
      </c>
      <c r="AC16" s="20">
        <v>0</v>
      </c>
      <c r="AE16" s="20" t="s">
        <v>282</v>
      </c>
      <c r="AF16" s="20">
        <v>1</v>
      </c>
      <c r="AH16" s="20" t="s">
        <v>106</v>
      </c>
      <c r="AI16" s="20">
        <v>1</v>
      </c>
      <c r="AK16" s="20" t="s">
        <v>229</v>
      </c>
      <c r="AL16" s="20"/>
      <c r="AM16">
        <v>1</v>
      </c>
      <c r="AO16" s="20" t="s">
        <v>588</v>
      </c>
      <c r="AP16" s="20">
        <v>1</v>
      </c>
    </row>
    <row r="17" spans="1:42" x14ac:dyDescent="0.25">
      <c r="A17" s="20" t="s">
        <v>1545</v>
      </c>
      <c r="B17" s="20" t="s">
        <v>2191</v>
      </c>
      <c r="C17" s="20">
        <v>0</v>
      </c>
      <c r="E17" s="20" t="s">
        <v>1996</v>
      </c>
      <c r="F17" s="20" t="s">
        <v>2191</v>
      </c>
      <c r="G17" s="20">
        <v>0</v>
      </c>
      <c r="I17" s="20" t="s">
        <v>189</v>
      </c>
      <c r="J17" s="20">
        <v>17198</v>
      </c>
      <c r="L17" s="20" t="s">
        <v>877</v>
      </c>
      <c r="M17" s="20">
        <v>7543.11</v>
      </c>
      <c r="O17" s="20" t="s">
        <v>1266</v>
      </c>
      <c r="P17" s="20">
        <v>1</v>
      </c>
      <c r="R17" s="20" t="s">
        <v>424</v>
      </c>
      <c r="S17" s="20">
        <v>1</v>
      </c>
      <c r="U17" s="20" t="s">
        <v>886</v>
      </c>
      <c r="V17" s="20">
        <v>3</v>
      </c>
      <c r="X17" s="20" t="s">
        <v>85</v>
      </c>
      <c r="Y17" s="20">
        <v>2</v>
      </c>
      <c r="AA17" s="20" t="s">
        <v>851</v>
      </c>
      <c r="AB17" s="20">
        <v>2678416.2400000002</v>
      </c>
      <c r="AC17" s="20">
        <v>5388652.2300000004</v>
      </c>
      <c r="AE17" s="20" t="s">
        <v>445</v>
      </c>
      <c r="AF17" s="20">
        <v>1</v>
      </c>
      <c r="AH17" s="20" t="s">
        <v>1264</v>
      </c>
      <c r="AI17" s="20">
        <v>1</v>
      </c>
      <c r="AK17" s="20" t="s">
        <v>867</v>
      </c>
      <c r="AL17" s="20">
        <v>16</v>
      </c>
      <c r="AM17">
        <v>26</v>
      </c>
      <c r="AO17" s="20" t="s">
        <v>90</v>
      </c>
      <c r="AP17" s="20">
        <v>2</v>
      </c>
    </row>
    <row r="18" spans="1:42" x14ac:dyDescent="0.25">
      <c r="A18" s="20" t="s">
        <v>1995</v>
      </c>
      <c r="B18" s="20" t="s">
        <v>2191</v>
      </c>
      <c r="C18" s="20">
        <v>0</v>
      </c>
      <c r="E18" s="20" t="s">
        <v>1947</v>
      </c>
      <c r="F18" s="20" t="s">
        <v>2191</v>
      </c>
      <c r="G18" s="20">
        <v>0</v>
      </c>
      <c r="I18" s="20" t="s">
        <v>232</v>
      </c>
      <c r="J18" s="20">
        <v>42882</v>
      </c>
      <c r="L18" s="20" t="s">
        <v>882</v>
      </c>
      <c r="M18" s="20">
        <v>9959</v>
      </c>
      <c r="O18" s="20" t="s">
        <v>270</v>
      </c>
      <c r="P18" s="20">
        <v>3</v>
      </c>
      <c r="R18" s="20" t="s">
        <v>113</v>
      </c>
      <c r="S18" s="20">
        <v>5</v>
      </c>
      <c r="U18" s="20" t="s">
        <v>86</v>
      </c>
      <c r="V18" s="20">
        <v>1</v>
      </c>
      <c r="X18" s="20" t="s">
        <v>588</v>
      </c>
      <c r="Y18" s="20">
        <v>1</v>
      </c>
      <c r="AA18" s="20" t="s">
        <v>69</v>
      </c>
      <c r="AB18" s="20">
        <v>364802.54</v>
      </c>
      <c r="AC18" s="20">
        <v>423081.72</v>
      </c>
      <c r="AE18" s="20" t="s">
        <v>104</v>
      </c>
      <c r="AF18" s="20">
        <v>1</v>
      </c>
      <c r="AH18" s="20" t="s">
        <v>1200</v>
      </c>
      <c r="AI18" s="20">
        <v>1</v>
      </c>
      <c r="AK18" s="20" t="s">
        <v>679</v>
      </c>
      <c r="AL18" s="20"/>
      <c r="AM18">
        <v>1</v>
      </c>
      <c r="AO18" s="20" t="s">
        <v>1363</v>
      </c>
      <c r="AP18" s="20">
        <v>1</v>
      </c>
    </row>
    <row r="19" spans="1:42" x14ac:dyDescent="0.25">
      <c r="A19" s="20" t="s">
        <v>66</v>
      </c>
      <c r="B19" s="20" t="s">
        <v>2191</v>
      </c>
      <c r="C19" s="20">
        <v>18931</v>
      </c>
      <c r="E19" s="20" t="s">
        <v>850</v>
      </c>
      <c r="F19" s="20" t="s">
        <v>2191</v>
      </c>
      <c r="G19" s="20">
        <v>0</v>
      </c>
      <c r="I19" s="20" t="s">
        <v>877</v>
      </c>
      <c r="J19" s="20">
        <v>19835.25</v>
      </c>
      <c r="L19" s="20" t="s">
        <v>884</v>
      </c>
      <c r="M19" s="20">
        <v>1639.5</v>
      </c>
      <c r="O19" s="20" t="s">
        <v>252</v>
      </c>
      <c r="P19" s="20">
        <v>2</v>
      </c>
      <c r="R19" s="20" t="s">
        <v>1009</v>
      </c>
      <c r="S19" s="20">
        <v>1</v>
      </c>
      <c r="U19" s="20" t="s">
        <v>1361</v>
      </c>
      <c r="V19" s="20">
        <v>1</v>
      </c>
      <c r="X19" s="20" t="s">
        <v>90</v>
      </c>
      <c r="Y19" s="20">
        <v>2</v>
      </c>
      <c r="AA19" s="20" t="s">
        <v>2146</v>
      </c>
      <c r="AB19" s="20">
        <v>0</v>
      </c>
      <c r="AC19" s="20">
        <v>0</v>
      </c>
      <c r="AE19" s="20" t="s">
        <v>475</v>
      </c>
      <c r="AF19" s="20">
        <v>2</v>
      </c>
      <c r="AH19" s="20" t="s">
        <v>1207</v>
      </c>
      <c r="AI19" s="20">
        <v>1</v>
      </c>
      <c r="AK19" s="20" t="s">
        <v>230</v>
      </c>
      <c r="AL19" s="20">
        <v>0</v>
      </c>
      <c r="AM19">
        <v>2</v>
      </c>
      <c r="AO19" s="20" t="s">
        <v>1074</v>
      </c>
      <c r="AP19" s="20">
        <v>1</v>
      </c>
    </row>
    <row r="20" spans="1:42" x14ac:dyDescent="0.25">
      <c r="A20" s="20" t="s">
        <v>2194</v>
      </c>
      <c r="B20" s="20" t="s">
        <v>2191</v>
      </c>
      <c r="C20" s="20">
        <v>0</v>
      </c>
      <c r="E20" s="20" t="s">
        <v>68</v>
      </c>
      <c r="F20" s="20" t="s">
        <v>2191</v>
      </c>
      <c r="G20" s="20">
        <v>-674.41</v>
      </c>
      <c r="I20" s="20" t="s">
        <v>685</v>
      </c>
      <c r="J20" s="20">
        <v>11947</v>
      </c>
      <c r="L20" s="20" t="s">
        <v>83</v>
      </c>
      <c r="M20" s="20">
        <v>49318.47</v>
      </c>
      <c r="O20" s="20" t="s">
        <v>1113</v>
      </c>
      <c r="P20" s="20">
        <v>1</v>
      </c>
      <c r="R20" s="20" t="s">
        <v>270</v>
      </c>
      <c r="S20" s="20">
        <v>1</v>
      </c>
      <c r="U20" s="20" t="s">
        <v>355</v>
      </c>
      <c r="V20" s="20">
        <v>3</v>
      </c>
      <c r="X20" s="20" t="s">
        <v>1363</v>
      </c>
      <c r="Y20" s="20">
        <v>1</v>
      </c>
      <c r="AA20" s="20" t="s">
        <v>675</v>
      </c>
      <c r="AB20" s="20">
        <v>116863.47</v>
      </c>
      <c r="AC20" s="20">
        <v>0</v>
      </c>
      <c r="AE20" s="20" t="s">
        <v>668</v>
      </c>
      <c r="AF20" s="20">
        <v>2</v>
      </c>
      <c r="AH20" s="20" t="s">
        <v>113</v>
      </c>
      <c r="AI20" s="20">
        <v>6</v>
      </c>
      <c r="AK20" s="20" t="s">
        <v>682</v>
      </c>
      <c r="AL20" s="20">
        <v>2</v>
      </c>
      <c r="AM20">
        <v>6</v>
      </c>
      <c r="AO20" s="20" t="s">
        <v>1079</v>
      </c>
      <c r="AP20" s="20">
        <v>1</v>
      </c>
    </row>
    <row r="21" spans="1:42" x14ac:dyDescent="0.25">
      <c r="A21" s="20" t="s">
        <v>1546</v>
      </c>
      <c r="B21" s="20" t="s">
        <v>2191</v>
      </c>
      <c r="C21" s="20">
        <v>8235</v>
      </c>
      <c r="E21" s="20" t="s">
        <v>851</v>
      </c>
      <c r="F21" s="20" t="s">
        <v>2191</v>
      </c>
      <c r="G21" s="20">
        <v>36512.14</v>
      </c>
      <c r="I21" s="20" t="s">
        <v>880</v>
      </c>
      <c r="J21" s="20">
        <v>-201.59</v>
      </c>
      <c r="L21" s="20" t="s">
        <v>886</v>
      </c>
      <c r="M21" s="20">
        <v>1862</v>
      </c>
      <c r="O21" s="20" t="s">
        <v>291</v>
      </c>
      <c r="P21" s="20">
        <v>1</v>
      </c>
      <c r="R21" s="20" t="s">
        <v>1107</v>
      </c>
      <c r="S21" s="20">
        <v>1</v>
      </c>
      <c r="U21" s="20" t="s">
        <v>90</v>
      </c>
      <c r="V21" s="20">
        <v>3</v>
      </c>
      <c r="X21" s="20" t="s">
        <v>691</v>
      </c>
      <c r="Y21" s="20">
        <v>5</v>
      </c>
      <c r="AA21" s="20" t="s">
        <v>853</v>
      </c>
      <c r="AB21" s="20">
        <v>144689.48000000001</v>
      </c>
      <c r="AC21" s="20">
        <v>830104.81</v>
      </c>
      <c r="AE21" s="20" t="s">
        <v>1127</v>
      </c>
      <c r="AF21" s="20">
        <v>1</v>
      </c>
      <c r="AH21" s="20" t="s">
        <v>2536</v>
      </c>
      <c r="AI21" s="20">
        <v>2</v>
      </c>
      <c r="AK21" s="20" t="s">
        <v>189</v>
      </c>
      <c r="AL21" s="20">
        <v>4</v>
      </c>
      <c r="AM21">
        <v>8</v>
      </c>
      <c r="AO21" s="20" t="s">
        <v>393</v>
      </c>
      <c r="AP21" s="20">
        <v>1</v>
      </c>
    </row>
    <row r="22" spans="1:42" x14ac:dyDescent="0.25">
      <c r="A22" s="20" t="s">
        <v>2145</v>
      </c>
      <c r="B22" s="20" t="s">
        <v>2191</v>
      </c>
      <c r="C22" s="20">
        <v>0</v>
      </c>
      <c r="E22" s="20" t="s">
        <v>69</v>
      </c>
      <c r="F22" s="20" t="s">
        <v>2191</v>
      </c>
      <c r="G22" s="20">
        <v>0</v>
      </c>
      <c r="I22" s="20" t="s">
        <v>882</v>
      </c>
      <c r="J22" s="20">
        <v>2180</v>
      </c>
      <c r="L22" s="20" t="s">
        <v>355</v>
      </c>
      <c r="M22" s="20">
        <v>12801.24</v>
      </c>
      <c r="O22" s="20" t="s">
        <v>435</v>
      </c>
      <c r="P22" s="20">
        <v>1</v>
      </c>
      <c r="R22" s="20" t="s">
        <v>2636</v>
      </c>
      <c r="S22" s="20">
        <v>1</v>
      </c>
      <c r="U22" s="20" t="s">
        <v>1363</v>
      </c>
      <c r="V22" s="20">
        <v>1</v>
      </c>
      <c r="X22" s="20" t="s">
        <v>1002</v>
      </c>
      <c r="Y22" s="20">
        <v>5</v>
      </c>
      <c r="AA22" s="20" t="s">
        <v>2198</v>
      </c>
      <c r="AB22" s="20">
        <v>0</v>
      </c>
      <c r="AC22" s="20">
        <v>0</v>
      </c>
      <c r="AE22" s="20" t="s">
        <v>723</v>
      </c>
      <c r="AF22" s="20">
        <v>2</v>
      </c>
      <c r="AH22" s="20" t="s">
        <v>124</v>
      </c>
      <c r="AI22" s="20">
        <v>2</v>
      </c>
      <c r="AK22" s="20" t="s">
        <v>232</v>
      </c>
      <c r="AL22" s="20">
        <v>31</v>
      </c>
      <c r="AM22">
        <v>61</v>
      </c>
      <c r="AO22" s="20" t="s">
        <v>1256</v>
      </c>
      <c r="AP22" s="20">
        <v>2</v>
      </c>
    </row>
    <row r="23" spans="1:42" x14ac:dyDescent="0.25">
      <c r="A23" s="20" t="s">
        <v>848</v>
      </c>
      <c r="B23" s="20" t="s">
        <v>2191</v>
      </c>
      <c r="C23" s="20">
        <v>28715</v>
      </c>
      <c r="E23" s="20" t="s">
        <v>2146</v>
      </c>
      <c r="F23" s="20" t="s">
        <v>2191</v>
      </c>
      <c r="G23" s="20">
        <v>0</v>
      </c>
      <c r="I23" s="20" t="s">
        <v>687</v>
      </c>
      <c r="J23" s="20">
        <v>22119</v>
      </c>
      <c r="L23" s="20" t="s">
        <v>85</v>
      </c>
      <c r="M23" s="20">
        <v>45539.14</v>
      </c>
      <c r="O23" s="20" t="s">
        <v>439</v>
      </c>
      <c r="P23" s="20">
        <v>1</v>
      </c>
      <c r="R23" s="20" t="s">
        <v>289</v>
      </c>
      <c r="S23" s="20">
        <v>1</v>
      </c>
      <c r="U23" s="20" t="s">
        <v>1002</v>
      </c>
      <c r="V23" s="20">
        <v>1</v>
      </c>
      <c r="X23" s="20" t="s">
        <v>1074</v>
      </c>
      <c r="Y23" s="20">
        <v>1</v>
      </c>
      <c r="AA23" s="20" t="s">
        <v>855</v>
      </c>
      <c r="AB23" s="20">
        <v>75326.38</v>
      </c>
      <c r="AC23" s="20">
        <v>528651.47</v>
      </c>
      <c r="AE23" s="20" t="s">
        <v>737</v>
      </c>
      <c r="AF23" s="20">
        <v>1</v>
      </c>
      <c r="AH23" s="20" t="s">
        <v>429</v>
      </c>
      <c r="AI23" s="20">
        <v>1</v>
      </c>
      <c r="AK23" s="20" t="s">
        <v>877</v>
      </c>
      <c r="AL23" s="20">
        <v>4</v>
      </c>
      <c r="AM23">
        <v>8</v>
      </c>
      <c r="AO23" s="20" t="s">
        <v>696</v>
      </c>
      <c r="AP23" s="20">
        <v>1</v>
      </c>
    </row>
    <row r="24" spans="1:42" x14ac:dyDescent="0.25">
      <c r="A24" s="20" t="s">
        <v>227</v>
      </c>
      <c r="B24" s="20" t="s">
        <v>2191</v>
      </c>
      <c r="C24" s="20">
        <v>0</v>
      </c>
      <c r="E24" s="20" t="s">
        <v>1348</v>
      </c>
      <c r="F24" s="20" t="s">
        <v>2191</v>
      </c>
      <c r="G24" s="20">
        <v>0</v>
      </c>
      <c r="I24" s="20" t="s">
        <v>884</v>
      </c>
      <c r="J24" s="20">
        <v>25229</v>
      </c>
      <c r="L24" s="20" t="s">
        <v>88</v>
      </c>
      <c r="M24" s="20">
        <v>23978</v>
      </c>
      <c r="O24" s="20" t="s">
        <v>445</v>
      </c>
      <c r="P24" s="20">
        <v>4</v>
      </c>
      <c r="R24" s="20" t="s">
        <v>1211</v>
      </c>
      <c r="S24" s="20">
        <v>1</v>
      </c>
      <c r="U24" s="20" t="s">
        <v>1079</v>
      </c>
      <c r="V24" s="20">
        <v>3</v>
      </c>
      <c r="X24" s="20" t="s">
        <v>1076</v>
      </c>
      <c r="Y24" s="20">
        <v>1</v>
      </c>
      <c r="AA24" s="20" t="s">
        <v>202</v>
      </c>
      <c r="AB24" s="20">
        <v>717855.02</v>
      </c>
      <c r="AC24" s="20">
        <v>3296015.52</v>
      </c>
      <c r="AE24" s="20" t="s">
        <v>524</v>
      </c>
      <c r="AF24" s="20">
        <v>1</v>
      </c>
      <c r="AH24" s="20" t="s">
        <v>270</v>
      </c>
      <c r="AI24" s="20">
        <v>2</v>
      </c>
      <c r="AK24" s="20" t="s">
        <v>882</v>
      </c>
      <c r="AL24" s="20"/>
      <c r="AM24">
        <v>1</v>
      </c>
      <c r="AO24" s="20" t="s">
        <v>698</v>
      </c>
      <c r="AP24" s="20">
        <v>3</v>
      </c>
    </row>
    <row r="25" spans="1:42" x14ac:dyDescent="0.25">
      <c r="A25" s="20" t="s">
        <v>2195</v>
      </c>
      <c r="B25" s="20" t="s">
        <v>2191</v>
      </c>
      <c r="C25" s="20">
        <v>0</v>
      </c>
      <c r="E25" s="20" t="s">
        <v>675</v>
      </c>
      <c r="F25" s="20" t="s">
        <v>2191</v>
      </c>
      <c r="G25" s="20">
        <v>0</v>
      </c>
      <c r="I25" s="20" t="s">
        <v>83</v>
      </c>
      <c r="J25" s="20">
        <v>41666.71</v>
      </c>
      <c r="L25" s="20" t="s">
        <v>90</v>
      </c>
      <c r="M25" s="20">
        <v>28361.5</v>
      </c>
      <c r="O25" s="20" t="s">
        <v>1282</v>
      </c>
      <c r="P25" s="20">
        <v>1</v>
      </c>
      <c r="R25" s="20" t="s">
        <v>1215</v>
      </c>
      <c r="S25" s="20">
        <v>1</v>
      </c>
      <c r="U25" s="20" t="s">
        <v>393</v>
      </c>
      <c r="V25" s="20">
        <v>1</v>
      </c>
      <c r="X25" s="20" t="s">
        <v>593</v>
      </c>
      <c r="Y25" s="20">
        <v>1</v>
      </c>
      <c r="AA25" s="20" t="s">
        <v>2088</v>
      </c>
      <c r="AB25" s="20">
        <v>0</v>
      </c>
      <c r="AC25" s="20">
        <v>0</v>
      </c>
      <c r="AE25" s="20" t="s">
        <v>1482</v>
      </c>
      <c r="AF25" s="20">
        <v>2</v>
      </c>
      <c r="AH25" s="20" t="s">
        <v>282</v>
      </c>
      <c r="AI25" s="20">
        <v>7</v>
      </c>
      <c r="AK25" s="20" t="s">
        <v>687</v>
      </c>
      <c r="AL25" s="20">
        <v>2</v>
      </c>
      <c r="AM25">
        <v>9</v>
      </c>
      <c r="AO25" s="20" t="s">
        <v>600</v>
      </c>
      <c r="AP25" s="20">
        <v>2</v>
      </c>
    </row>
    <row r="26" spans="1:42" x14ac:dyDescent="0.25">
      <c r="A26" s="20" t="s">
        <v>2196</v>
      </c>
      <c r="B26" s="20" t="s">
        <v>2191</v>
      </c>
      <c r="C26" s="20">
        <v>0</v>
      </c>
      <c r="E26" s="20" t="s">
        <v>2197</v>
      </c>
      <c r="F26" s="20" t="s">
        <v>2191</v>
      </c>
      <c r="G26" s="20">
        <v>0</v>
      </c>
      <c r="I26" s="20" t="s">
        <v>886</v>
      </c>
      <c r="J26" s="20">
        <v>42701.93</v>
      </c>
      <c r="L26" s="20" t="s">
        <v>1363</v>
      </c>
      <c r="M26" s="20">
        <v>787</v>
      </c>
      <c r="O26" s="20" t="s">
        <v>613</v>
      </c>
      <c r="P26" s="20">
        <v>1</v>
      </c>
      <c r="R26" s="20" t="s">
        <v>445</v>
      </c>
      <c r="S26" s="20">
        <v>1</v>
      </c>
      <c r="U26" s="20" t="s">
        <v>403</v>
      </c>
      <c r="V26" s="20">
        <v>1</v>
      </c>
      <c r="X26" s="20" t="s">
        <v>393</v>
      </c>
      <c r="Y26" s="20">
        <v>2</v>
      </c>
      <c r="AA26" s="20" t="s">
        <v>990</v>
      </c>
      <c r="AB26" s="20">
        <v>158224.57999999999</v>
      </c>
      <c r="AC26" s="20">
        <v>413280.43</v>
      </c>
      <c r="AE26" s="20" t="s">
        <v>655</v>
      </c>
      <c r="AF26" s="20">
        <v>3</v>
      </c>
      <c r="AH26" s="20" t="s">
        <v>241</v>
      </c>
      <c r="AI26" s="20">
        <v>1</v>
      </c>
      <c r="AK26" s="20" t="s">
        <v>884</v>
      </c>
      <c r="AL26" s="20">
        <v>4</v>
      </c>
      <c r="AM26">
        <v>4</v>
      </c>
      <c r="AO26" s="20" t="s">
        <v>1369</v>
      </c>
      <c r="AP26" s="20">
        <v>2</v>
      </c>
    </row>
    <row r="27" spans="1:42" x14ac:dyDescent="0.25">
      <c r="A27" s="20" t="s">
        <v>1996</v>
      </c>
      <c r="B27" s="20" t="s">
        <v>2191</v>
      </c>
      <c r="C27" s="20">
        <v>0</v>
      </c>
      <c r="E27" s="20" t="s">
        <v>853</v>
      </c>
      <c r="F27" s="20" t="s">
        <v>2191</v>
      </c>
      <c r="G27" s="20">
        <v>31883.4</v>
      </c>
      <c r="I27" s="20" t="s">
        <v>1361</v>
      </c>
      <c r="J27" s="20">
        <v>4346</v>
      </c>
      <c r="L27" s="20" t="s">
        <v>1071</v>
      </c>
      <c r="M27" s="20">
        <v>4045</v>
      </c>
      <c r="O27" s="20" t="s">
        <v>621</v>
      </c>
      <c r="P27" s="20">
        <v>1</v>
      </c>
      <c r="R27" s="20" t="s">
        <v>613</v>
      </c>
      <c r="S27" s="20">
        <v>1</v>
      </c>
      <c r="U27" s="20" t="s">
        <v>696</v>
      </c>
      <c r="V27" s="20">
        <v>2</v>
      </c>
      <c r="X27" s="20" t="s">
        <v>1568</v>
      </c>
      <c r="Y27" s="20">
        <v>9</v>
      </c>
      <c r="AA27" s="20" t="s">
        <v>992</v>
      </c>
      <c r="AB27" s="20">
        <v>-19592.27</v>
      </c>
      <c r="AC27" s="20">
        <v>267110.87</v>
      </c>
      <c r="AE27" s="20" t="s">
        <v>1158</v>
      </c>
      <c r="AF27" s="20">
        <v>1</v>
      </c>
      <c r="AH27" s="20" t="s">
        <v>287</v>
      </c>
      <c r="AI27" s="20">
        <v>1</v>
      </c>
      <c r="AK27" s="20" t="s">
        <v>83</v>
      </c>
      <c r="AL27" s="20">
        <v>7</v>
      </c>
      <c r="AM27">
        <v>17</v>
      </c>
      <c r="AO27" s="20" t="s">
        <v>414</v>
      </c>
      <c r="AP27" s="20">
        <v>1</v>
      </c>
    </row>
    <row r="28" spans="1:42" x14ac:dyDescent="0.25">
      <c r="A28" s="20" t="s">
        <v>1947</v>
      </c>
      <c r="B28" s="20" t="s">
        <v>2191</v>
      </c>
      <c r="C28" s="20">
        <v>0</v>
      </c>
      <c r="E28" s="20" t="s">
        <v>855</v>
      </c>
      <c r="F28" s="20" t="s">
        <v>2191</v>
      </c>
      <c r="G28" s="20">
        <v>0</v>
      </c>
      <c r="I28" s="20" t="s">
        <v>355</v>
      </c>
      <c r="J28" s="20">
        <v>56191.94</v>
      </c>
      <c r="L28" s="20" t="s">
        <v>691</v>
      </c>
      <c r="M28" s="20">
        <v>8333.5</v>
      </c>
      <c r="O28" s="20" t="s">
        <v>1377</v>
      </c>
      <c r="P28" s="20">
        <v>1</v>
      </c>
      <c r="R28" s="20" t="s">
        <v>621</v>
      </c>
      <c r="S28" s="20">
        <v>1</v>
      </c>
      <c r="U28" s="20" t="s">
        <v>698</v>
      </c>
      <c r="V28" s="20">
        <v>1</v>
      </c>
      <c r="X28" s="20" t="s">
        <v>403</v>
      </c>
      <c r="Y28" s="20">
        <v>2</v>
      </c>
      <c r="AA28" s="20" t="s">
        <v>858</v>
      </c>
      <c r="AB28" s="20">
        <v>-11674.31</v>
      </c>
      <c r="AC28" s="20">
        <v>120490.37</v>
      </c>
      <c r="AE28" s="20" t="s">
        <v>1392</v>
      </c>
      <c r="AF28" s="20">
        <v>1</v>
      </c>
      <c r="AH28" s="20" t="s">
        <v>289</v>
      </c>
      <c r="AI28" s="20">
        <v>1</v>
      </c>
      <c r="AK28" s="20" t="s">
        <v>886</v>
      </c>
      <c r="AL28" s="20">
        <v>1</v>
      </c>
      <c r="AO28" s="20" t="s">
        <v>416</v>
      </c>
      <c r="AP28" s="20">
        <v>2</v>
      </c>
    </row>
    <row r="29" spans="1:42" x14ac:dyDescent="0.25">
      <c r="A29" s="20" t="s">
        <v>850</v>
      </c>
      <c r="B29" s="20" t="s">
        <v>2191</v>
      </c>
      <c r="C29" s="20">
        <v>0</v>
      </c>
      <c r="E29" s="20" t="s">
        <v>1949</v>
      </c>
      <c r="F29" s="20" t="s">
        <v>2191</v>
      </c>
      <c r="G29" s="20">
        <v>0</v>
      </c>
      <c r="I29" s="20" t="s">
        <v>85</v>
      </c>
      <c r="J29" s="20">
        <v>0</v>
      </c>
      <c r="L29" s="20" t="s">
        <v>1002</v>
      </c>
      <c r="M29" s="20">
        <v>10538.29</v>
      </c>
      <c r="O29" s="20" t="s">
        <v>475</v>
      </c>
      <c r="P29" s="20">
        <v>1</v>
      </c>
      <c r="R29" s="20" t="s">
        <v>1442</v>
      </c>
      <c r="S29" s="20">
        <v>1</v>
      </c>
      <c r="U29" s="20" t="s">
        <v>412</v>
      </c>
      <c r="V29" s="20">
        <v>1</v>
      </c>
      <c r="X29" s="20" t="s">
        <v>2283</v>
      </c>
      <c r="Y29" s="20">
        <v>2</v>
      </c>
      <c r="AA29" s="20" t="s">
        <v>1354</v>
      </c>
      <c r="AB29" s="20">
        <v>0</v>
      </c>
      <c r="AC29" s="20">
        <v>0</v>
      </c>
      <c r="AE29" s="20" t="s">
        <v>341</v>
      </c>
      <c r="AF29" s="20">
        <v>2</v>
      </c>
      <c r="AH29" s="20" t="s">
        <v>1115</v>
      </c>
      <c r="AI29" s="20">
        <v>1</v>
      </c>
      <c r="AK29" s="20" t="s">
        <v>86</v>
      </c>
      <c r="AL29" s="20">
        <v>1</v>
      </c>
      <c r="AM29">
        <v>2</v>
      </c>
      <c r="AO29" s="20" t="s">
        <v>1087</v>
      </c>
      <c r="AP29" s="20">
        <v>2</v>
      </c>
    </row>
    <row r="30" spans="1:42" x14ac:dyDescent="0.25">
      <c r="A30" s="20" t="s">
        <v>68</v>
      </c>
      <c r="B30" s="20" t="s">
        <v>2191</v>
      </c>
      <c r="C30" s="20">
        <v>0</v>
      </c>
      <c r="E30" s="20" t="s">
        <v>857</v>
      </c>
      <c r="F30" s="20" t="s">
        <v>2191</v>
      </c>
      <c r="G30" s="20">
        <v>0</v>
      </c>
      <c r="I30" s="20" t="s">
        <v>588</v>
      </c>
      <c r="J30" s="20">
        <v>11009.71</v>
      </c>
      <c r="L30" s="20" t="s">
        <v>1079</v>
      </c>
      <c r="M30" s="20">
        <v>14809.23</v>
      </c>
      <c r="O30" s="20" t="s">
        <v>480</v>
      </c>
      <c r="P30" s="20">
        <v>1</v>
      </c>
      <c r="R30" s="20" t="s">
        <v>590</v>
      </c>
      <c r="S30" s="20">
        <v>3</v>
      </c>
      <c r="U30" s="20" t="s">
        <v>247</v>
      </c>
      <c r="V30" s="20">
        <v>1</v>
      </c>
      <c r="X30" s="20" t="s">
        <v>698</v>
      </c>
      <c r="Y30" s="20">
        <v>2</v>
      </c>
      <c r="AA30" s="20" t="s">
        <v>2199</v>
      </c>
      <c r="AB30" s="20">
        <v>0</v>
      </c>
      <c r="AC30" s="20">
        <v>0</v>
      </c>
      <c r="AE30" s="20" t="s">
        <v>814</v>
      </c>
      <c r="AF30" s="20">
        <v>1</v>
      </c>
      <c r="AH30" s="20" t="s">
        <v>435</v>
      </c>
      <c r="AI30" s="20">
        <v>2</v>
      </c>
      <c r="AK30" s="20" t="s">
        <v>1361</v>
      </c>
      <c r="AL30" s="20">
        <v>2</v>
      </c>
      <c r="AM30">
        <v>6</v>
      </c>
      <c r="AO30" s="20" t="s">
        <v>422</v>
      </c>
      <c r="AP30" s="20">
        <v>1</v>
      </c>
    </row>
    <row r="31" spans="1:42" x14ac:dyDescent="0.25">
      <c r="A31" s="20" t="s">
        <v>851</v>
      </c>
      <c r="B31" s="20" t="s">
        <v>2191</v>
      </c>
      <c r="C31" s="20">
        <v>270195.53999999998</v>
      </c>
      <c r="E31" s="20" t="s">
        <v>202</v>
      </c>
      <c r="F31" s="20" t="s">
        <v>2191</v>
      </c>
      <c r="G31" s="20">
        <v>93786.01</v>
      </c>
      <c r="I31" s="20" t="s">
        <v>88</v>
      </c>
      <c r="J31" s="20">
        <v>6788</v>
      </c>
      <c r="L31" s="20" t="s">
        <v>1568</v>
      </c>
      <c r="M31" s="20">
        <v>3670</v>
      </c>
      <c r="O31" s="20" t="s">
        <v>917</v>
      </c>
      <c r="P31" s="20">
        <v>1</v>
      </c>
      <c r="R31" s="20" t="s">
        <v>475</v>
      </c>
      <c r="S31" s="20">
        <v>1</v>
      </c>
      <c r="U31" s="20" t="s">
        <v>416</v>
      </c>
      <c r="V31" s="20">
        <v>4</v>
      </c>
      <c r="X31" s="20" t="s">
        <v>600</v>
      </c>
      <c r="Y31" s="20">
        <v>2</v>
      </c>
      <c r="AA31" s="20" t="s">
        <v>1997</v>
      </c>
      <c r="AB31" s="20">
        <v>0</v>
      </c>
      <c r="AC31" s="20">
        <v>0</v>
      </c>
      <c r="AE31" s="20" t="s">
        <v>1172</v>
      </c>
      <c r="AF31" s="20">
        <v>3</v>
      </c>
      <c r="AH31" s="20" t="s">
        <v>621</v>
      </c>
      <c r="AI31" s="20">
        <v>1</v>
      </c>
      <c r="AK31" s="20" t="s">
        <v>355</v>
      </c>
      <c r="AL31" s="20">
        <v>6</v>
      </c>
      <c r="AM31">
        <v>16</v>
      </c>
      <c r="AO31" s="20" t="s">
        <v>254</v>
      </c>
      <c r="AP31" s="20">
        <v>1</v>
      </c>
    </row>
    <row r="32" spans="1:42" x14ac:dyDescent="0.25">
      <c r="A32" s="20" t="s">
        <v>69</v>
      </c>
      <c r="B32" s="20" t="s">
        <v>2191</v>
      </c>
      <c r="C32" s="20">
        <v>3715</v>
      </c>
      <c r="E32" s="20" t="s">
        <v>1816</v>
      </c>
      <c r="F32" s="20" t="s">
        <v>2191</v>
      </c>
      <c r="G32" s="20">
        <v>0</v>
      </c>
      <c r="I32" s="20" t="s">
        <v>1363</v>
      </c>
      <c r="J32" s="20">
        <v>6287</v>
      </c>
      <c r="L32" s="20" t="s">
        <v>403</v>
      </c>
      <c r="M32" s="20">
        <v>4850.66</v>
      </c>
      <c r="O32" s="20" t="s">
        <v>1127</v>
      </c>
      <c r="P32" s="20">
        <v>1</v>
      </c>
      <c r="R32" s="20" t="s">
        <v>303</v>
      </c>
      <c r="S32" s="20">
        <v>1</v>
      </c>
      <c r="U32" s="20" t="s">
        <v>894</v>
      </c>
      <c r="V32" s="20">
        <v>1</v>
      </c>
      <c r="X32" s="20" t="s">
        <v>412</v>
      </c>
      <c r="Y32" s="20">
        <v>4</v>
      </c>
      <c r="AA32" s="20" t="s">
        <v>2200</v>
      </c>
      <c r="AB32" s="20">
        <v>0</v>
      </c>
      <c r="AC32" s="20">
        <v>0</v>
      </c>
      <c r="AE32" s="20" t="s">
        <v>2955</v>
      </c>
      <c r="AF32" s="20">
        <v>1</v>
      </c>
      <c r="AH32" s="20" t="s">
        <v>475</v>
      </c>
      <c r="AI32" s="20">
        <v>2</v>
      </c>
      <c r="AK32" s="20" t="s">
        <v>85</v>
      </c>
      <c r="AL32" s="20">
        <v>0</v>
      </c>
      <c r="AM32">
        <v>2</v>
      </c>
      <c r="AO32" s="20" t="s">
        <v>103</v>
      </c>
      <c r="AP32" s="20">
        <v>1</v>
      </c>
    </row>
    <row r="33" spans="1:42" x14ac:dyDescent="0.25">
      <c r="A33" s="20" t="s">
        <v>2146</v>
      </c>
      <c r="B33" s="20" t="s">
        <v>2191</v>
      </c>
      <c r="C33" s="20">
        <v>0</v>
      </c>
      <c r="E33" s="20" t="s">
        <v>990</v>
      </c>
      <c r="F33" s="20" t="s">
        <v>2191</v>
      </c>
      <c r="G33" s="20">
        <v>0</v>
      </c>
      <c r="I33" s="20" t="s">
        <v>1365</v>
      </c>
      <c r="J33" s="20">
        <v>1622</v>
      </c>
      <c r="L33" s="20" t="s">
        <v>595</v>
      </c>
      <c r="M33" s="20">
        <v>0</v>
      </c>
      <c r="O33" s="20" t="s">
        <v>129</v>
      </c>
      <c r="P33" s="20">
        <v>1</v>
      </c>
      <c r="R33" s="20" t="s">
        <v>1459</v>
      </c>
      <c r="S33" s="20">
        <v>2</v>
      </c>
      <c r="U33" s="20" t="s">
        <v>1084</v>
      </c>
      <c r="V33" s="20">
        <v>1</v>
      </c>
      <c r="X33" s="20" t="s">
        <v>1369</v>
      </c>
      <c r="Y33" s="20">
        <v>1</v>
      </c>
      <c r="AA33" s="20" t="s">
        <v>72</v>
      </c>
      <c r="AB33" s="20">
        <v>21285.42</v>
      </c>
      <c r="AC33" s="20">
        <v>276048.15999999997</v>
      </c>
      <c r="AE33" s="20" t="s">
        <v>1415</v>
      </c>
      <c r="AF33" s="20">
        <v>1</v>
      </c>
      <c r="AH33" s="20" t="s">
        <v>1290</v>
      </c>
      <c r="AI33" s="20">
        <v>1</v>
      </c>
      <c r="AK33" s="20" t="s">
        <v>588</v>
      </c>
      <c r="AL33" s="20">
        <v>1</v>
      </c>
      <c r="AM33">
        <v>4</v>
      </c>
      <c r="AO33" s="20" t="s">
        <v>706</v>
      </c>
      <c r="AP33" s="20">
        <v>1</v>
      </c>
    </row>
    <row r="34" spans="1:42" x14ac:dyDescent="0.25">
      <c r="A34" s="20" t="s">
        <v>1348</v>
      </c>
      <c r="B34" s="20" t="s">
        <v>2191</v>
      </c>
      <c r="C34" s="20">
        <v>0</v>
      </c>
      <c r="E34" s="20" t="s">
        <v>1350</v>
      </c>
      <c r="F34" s="20" t="s">
        <v>2191</v>
      </c>
      <c r="G34" s="20">
        <v>0</v>
      </c>
      <c r="I34" s="20" t="s">
        <v>691</v>
      </c>
      <c r="J34" s="20">
        <v>63193</v>
      </c>
      <c r="L34" s="20" t="s">
        <v>410</v>
      </c>
      <c r="M34" s="20">
        <v>1352.2</v>
      </c>
      <c r="O34" s="20" t="s">
        <v>1482</v>
      </c>
      <c r="P34" s="20">
        <v>1</v>
      </c>
      <c r="R34" s="20" t="s">
        <v>503</v>
      </c>
      <c r="S34" s="20">
        <v>2</v>
      </c>
      <c r="U34" s="20" t="s">
        <v>1087</v>
      </c>
      <c r="V34" s="20">
        <v>1</v>
      </c>
      <c r="X34" s="20" t="s">
        <v>414</v>
      </c>
      <c r="Y34" s="20">
        <v>1</v>
      </c>
      <c r="AA34" s="20" t="s">
        <v>863</v>
      </c>
      <c r="AB34" s="20">
        <v>2551.73</v>
      </c>
      <c r="AC34" s="20">
        <v>99272.44</v>
      </c>
      <c r="AE34" s="20" t="s">
        <v>1188</v>
      </c>
      <c r="AF34" s="20">
        <v>1</v>
      </c>
      <c r="AH34" s="20" t="s">
        <v>723</v>
      </c>
      <c r="AI34" s="20">
        <v>1</v>
      </c>
      <c r="AK34" s="20" t="s">
        <v>90</v>
      </c>
      <c r="AL34" s="20">
        <v>5</v>
      </c>
      <c r="AM34">
        <v>17</v>
      </c>
      <c r="AO34" s="20" t="s">
        <v>1438</v>
      </c>
      <c r="AP34" s="20">
        <v>3</v>
      </c>
    </row>
    <row r="35" spans="1:42" x14ac:dyDescent="0.25">
      <c r="A35" s="20" t="s">
        <v>675</v>
      </c>
      <c r="B35" s="20" t="s">
        <v>2191</v>
      </c>
      <c r="C35" s="20">
        <v>0</v>
      </c>
      <c r="E35" s="20" t="s">
        <v>1351</v>
      </c>
      <c r="F35" s="20" t="s">
        <v>2191</v>
      </c>
      <c r="G35" s="20">
        <v>0</v>
      </c>
      <c r="I35" s="20" t="s">
        <v>1002</v>
      </c>
      <c r="J35" s="20">
        <v>0</v>
      </c>
      <c r="L35" s="20" t="s">
        <v>2283</v>
      </c>
      <c r="M35" s="20">
        <v>18088.599999999999</v>
      </c>
      <c r="O35" s="20" t="s">
        <v>1158</v>
      </c>
      <c r="P35" s="20">
        <v>1</v>
      </c>
      <c r="R35" s="20" t="s">
        <v>129</v>
      </c>
      <c r="S35" s="20">
        <v>1</v>
      </c>
      <c r="U35" s="20" t="s">
        <v>103</v>
      </c>
      <c r="V35" s="20">
        <v>1</v>
      </c>
      <c r="X35" s="20" t="s">
        <v>247</v>
      </c>
      <c r="Y35" s="20">
        <v>1</v>
      </c>
      <c r="AA35" s="20" t="s">
        <v>1356</v>
      </c>
      <c r="AB35" s="20">
        <v>23429.96</v>
      </c>
      <c r="AC35" s="20">
        <v>280173.65999999997</v>
      </c>
      <c r="AE35" s="20" t="s">
        <v>379</v>
      </c>
      <c r="AF35" s="20">
        <v>1</v>
      </c>
      <c r="AH35" s="20" t="s">
        <v>503</v>
      </c>
      <c r="AI35" s="20">
        <v>5</v>
      </c>
      <c r="AK35" s="20" t="s">
        <v>1363</v>
      </c>
      <c r="AL35" s="20">
        <v>2</v>
      </c>
      <c r="AM35">
        <v>6</v>
      </c>
      <c r="AO35" s="20" t="s">
        <v>606</v>
      </c>
      <c r="AP35" s="20">
        <v>1</v>
      </c>
    </row>
    <row r="36" spans="1:42" x14ac:dyDescent="0.25">
      <c r="A36" s="20" t="s">
        <v>2197</v>
      </c>
      <c r="B36" s="20" t="s">
        <v>2191</v>
      </c>
      <c r="C36" s="20">
        <v>0</v>
      </c>
      <c r="E36" s="20" t="s">
        <v>992</v>
      </c>
      <c r="F36" s="20" t="s">
        <v>2191</v>
      </c>
      <c r="G36" s="20">
        <v>13865</v>
      </c>
      <c r="I36" s="20" t="s">
        <v>1076</v>
      </c>
      <c r="J36" s="20">
        <v>2590.3000000000002</v>
      </c>
      <c r="L36" s="20" t="s">
        <v>696</v>
      </c>
      <c r="M36" s="20">
        <v>34265</v>
      </c>
      <c r="O36" s="20" t="s">
        <v>160</v>
      </c>
      <c r="P36" s="20">
        <v>3</v>
      </c>
      <c r="R36" s="20" t="s">
        <v>1705</v>
      </c>
      <c r="S36" s="20">
        <v>1</v>
      </c>
      <c r="U36" s="20" t="s">
        <v>706</v>
      </c>
      <c r="V36" s="20">
        <v>4</v>
      </c>
      <c r="X36" s="20" t="s">
        <v>416</v>
      </c>
      <c r="Y36" s="20">
        <v>3</v>
      </c>
      <c r="AA36" s="20" t="s">
        <v>1547</v>
      </c>
      <c r="AB36" s="20">
        <v>-2833.47</v>
      </c>
      <c r="AC36" s="20">
        <v>703.98</v>
      </c>
      <c r="AE36" s="20" t="s">
        <v>1396</v>
      </c>
      <c r="AF36" s="20">
        <v>1</v>
      </c>
      <c r="AH36" s="20" t="s">
        <v>81</v>
      </c>
      <c r="AI36" s="20">
        <v>1</v>
      </c>
      <c r="AK36" s="20" t="s">
        <v>691</v>
      </c>
      <c r="AL36" s="20">
        <v>6</v>
      </c>
      <c r="AM36">
        <v>15</v>
      </c>
      <c r="AO36" s="20" t="s">
        <v>1200</v>
      </c>
      <c r="AP36" s="20">
        <v>1</v>
      </c>
    </row>
    <row r="37" spans="1:42" x14ac:dyDescent="0.25">
      <c r="A37" s="20" t="s">
        <v>853</v>
      </c>
      <c r="B37" s="20" t="s">
        <v>2191</v>
      </c>
      <c r="C37" s="20">
        <v>-1352.61</v>
      </c>
      <c r="E37" s="20" t="s">
        <v>858</v>
      </c>
      <c r="F37" s="20" t="s">
        <v>2191</v>
      </c>
      <c r="G37" s="20">
        <v>0</v>
      </c>
      <c r="I37" s="20" t="s">
        <v>1079</v>
      </c>
      <c r="J37" s="20">
        <v>8359</v>
      </c>
      <c r="L37" s="20" t="s">
        <v>412</v>
      </c>
      <c r="M37" s="20">
        <v>50474</v>
      </c>
      <c r="O37" s="20" t="s">
        <v>345</v>
      </c>
      <c r="P37" s="20">
        <v>1</v>
      </c>
      <c r="R37" s="20" t="s">
        <v>75</v>
      </c>
      <c r="S37" s="20">
        <v>2</v>
      </c>
      <c r="U37" s="20" t="s">
        <v>1590</v>
      </c>
      <c r="V37" s="20">
        <v>38</v>
      </c>
      <c r="X37" s="20" t="s">
        <v>1084</v>
      </c>
      <c r="Y37" s="20">
        <v>1</v>
      </c>
      <c r="AA37" s="20" t="s">
        <v>866</v>
      </c>
      <c r="AB37" s="20">
        <v>0</v>
      </c>
      <c r="AC37" s="20">
        <v>0</v>
      </c>
      <c r="AE37" s="20" t="s">
        <v>1510</v>
      </c>
      <c r="AF37" s="20">
        <v>3</v>
      </c>
      <c r="AH37" s="20" t="s">
        <v>650</v>
      </c>
      <c r="AI37" s="20">
        <v>1</v>
      </c>
      <c r="AK37" s="20" t="s">
        <v>1002</v>
      </c>
      <c r="AL37" s="20">
        <v>6</v>
      </c>
      <c r="AM37">
        <v>10</v>
      </c>
      <c r="AO37" s="20" t="s">
        <v>1373</v>
      </c>
      <c r="AP37" s="20">
        <v>1</v>
      </c>
    </row>
    <row r="38" spans="1:42" x14ac:dyDescent="0.25">
      <c r="A38" s="20" t="s">
        <v>1948</v>
      </c>
      <c r="B38" s="20" t="s">
        <v>2191</v>
      </c>
      <c r="C38" s="20">
        <v>0</v>
      </c>
      <c r="E38" s="20" t="s">
        <v>2147</v>
      </c>
      <c r="F38" s="20" t="s">
        <v>2191</v>
      </c>
      <c r="G38" s="20">
        <v>0</v>
      </c>
      <c r="I38" s="20" t="s">
        <v>593</v>
      </c>
      <c r="J38" s="20">
        <v>2974</v>
      </c>
      <c r="L38" s="20" t="s">
        <v>95</v>
      </c>
      <c r="M38" s="20">
        <v>5830</v>
      </c>
      <c r="O38" s="20" t="s">
        <v>408</v>
      </c>
      <c r="P38" s="20">
        <v>3</v>
      </c>
      <c r="R38" s="20" t="s">
        <v>1234</v>
      </c>
      <c r="S38" s="20">
        <v>1</v>
      </c>
      <c r="U38" s="20" t="s">
        <v>109</v>
      </c>
      <c r="V38" s="20">
        <v>1</v>
      </c>
      <c r="X38" s="20" t="s">
        <v>422</v>
      </c>
      <c r="Y38" s="20">
        <v>4</v>
      </c>
      <c r="AA38" s="20" t="s">
        <v>229</v>
      </c>
      <c r="AB38" s="20">
        <v>-5408.04</v>
      </c>
      <c r="AC38" s="20">
        <v>87972.85</v>
      </c>
      <c r="AE38" s="20" t="s">
        <v>442</v>
      </c>
      <c r="AF38" s="20">
        <v>1</v>
      </c>
      <c r="AH38" s="20" t="s">
        <v>520</v>
      </c>
      <c r="AI38" s="20">
        <v>1</v>
      </c>
      <c r="AK38" s="20" t="s">
        <v>1074</v>
      </c>
      <c r="AL38" s="20">
        <v>1</v>
      </c>
      <c r="AM38">
        <v>6</v>
      </c>
      <c r="AO38" s="20" t="s">
        <v>260</v>
      </c>
      <c r="AP38" s="20">
        <v>1</v>
      </c>
    </row>
    <row r="39" spans="1:42" x14ac:dyDescent="0.25">
      <c r="A39" s="20" t="s">
        <v>2198</v>
      </c>
      <c r="B39" s="20" t="s">
        <v>2191</v>
      </c>
      <c r="C39" s="20">
        <v>0</v>
      </c>
      <c r="E39" s="20" t="s">
        <v>1354</v>
      </c>
      <c r="F39" s="20" t="s">
        <v>2191</v>
      </c>
      <c r="G39" s="20">
        <v>0</v>
      </c>
      <c r="I39" s="20" t="s">
        <v>892</v>
      </c>
      <c r="J39" s="20">
        <v>6637</v>
      </c>
      <c r="L39" s="20" t="s">
        <v>414</v>
      </c>
      <c r="M39" s="20">
        <v>1126</v>
      </c>
      <c r="O39" s="20" t="s">
        <v>996</v>
      </c>
      <c r="P39" s="20">
        <v>1</v>
      </c>
      <c r="R39" s="20" t="s">
        <v>737</v>
      </c>
      <c r="S39" s="20">
        <v>1</v>
      </c>
      <c r="U39" s="20" t="s">
        <v>1373</v>
      </c>
      <c r="V39" s="20">
        <v>1</v>
      </c>
      <c r="X39" s="20" t="s">
        <v>251</v>
      </c>
      <c r="Y39" s="20">
        <v>1</v>
      </c>
      <c r="AA39" s="20" t="s">
        <v>867</v>
      </c>
      <c r="AB39" s="20">
        <v>106032.87</v>
      </c>
      <c r="AC39" s="20">
        <v>867260.9</v>
      </c>
      <c r="AE39" s="20" t="s">
        <v>3041</v>
      </c>
      <c r="AF39" s="20">
        <v>1</v>
      </c>
      <c r="AH39" s="20" t="s">
        <v>75</v>
      </c>
      <c r="AI39" s="20">
        <v>1</v>
      </c>
      <c r="AK39" s="20" t="s">
        <v>1076</v>
      </c>
      <c r="AL39" s="20">
        <v>1</v>
      </c>
      <c r="AM39">
        <v>3</v>
      </c>
      <c r="AO39" s="20" t="s">
        <v>424</v>
      </c>
      <c r="AP39" s="20">
        <v>1</v>
      </c>
    </row>
    <row r="40" spans="1:42" x14ac:dyDescent="0.25">
      <c r="A40" s="20" t="s">
        <v>855</v>
      </c>
      <c r="B40" s="20" t="s">
        <v>2191</v>
      </c>
      <c r="C40" s="20">
        <v>10472</v>
      </c>
      <c r="E40" s="20" t="s">
        <v>860</v>
      </c>
      <c r="F40" s="20" t="s">
        <v>2191</v>
      </c>
      <c r="G40" s="20">
        <v>0</v>
      </c>
      <c r="I40" s="20" t="s">
        <v>238</v>
      </c>
      <c r="J40" s="20">
        <v>20235.099999999999</v>
      </c>
      <c r="L40" s="20" t="s">
        <v>247</v>
      </c>
      <c r="M40" s="20">
        <v>80248</v>
      </c>
      <c r="O40" s="20" t="s">
        <v>1326</v>
      </c>
      <c r="P40" s="20">
        <v>1</v>
      </c>
      <c r="R40" s="20" t="s">
        <v>522</v>
      </c>
      <c r="S40" s="20">
        <v>1</v>
      </c>
      <c r="U40" s="20" t="s">
        <v>260</v>
      </c>
      <c r="V40" s="20">
        <v>1</v>
      </c>
      <c r="X40" s="20" t="s">
        <v>103</v>
      </c>
      <c r="Y40" s="20">
        <v>8</v>
      </c>
      <c r="AA40" s="20" t="s">
        <v>869</v>
      </c>
      <c r="AB40" s="20">
        <v>1789.85</v>
      </c>
      <c r="AC40" s="20">
        <v>133808.74</v>
      </c>
      <c r="AE40" s="20" t="s">
        <v>3054</v>
      </c>
      <c r="AF40" s="20">
        <v>2</v>
      </c>
      <c r="AH40" s="20" t="s">
        <v>144</v>
      </c>
      <c r="AI40" s="20">
        <v>1</v>
      </c>
      <c r="AK40" s="20" t="s">
        <v>1079</v>
      </c>
      <c r="AL40" s="20">
        <v>1</v>
      </c>
      <c r="AM40">
        <v>11</v>
      </c>
      <c r="AO40" s="20" t="s">
        <v>1207</v>
      </c>
      <c r="AP40" s="20">
        <v>2</v>
      </c>
    </row>
    <row r="41" spans="1:42" x14ac:dyDescent="0.25">
      <c r="A41" s="20" t="s">
        <v>1949</v>
      </c>
      <c r="B41" s="20" t="s">
        <v>2191</v>
      </c>
      <c r="C41" s="20">
        <v>0</v>
      </c>
      <c r="E41" s="20" t="s">
        <v>861</v>
      </c>
      <c r="F41" s="20" t="s">
        <v>2191</v>
      </c>
      <c r="G41" s="20">
        <v>0</v>
      </c>
      <c r="I41" s="20" t="s">
        <v>393</v>
      </c>
      <c r="J41" s="20">
        <v>488.74</v>
      </c>
      <c r="L41" s="20" t="s">
        <v>1007</v>
      </c>
      <c r="M41" s="20">
        <v>3729.55</v>
      </c>
      <c r="O41" s="20" t="s">
        <v>1407</v>
      </c>
      <c r="P41" s="20">
        <v>1</v>
      </c>
      <c r="R41" s="20" t="s">
        <v>1482</v>
      </c>
      <c r="S41" s="20">
        <v>1</v>
      </c>
      <c r="U41" s="20" t="s">
        <v>907</v>
      </c>
      <c r="V41" s="20">
        <v>1</v>
      </c>
      <c r="X41" s="20" t="s">
        <v>706</v>
      </c>
      <c r="Y41" s="20">
        <v>8</v>
      </c>
      <c r="AA41" s="20" t="s">
        <v>2201</v>
      </c>
      <c r="AB41" s="20">
        <v>0</v>
      </c>
      <c r="AC41" s="20">
        <v>0</v>
      </c>
      <c r="AE41" s="20" t="s">
        <v>3062</v>
      </c>
      <c r="AF41" s="20">
        <v>1</v>
      </c>
      <c r="AH41" s="20" t="s">
        <v>655</v>
      </c>
      <c r="AI41" s="20">
        <v>2</v>
      </c>
      <c r="AK41" s="20" t="s">
        <v>593</v>
      </c>
      <c r="AL41" s="20">
        <v>1</v>
      </c>
      <c r="AM41">
        <v>1</v>
      </c>
      <c r="AO41" s="20" t="s">
        <v>2536</v>
      </c>
      <c r="AP41" s="20">
        <v>7</v>
      </c>
    </row>
    <row r="42" spans="1:42" x14ac:dyDescent="0.25">
      <c r="A42" s="20" t="s">
        <v>857</v>
      </c>
      <c r="B42" s="20" t="s">
        <v>2191</v>
      </c>
      <c r="C42" s="20">
        <v>0</v>
      </c>
      <c r="E42" s="20" t="s">
        <v>1950</v>
      </c>
      <c r="F42" s="20" t="s">
        <v>2191</v>
      </c>
      <c r="G42" s="20">
        <v>0</v>
      </c>
      <c r="I42" s="20" t="s">
        <v>395</v>
      </c>
      <c r="J42" s="20">
        <v>5208.6899999999996</v>
      </c>
      <c r="L42" s="20" t="s">
        <v>416</v>
      </c>
      <c r="M42" s="20">
        <v>8218</v>
      </c>
      <c r="O42" s="20" t="s">
        <v>364</v>
      </c>
      <c r="P42" s="20">
        <v>1</v>
      </c>
      <c r="R42" s="20" t="s">
        <v>144</v>
      </c>
      <c r="S42" s="20">
        <v>1</v>
      </c>
      <c r="U42" s="20" t="s">
        <v>113</v>
      </c>
      <c r="V42" s="20">
        <v>1</v>
      </c>
      <c r="X42" s="20" t="s">
        <v>1438</v>
      </c>
      <c r="Y42" s="20">
        <v>2</v>
      </c>
      <c r="AA42" s="20" t="s">
        <v>1066</v>
      </c>
      <c r="AB42" s="20">
        <v>-1515.6</v>
      </c>
      <c r="AC42" s="20">
        <v>16261.46</v>
      </c>
      <c r="AE42" s="20" t="s">
        <v>3106</v>
      </c>
      <c r="AF42" s="20">
        <v>2</v>
      </c>
      <c r="AH42" s="20" t="s">
        <v>1484</v>
      </c>
      <c r="AI42" s="20">
        <v>1</v>
      </c>
      <c r="AK42" s="20" t="s">
        <v>238</v>
      </c>
      <c r="AL42" s="20">
        <v>0</v>
      </c>
      <c r="AM42">
        <v>4</v>
      </c>
      <c r="AO42" s="20" t="s">
        <v>124</v>
      </c>
      <c r="AP42" s="20">
        <v>15</v>
      </c>
    </row>
    <row r="43" spans="1:42" x14ac:dyDescent="0.25">
      <c r="A43" s="20" t="s">
        <v>202</v>
      </c>
      <c r="B43" s="20" t="s">
        <v>2191</v>
      </c>
      <c r="C43" s="20">
        <v>124381.98</v>
      </c>
      <c r="E43" s="20" t="s">
        <v>994</v>
      </c>
      <c r="F43" s="20" t="s">
        <v>2191</v>
      </c>
      <c r="G43" s="20">
        <v>0</v>
      </c>
      <c r="I43" s="20" t="s">
        <v>1568</v>
      </c>
      <c r="J43" s="20">
        <v>272</v>
      </c>
      <c r="L43" s="20" t="s">
        <v>1084</v>
      </c>
      <c r="M43" s="20">
        <v>6278</v>
      </c>
      <c r="O43" s="20" t="s">
        <v>965</v>
      </c>
      <c r="P43" s="20">
        <v>1</v>
      </c>
      <c r="R43" s="20" t="s">
        <v>430</v>
      </c>
      <c r="S43" s="20">
        <v>1</v>
      </c>
      <c r="U43" s="20" t="s">
        <v>2536</v>
      </c>
      <c r="V43" s="20">
        <v>5</v>
      </c>
      <c r="X43" s="20" t="s">
        <v>901</v>
      </c>
      <c r="Y43" s="20">
        <v>1</v>
      </c>
      <c r="AA43" s="20" t="s">
        <v>230</v>
      </c>
      <c r="AB43" s="20">
        <v>-3474.81</v>
      </c>
      <c r="AC43" s="20">
        <v>32520.57</v>
      </c>
      <c r="AE43" s="20" t="s">
        <v>3122</v>
      </c>
      <c r="AF43" s="20">
        <v>2</v>
      </c>
      <c r="AH43" s="20" t="s">
        <v>430</v>
      </c>
      <c r="AI43" s="20">
        <v>2</v>
      </c>
      <c r="AK43" s="20" t="s">
        <v>240</v>
      </c>
      <c r="AL43" s="20"/>
      <c r="AM43">
        <v>1</v>
      </c>
      <c r="AO43" s="20" t="s">
        <v>1266</v>
      </c>
      <c r="AP43" s="20">
        <v>2</v>
      </c>
    </row>
    <row r="44" spans="1:42" x14ac:dyDescent="0.25">
      <c r="A44" s="20" t="s">
        <v>1816</v>
      </c>
      <c r="B44" s="20" t="s">
        <v>2191</v>
      </c>
      <c r="C44" s="20">
        <v>0</v>
      </c>
      <c r="E44" s="20" t="s">
        <v>862</v>
      </c>
      <c r="F44" s="20" t="s">
        <v>2191</v>
      </c>
      <c r="G44" s="20">
        <v>0</v>
      </c>
      <c r="I44" s="20" t="s">
        <v>693</v>
      </c>
      <c r="J44" s="20">
        <v>11687</v>
      </c>
      <c r="L44" s="20" t="s">
        <v>1258</v>
      </c>
      <c r="M44" s="20">
        <v>23367</v>
      </c>
      <c r="O44" s="20" t="s">
        <v>1415</v>
      </c>
      <c r="P44" s="20">
        <v>1</v>
      </c>
      <c r="R44" s="20" t="s">
        <v>1166</v>
      </c>
      <c r="S44" s="20">
        <v>1</v>
      </c>
      <c r="U44" s="20" t="s">
        <v>124</v>
      </c>
      <c r="V44" s="20">
        <v>10</v>
      </c>
      <c r="X44" s="20" t="s">
        <v>1590</v>
      </c>
      <c r="Y44" s="20">
        <v>1</v>
      </c>
      <c r="AA44" s="20" t="s">
        <v>1549</v>
      </c>
      <c r="AB44" s="20">
        <v>-968.21</v>
      </c>
      <c r="AC44" s="20">
        <v>33079.46</v>
      </c>
      <c r="AE44" s="20" t="s">
        <v>3129</v>
      </c>
      <c r="AF44" s="20">
        <v>1</v>
      </c>
      <c r="AH44" s="20" t="s">
        <v>1392</v>
      </c>
      <c r="AI44" s="20">
        <v>1</v>
      </c>
      <c r="AK44" s="20" t="s">
        <v>393</v>
      </c>
      <c r="AL44" s="20">
        <v>3</v>
      </c>
      <c r="AM44">
        <v>4</v>
      </c>
      <c r="AO44" s="20" t="s">
        <v>1275</v>
      </c>
      <c r="AP44" s="20">
        <v>1</v>
      </c>
    </row>
    <row r="45" spans="1:42" x14ac:dyDescent="0.25">
      <c r="A45" s="20" t="s">
        <v>2088</v>
      </c>
      <c r="B45" s="20" t="s">
        <v>2191</v>
      </c>
      <c r="C45" s="20">
        <v>0</v>
      </c>
      <c r="E45" s="20" t="s">
        <v>72</v>
      </c>
      <c r="F45" s="20" t="s">
        <v>2191</v>
      </c>
      <c r="G45" s="20">
        <v>18703</v>
      </c>
      <c r="I45" s="20" t="s">
        <v>1004</v>
      </c>
      <c r="J45" s="20">
        <v>-447.71</v>
      </c>
      <c r="L45" s="20" t="s">
        <v>422</v>
      </c>
      <c r="M45" s="20">
        <v>14966</v>
      </c>
      <c r="O45" s="20" t="s">
        <v>1419</v>
      </c>
      <c r="P45" s="20">
        <v>1</v>
      </c>
      <c r="R45" s="20" t="s">
        <v>160</v>
      </c>
      <c r="S45" s="20">
        <v>2</v>
      </c>
      <c r="U45" s="20" t="s">
        <v>1009</v>
      </c>
      <c r="V45" s="20">
        <v>1</v>
      </c>
      <c r="X45" s="20" t="s">
        <v>106</v>
      </c>
      <c r="Y45" s="20">
        <v>1</v>
      </c>
      <c r="AA45" s="20" t="s">
        <v>2027</v>
      </c>
      <c r="AB45" s="20">
        <v>0</v>
      </c>
      <c r="AC45" s="20">
        <v>0</v>
      </c>
      <c r="AE45" s="20" t="s">
        <v>3153</v>
      </c>
      <c r="AF45" s="20">
        <v>1</v>
      </c>
      <c r="AH45" s="20" t="s">
        <v>341</v>
      </c>
      <c r="AI45" s="20">
        <v>1</v>
      </c>
      <c r="AK45" s="20" t="s">
        <v>1568</v>
      </c>
      <c r="AL45" s="20">
        <v>8</v>
      </c>
      <c r="AM45">
        <v>8</v>
      </c>
      <c r="AO45" s="20" t="s">
        <v>429</v>
      </c>
      <c r="AP45" s="20">
        <v>2</v>
      </c>
    </row>
    <row r="46" spans="1:42" x14ac:dyDescent="0.25">
      <c r="A46" s="20" t="s">
        <v>990</v>
      </c>
      <c r="B46" s="20" t="s">
        <v>2191</v>
      </c>
      <c r="C46" s="20">
        <v>0</v>
      </c>
      <c r="E46" s="20" t="s">
        <v>863</v>
      </c>
      <c r="F46" s="20" t="s">
        <v>2191</v>
      </c>
      <c r="G46" s="20">
        <v>0</v>
      </c>
      <c r="I46" s="20" t="s">
        <v>401</v>
      </c>
      <c r="J46" s="20">
        <v>605</v>
      </c>
      <c r="L46" s="20" t="s">
        <v>103</v>
      </c>
      <c r="M46" s="20">
        <v>10904.37</v>
      </c>
      <c r="O46" s="20" t="s">
        <v>836</v>
      </c>
      <c r="P46" s="20">
        <v>2</v>
      </c>
      <c r="R46" s="20" t="s">
        <v>1769</v>
      </c>
      <c r="S46" s="20">
        <v>1</v>
      </c>
      <c r="U46" s="20" t="s">
        <v>1266</v>
      </c>
      <c r="V46" s="20">
        <v>1</v>
      </c>
      <c r="X46" s="20" t="s">
        <v>1264</v>
      </c>
      <c r="Y46" s="20">
        <v>2</v>
      </c>
      <c r="AA46" s="20" t="s">
        <v>79</v>
      </c>
      <c r="AB46" s="20">
        <v>0</v>
      </c>
      <c r="AC46" s="20">
        <v>0</v>
      </c>
      <c r="AE46" s="20" t="s">
        <v>3166</v>
      </c>
      <c r="AF46" s="20">
        <v>1</v>
      </c>
      <c r="AH46" s="20" t="s">
        <v>1164</v>
      </c>
      <c r="AI46" s="20">
        <v>1</v>
      </c>
      <c r="AK46" s="20" t="s">
        <v>1435</v>
      </c>
      <c r="AL46" s="20"/>
      <c r="AM46">
        <v>1</v>
      </c>
      <c r="AO46" s="20" t="s">
        <v>270</v>
      </c>
      <c r="AP46" s="20">
        <v>25</v>
      </c>
    </row>
    <row r="47" spans="1:42" x14ac:dyDescent="0.25">
      <c r="A47" s="20" t="s">
        <v>1350</v>
      </c>
      <c r="B47" s="20" t="s">
        <v>2191</v>
      </c>
      <c r="C47" s="20">
        <v>0</v>
      </c>
      <c r="E47" s="20" t="s">
        <v>864</v>
      </c>
      <c r="F47" s="20" t="s">
        <v>2191</v>
      </c>
      <c r="G47" s="20">
        <v>0</v>
      </c>
      <c r="I47" s="20" t="s">
        <v>403</v>
      </c>
      <c r="J47" s="20">
        <v>4959.6899999999996</v>
      </c>
      <c r="L47" s="20" t="s">
        <v>706</v>
      </c>
      <c r="M47" s="20">
        <v>7371.64</v>
      </c>
      <c r="O47" s="20" t="s">
        <v>327</v>
      </c>
      <c r="P47" s="20">
        <v>2</v>
      </c>
      <c r="R47" s="20" t="s">
        <v>364</v>
      </c>
      <c r="S47" s="20">
        <v>1</v>
      </c>
      <c r="U47" s="20" t="s">
        <v>1275</v>
      </c>
      <c r="V47" s="20">
        <v>1</v>
      </c>
      <c r="X47" s="20" t="s">
        <v>1200</v>
      </c>
      <c r="Y47" s="20">
        <v>4</v>
      </c>
      <c r="AA47" s="20" t="s">
        <v>682</v>
      </c>
      <c r="AB47" s="20">
        <v>102213.89</v>
      </c>
      <c r="AC47" s="20">
        <v>721341.8</v>
      </c>
      <c r="AE47" s="20" t="s">
        <v>3164</v>
      </c>
      <c r="AF47" s="20">
        <v>1</v>
      </c>
      <c r="AH47" s="20" t="s">
        <v>160</v>
      </c>
      <c r="AI47" s="20">
        <v>1</v>
      </c>
      <c r="AK47" s="20" t="s">
        <v>403</v>
      </c>
      <c r="AL47" s="20">
        <v>4</v>
      </c>
      <c r="AM47">
        <v>7</v>
      </c>
      <c r="AO47" s="20" t="s">
        <v>1107</v>
      </c>
      <c r="AP47" s="20">
        <v>14</v>
      </c>
    </row>
    <row r="48" spans="1:42" x14ac:dyDescent="0.25">
      <c r="A48" s="20" t="s">
        <v>1351</v>
      </c>
      <c r="B48" s="20" t="s">
        <v>2191</v>
      </c>
      <c r="C48" s="20">
        <v>0</v>
      </c>
      <c r="E48" s="20" t="s">
        <v>1356</v>
      </c>
      <c r="F48" s="20" t="s">
        <v>2191</v>
      </c>
      <c r="G48" s="20">
        <v>868</v>
      </c>
      <c r="I48" s="20" t="s">
        <v>1368</v>
      </c>
      <c r="J48" s="20">
        <v>1426.58</v>
      </c>
      <c r="L48" s="20" t="s">
        <v>1438</v>
      </c>
      <c r="M48" s="20">
        <v>7522</v>
      </c>
      <c r="O48" s="20" t="s">
        <v>198</v>
      </c>
      <c r="P48" s="20">
        <v>1</v>
      </c>
      <c r="R48" s="20" t="s">
        <v>1499</v>
      </c>
      <c r="S48" s="20">
        <v>1</v>
      </c>
      <c r="U48" s="20" t="s">
        <v>429</v>
      </c>
      <c r="V48" s="20">
        <v>1</v>
      </c>
      <c r="X48" s="20" t="s">
        <v>608</v>
      </c>
      <c r="Y48" s="20">
        <v>1</v>
      </c>
      <c r="AA48" s="20" t="s">
        <v>189</v>
      </c>
      <c r="AB48" s="20">
        <v>372897.31</v>
      </c>
      <c r="AC48" s="20">
        <v>638293.80000000005</v>
      </c>
      <c r="AE48" s="20" t="s">
        <v>3243</v>
      </c>
      <c r="AF48" s="20">
        <v>1</v>
      </c>
      <c r="AH48" s="20" t="s">
        <v>350</v>
      </c>
      <c r="AI48" s="20">
        <v>1</v>
      </c>
      <c r="AK48" s="20" t="s">
        <v>596</v>
      </c>
      <c r="AL48" s="20">
        <v>1</v>
      </c>
      <c r="AM48">
        <v>2</v>
      </c>
      <c r="AO48" s="20" t="s">
        <v>282</v>
      </c>
      <c r="AP48" s="20">
        <v>7</v>
      </c>
    </row>
    <row r="49" spans="1:42" x14ac:dyDescent="0.25">
      <c r="A49" s="20" t="s">
        <v>992</v>
      </c>
      <c r="B49" s="20" t="s">
        <v>2191</v>
      </c>
      <c r="C49" s="20">
        <v>0</v>
      </c>
      <c r="E49" s="20" t="s">
        <v>677</v>
      </c>
      <c r="F49" s="20" t="s">
        <v>2191</v>
      </c>
      <c r="G49" s="20">
        <v>0</v>
      </c>
      <c r="I49" s="20" t="s">
        <v>596</v>
      </c>
      <c r="J49" s="20">
        <v>551</v>
      </c>
      <c r="L49" s="20" t="s">
        <v>901</v>
      </c>
      <c r="M49" s="20">
        <v>44457.08</v>
      </c>
      <c r="O49" s="20" t="s">
        <v>1510</v>
      </c>
      <c r="P49" s="20">
        <v>1</v>
      </c>
      <c r="R49" s="20" t="s">
        <v>1416</v>
      </c>
      <c r="S49" s="20">
        <v>1</v>
      </c>
      <c r="U49" s="20" t="s">
        <v>270</v>
      </c>
      <c r="V49" s="20">
        <v>20</v>
      </c>
      <c r="X49" s="20" t="s">
        <v>109</v>
      </c>
      <c r="Y49" s="20">
        <v>2</v>
      </c>
      <c r="AA49" s="20" t="s">
        <v>232</v>
      </c>
      <c r="AB49" s="20">
        <v>835552.66</v>
      </c>
      <c r="AC49" s="20">
        <v>3482957.15</v>
      </c>
      <c r="AE49" s="20" t="s">
        <v>3251</v>
      </c>
      <c r="AF49" s="20">
        <v>1</v>
      </c>
      <c r="AH49" s="20" t="s">
        <v>167</v>
      </c>
      <c r="AI49" s="20">
        <v>1</v>
      </c>
      <c r="AK49" s="20" t="s">
        <v>1256</v>
      </c>
      <c r="AL49" s="20"/>
      <c r="AM49">
        <v>1</v>
      </c>
      <c r="AO49" s="20" t="s">
        <v>241</v>
      </c>
      <c r="AP49" s="20">
        <v>22</v>
      </c>
    </row>
    <row r="50" spans="1:42" x14ac:dyDescent="0.25">
      <c r="A50" s="20" t="s">
        <v>858</v>
      </c>
      <c r="B50" s="20" t="s">
        <v>2191</v>
      </c>
      <c r="C50" s="20">
        <v>9053</v>
      </c>
      <c r="E50" s="20" t="s">
        <v>229</v>
      </c>
      <c r="F50" s="20" t="s">
        <v>2191</v>
      </c>
      <c r="G50" s="20">
        <v>0</v>
      </c>
      <c r="I50" s="20" t="s">
        <v>410</v>
      </c>
      <c r="J50" s="20">
        <v>8126</v>
      </c>
      <c r="L50" s="20" t="s">
        <v>606</v>
      </c>
      <c r="M50" s="20">
        <v>6704</v>
      </c>
      <c r="O50" s="20" t="s">
        <v>980</v>
      </c>
      <c r="P50" s="20">
        <v>1</v>
      </c>
      <c r="R50" s="20" t="s">
        <v>194</v>
      </c>
      <c r="S50" s="20">
        <v>1</v>
      </c>
      <c r="U50" s="20" t="s">
        <v>1107</v>
      </c>
      <c r="V50" s="20">
        <v>1</v>
      </c>
      <c r="X50" s="20" t="s">
        <v>110</v>
      </c>
      <c r="Y50" s="20">
        <v>1</v>
      </c>
      <c r="AA50" s="20" t="s">
        <v>877</v>
      </c>
      <c r="AB50" s="20">
        <v>60611.32</v>
      </c>
      <c r="AC50" s="20">
        <v>952143.42</v>
      </c>
      <c r="AE50" s="20" t="s">
        <v>3278</v>
      </c>
      <c r="AF50" s="20">
        <v>1</v>
      </c>
      <c r="AH50" s="20" t="s">
        <v>408</v>
      </c>
      <c r="AI50" s="20">
        <v>1</v>
      </c>
      <c r="AK50" s="20" t="s">
        <v>598</v>
      </c>
      <c r="AL50" s="20"/>
      <c r="AM50">
        <v>1</v>
      </c>
      <c r="AO50" s="20" t="s">
        <v>252</v>
      </c>
      <c r="AP50" s="20">
        <v>3</v>
      </c>
    </row>
    <row r="51" spans="1:42" x14ac:dyDescent="0.25">
      <c r="A51" s="20" t="s">
        <v>2147</v>
      </c>
      <c r="B51" s="20" t="s">
        <v>2191</v>
      </c>
      <c r="C51" s="20">
        <v>0</v>
      </c>
      <c r="E51" s="20" t="s">
        <v>1817</v>
      </c>
      <c r="F51" s="20" t="s">
        <v>2191</v>
      </c>
      <c r="G51" s="20">
        <v>0</v>
      </c>
      <c r="I51" s="20" t="s">
        <v>1082</v>
      </c>
      <c r="J51" s="20">
        <v>2756</v>
      </c>
      <c r="L51" s="20" t="s">
        <v>1590</v>
      </c>
      <c r="M51" s="20">
        <v>71687.520000000004</v>
      </c>
      <c r="O51" s="20" t="s">
        <v>3033</v>
      </c>
      <c r="P51" s="20">
        <v>1</v>
      </c>
      <c r="R51" s="20" t="s">
        <v>327</v>
      </c>
      <c r="S51" s="20">
        <v>1</v>
      </c>
      <c r="U51" s="20" t="s">
        <v>282</v>
      </c>
      <c r="V51" s="20">
        <v>5</v>
      </c>
      <c r="X51" s="20" t="s">
        <v>1373</v>
      </c>
      <c r="Y51" s="20">
        <v>4</v>
      </c>
      <c r="AA51" s="20" t="s">
        <v>1855</v>
      </c>
      <c r="AB51" s="20">
        <v>0</v>
      </c>
      <c r="AC51" s="20">
        <v>0</v>
      </c>
      <c r="AE51" s="20" t="s">
        <v>3285</v>
      </c>
      <c r="AF51" s="20">
        <v>1</v>
      </c>
      <c r="AH51" s="20" t="s">
        <v>1402</v>
      </c>
      <c r="AI51" s="20">
        <v>1</v>
      </c>
      <c r="AK51" s="20" t="s">
        <v>410</v>
      </c>
      <c r="AL51" s="20">
        <v>2</v>
      </c>
      <c r="AM51">
        <v>3</v>
      </c>
      <c r="AO51" s="20" t="s">
        <v>2636</v>
      </c>
      <c r="AP51" s="20">
        <v>2</v>
      </c>
    </row>
    <row r="52" spans="1:42" x14ac:dyDescent="0.25">
      <c r="A52" s="20" t="s">
        <v>1354</v>
      </c>
      <c r="B52" s="20" t="s">
        <v>2191</v>
      </c>
      <c r="C52" s="20">
        <v>0</v>
      </c>
      <c r="E52" s="20" t="s">
        <v>867</v>
      </c>
      <c r="F52" s="20" t="s">
        <v>2191</v>
      </c>
      <c r="G52" s="20">
        <v>18066</v>
      </c>
      <c r="I52" s="20" t="s">
        <v>696</v>
      </c>
      <c r="J52" s="20">
        <v>21000.95</v>
      </c>
      <c r="L52" s="20" t="s">
        <v>106</v>
      </c>
      <c r="M52" s="20">
        <v>0</v>
      </c>
      <c r="O52" s="20" t="s">
        <v>3056</v>
      </c>
      <c r="P52" s="20">
        <v>1</v>
      </c>
      <c r="R52" s="20" t="s">
        <v>500</v>
      </c>
      <c r="S52" s="20">
        <v>1</v>
      </c>
      <c r="U52" s="20" t="s">
        <v>252</v>
      </c>
      <c r="V52" s="20">
        <v>2</v>
      </c>
      <c r="X52" s="20" t="s">
        <v>260</v>
      </c>
      <c r="Y52" s="20">
        <v>2</v>
      </c>
      <c r="AA52" s="20" t="s">
        <v>2203</v>
      </c>
      <c r="AB52" s="20">
        <v>0</v>
      </c>
      <c r="AC52" s="20">
        <v>0</v>
      </c>
      <c r="AE52" s="20" t="s">
        <v>3299</v>
      </c>
      <c r="AF52" s="20">
        <v>1</v>
      </c>
      <c r="AH52" s="20" t="s">
        <v>1499</v>
      </c>
      <c r="AI52" s="20">
        <v>4</v>
      </c>
      <c r="AK52" s="20" t="s">
        <v>2283</v>
      </c>
      <c r="AL52" s="20">
        <v>2</v>
      </c>
      <c r="AM52">
        <v>5</v>
      </c>
      <c r="AO52" s="20" t="s">
        <v>289</v>
      </c>
      <c r="AP52" s="20">
        <v>6</v>
      </c>
    </row>
    <row r="53" spans="1:42" x14ac:dyDescent="0.25">
      <c r="A53" s="20" t="s">
        <v>860</v>
      </c>
      <c r="B53" s="20" t="s">
        <v>2191</v>
      </c>
      <c r="C53" s="20">
        <v>0</v>
      </c>
      <c r="E53" s="20" t="s">
        <v>869</v>
      </c>
      <c r="F53" s="20" t="s">
        <v>2191</v>
      </c>
      <c r="G53" s="20">
        <v>0</v>
      </c>
      <c r="I53" s="20" t="s">
        <v>698</v>
      </c>
      <c r="J53" s="20">
        <v>-14949.51</v>
      </c>
      <c r="L53" s="20" t="s">
        <v>1264</v>
      </c>
      <c r="M53" s="20">
        <v>19071.5</v>
      </c>
      <c r="O53" s="20" t="s">
        <v>3061</v>
      </c>
      <c r="P53" s="20">
        <v>1</v>
      </c>
      <c r="R53" s="20" t="s">
        <v>1510</v>
      </c>
      <c r="S53" s="20">
        <v>2</v>
      </c>
      <c r="U53" s="20" t="s">
        <v>1115</v>
      </c>
      <c r="V53" s="20">
        <v>1</v>
      </c>
      <c r="X53" s="20" t="s">
        <v>1207</v>
      </c>
      <c r="Y53" s="20">
        <v>2</v>
      </c>
      <c r="AA53" s="20" t="s">
        <v>685</v>
      </c>
      <c r="AB53" s="20">
        <v>3159.89</v>
      </c>
      <c r="AC53" s="20">
        <v>315825.55</v>
      </c>
      <c r="AE53" s="20" t="s">
        <v>3289</v>
      </c>
      <c r="AF53" s="20">
        <v>1</v>
      </c>
      <c r="AH53" s="20" t="s">
        <v>368</v>
      </c>
      <c r="AI53" s="20">
        <v>1</v>
      </c>
      <c r="AK53" s="20" t="s">
        <v>696</v>
      </c>
      <c r="AL53" s="20">
        <v>2</v>
      </c>
      <c r="AM53">
        <v>2</v>
      </c>
      <c r="AO53" s="20" t="s">
        <v>1211</v>
      </c>
      <c r="AP53" s="20">
        <v>7</v>
      </c>
    </row>
    <row r="54" spans="1:42" x14ac:dyDescent="0.25">
      <c r="A54" s="20" t="s">
        <v>861</v>
      </c>
      <c r="B54" s="20" t="s">
        <v>2191</v>
      </c>
      <c r="C54" s="20">
        <v>0</v>
      </c>
      <c r="E54" s="20" t="s">
        <v>679</v>
      </c>
      <c r="F54" s="20" t="s">
        <v>2191</v>
      </c>
      <c r="G54" s="20">
        <v>0</v>
      </c>
      <c r="I54" s="20" t="s">
        <v>1251</v>
      </c>
      <c r="J54" s="20">
        <v>7864</v>
      </c>
      <c r="L54" s="20" t="s">
        <v>1200</v>
      </c>
      <c r="M54" s="20">
        <v>5334</v>
      </c>
      <c r="O54" s="20" t="s">
        <v>3091</v>
      </c>
      <c r="P54" s="20">
        <v>1</v>
      </c>
      <c r="R54" s="20" t="s">
        <v>1249</v>
      </c>
      <c r="S54" s="20">
        <v>1</v>
      </c>
      <c r="U54" s="20" t="s">
        <v>1211</v>
      </c>
      <c r="V54" s="20">
        <v>1</v>
      </c>
      <c r="X54" s="20" t="s">
        <v>113</v>
      </c>
      <c r="Y54" s="20">
        <v>30</v>
      </c>
      <c r="AA54" s="20" t="s">
        <v>1550</v>
      </c>
      <c r="AB54" s="20">
        <v>-2174.34</v>
      </c>
      <c r="AC54" s="20">
        <v>13814.3</v>
      </c>
      <c r="AE54" s="20" t="s">
        <v>3403</v>
      </c>
      <c r="AF54" s="20">
        <v>1</v>
      </c>
      <c r="AH54" s="20" t="s">
        <v>562</v>
      </c>
      <c r="AI54" s="20">
        <v>1</v>
      </c>
      <c r="AK54" s="20" t="s">
        <v>698</v>
      </c>
      <c r="AL54" s="20">
        <v>3</v>
      </c>
      <c r="AM54">
        <v>6</v>
      </c>
      <c r="AO54" s="20" t="s">
        <v>1119</v>
      </c>
      <c r="AP54" s="20">
        <v>4</v>
      </c>
    </row>
    <row r="55" spans="1:42" x14ac:dyDescent="0.25">
      <c r="A55" s="20" t="s">
        <v>1950</v>
      </c>
      <c r="B55" s="20" t="s">
        <v>2191</v>
      </c>
      <c r="C55" s="20">
        <v>0</v>
      </c>
      <c r="E55" s="20" t="s">
        <v>1818</v>
      </c>
      <c r="F55" s="20" t="s">
        <v>2191</v>
      </c>
      <c r="G55" s="20">
        <v>0</v>
      </c>
      <c r="I55" s="20" t="s">
        <v>412</v>
      </c>
      <c r="J55" s="20">
        <v>2499</v>
      </c>
      <c r="L55" s="20" t="s">
        <v>608</v>
      </c>
      <c r="M55" s="20">
        <v>2003</v>
      </c>
      <c r="O55" s="20" t="s">
        <v>3111</v>
      </c>
      <c r="P55" s="20">
        <v>1</v>
      </c>
      <c r="R55" s="20" t="s">
        <v>3041</v>
      </c>
      <c r="S55" s="20">
        <v>1</v>
      </c>
      <c r="U55" s="20" t="s">
        <v>1117</v>
      </c>
      <c r="V55" s="20">
        <v>3</v>
      </c>
      <c r="X55" s="20" t="s">
        <v>263</v>
      </c>
      <c r="Y55" s="20">
        <v>1</v>
      </c>
      <c r="AA55" s="20" t="s">
        <v>1945</v>
      </c>
      <c r="AB55" s="20">
        <v>0</v>
      </c>
      <c r="AC55" s="20">
        <v>0</v>
      </c>
      <c r="AE55" s="20" t="s">
        <v>3398</v>
      </c>
      <c r="AF55" s="20">
        <v>1</v>
      </c>
      <c r="AH55" s="20" t="s">
        <v>379</v>
      </c>
      <c r="AI55" s="20">
        <v>3</v>
      </c>
      <c r="AK55" s="20" t="s">
        <v>1251</v>
      </c>
      <c r="AL55" s="20">
        <v>1</v>
      </c>
      <c r="AM55">
        <v>3</v>
      </c>
      <c r="AO55" s="20" t="s">
        <v>1215</v>
      </c>
      <c r="AP55" s="20">
        <v>3</v>
      </c>
    </row>
    <row r="56" spans="1:42" x14ac:dyDescent="0.25">
      <c r="A56" s="20" t="s">
        <v>2199</v>
      </c>
      <c r="B56" s="20" t="s">
        <v>2191</v>
      </c>
      <c r="C56" s="20">
        <v>0</v>
      </c>
      <c r="E56" s="20" t="s">
        <v>871</v>
      </c>
      <c r="F56" s="20" t="s">
        <v>2191</v>
      </c>
      <c r="G56" s="20">
        <v>0</v>
      </c>
      <c r="I56" s="20" t="s">
        <v>1369</v>
      </c>
      <c r="J56" s="20">
        <v>26324</v>
      </c>
      <c r="L56" s="20" t="s">
        <v>109</v>
      </c>
      <c r="M56" s="20">
        <v>15818.12</v>
      </c>
      <c r="O56" s="20" t="s">
        <v>3106</v>
      </c>
      <c r="P56" s="20">
        <v>1</v>
      </c>
      <c r="R56" s="20" t="s">
        <v>3056</v>
      </c>
      <c r="S56" s="20">
        <v>2</v>
      </c>
      <c r="U56" s="20" t="s">
        <v>1119</v>
      </c>
      <c r="V56" s="20">
        <v>4</v>
      </c>
      <c r="X56" s="20" t="s">
        <v>2536</v>
      </c>
      <c r="Y56" s="20">
        <v>4</v>
      </c>
      <c r="AA56" s="20" t="s">
        <v>1954</v>
      </c>
      <c r="AB56" s="20">
        <v>0</v>
      </c>
      <c r="AC56" s="20">
        <v>0</v>
      </c>
      <c r="AE56" s="20" t="s">
        <v>3418</v>
      </c>
      <c r="AF56" s="20">
        <v>1</v>
      </c>
      <c r="AH56" s="20" t="s">
        <v>1419</v>
      </c>
      <c r="AI56" s="20">
        <v>1</v>
      </c>
      <c r="AK56" s="20" t="s">
        <v>600</v>
      </c>
      <c r="AL56" s="20">
        <v>2</v>
      </c>
      <c r="AM56">
        <v>3</v>
      </c>
      <c r="AO56" s="20" t="s">
        <v>1217</v>
      </c>
      <c r="AP56" s="20">
        <v>10</v>
      </c>
    </row>
    <row r="57" spans="1:42" x14ac:dyDescent="0.25">
      <c r="A57" s="20" t="s">
        <v>1997</v>
      </c>
      <c r="B57" s="20" t="s">
        <v>2191</v>
      </c>
      <c r="C57" s="20">
        <v>0</v>
      </c>
      <c r="E57" s="20" t="s">
        <v>1819</v>
      </c>
      <c r="F57" s="20" t="s">
        <v>2191</v>
      </c>
      <c r="G57" s="20">
        <v>0</v>
      </c>
      <c r="I57" s="20" t="s">
        <v>414</v>
      </c>
      <c r="J57" s="20">
        <v>1126</v>
      </c>
      <c r="L57" s="20" t="s">
        <v>1373</v>
      </c>
      <c r="M57" s="20">
        <v>7990</v>
      </c>
      <c r="O57" s="20" t="s">
        <v>3116</v>
      </c>
      <c r="P57" s="20">
        <v>1</v>
      </c>
      <c r="R57" s="20" t="s">
        <v>3106</v>
      </c>
      <c r="S57" s="20">
        <v>1</v>
      </c>
      <c r="U57" s="20" t="s">
        <v>1217</v>
      </c>
      <c r="V57" s="20">
        <v>1</v>
      </c>
      <c r="X57" s="20" t="s">
        <v>124</v>
      </c>
      <c r="Y57" s="20">
        <v>11</v>
      </c>
      <c r="AA57" s="20" t="s">
        <v>2204</v>
      </c>
      <c r="AB57" s="20">
        <v>0</v>
      </c>
      <c r="AC57" s="20">
        <v>0</v>
      </c>
      <c r="AE57" s="20" t="s">
        <v>1430</v>
      </c>
      <c r="AF57" s="20">
        <v>1</v>
      </c>
      <c r="AH57" s="20" t="s">
        <v>1191</v>
      </c>
      <c r="AI57" s="20">
        <v>1</v>
      </c>
      <c r="AK57" s="20" t="s">
        <v>412</v>
      </c>
      <c r="AL57" s="20">
        <v>4</v>
      </c>
      <c r="AM57">
        <v>6</v>
      </c>
      <c r="AO57" s="20" t="s">
        <v>435</v>
      </c>
      <c r="AP57" s="20">
        <v>5</v>
      </c>
    </row>
    <row r="58" spans="1:42" x14ac:dyDescent="0.25">
      <c r="A58" s="20" t="s">
        <v>994</v>
      </c>
      <c r="B58" s="20" t="s">
        <v>2191</v>
      </c>
      <c r="C58" s="20">
        <v>0</v>
      </c>
      <c r="E58" s="20" t="s">
        <v>874</v>
      </c>
      <c r="F58" s="20" t="s">
        <v>2191</v>
      </c>
      <c r="G58" s="20">
        <v>0</v>
      </c>
      <c r="I58" s="20" t="s">
        <v>416</v>
      </c>
      <c r="J58" s="20">
        <v>9704</v>
      </c>
      <c r="L58" s="20" t="s">
        <v>260</v>
      </c>
      <c r="M58" s="20">
        <v>1037</v>
      </c>
      <c r="O58" s="20" t="s">
        <v>3168</v>
      </c>
      <c r="P58" s="20">
        <v>1</v>
      </c>
      <c r="R58" s="20" t="s">
        <v>3116</v>
      </c>
      <c r="S58" s="20">
        <v>1</v>
      </c>
      <c r="U58" s="20" t="s">
        <v>439</v>
      </c>
      <c r="V58" s="20">
        <v>1</v>
      </c>
      <c r="X58" s="20" t="s">
        <v>1009</v>
      </c>
      <c r="Y58" s="20">
        <v>2</v>
      </c>
      <c r="AA58" s="20" t="s">
        <v>1955</v>
      </c>
      <c r="AB58" s="20">
        <v>0</v>
      </c>
      <c r="AC58" s="20">
        <v>0</v>
      </c>
      <c r="AE58" s="20" t="s">
        <v>988</v>
      </c>
      <c r="AF58" s="20">
        <v>1</v>
      </c>
      <c r="AH58" s="20" t="s">
        <v>976</v>
      </c>
      <c r="AI58" s="20">
        <v>1</v>
      </c>
      <c r="AK58" s="20" t="s">
        <v>1369</v>
      </c>
      <c r="AL58" s="20">
        <v>1</v>
      </c>
      <c r="AM58">
        <v>3</v>
      </c>
      <c r="AO58" s="20" t="s">
        <v>445</v>
      </c>
      <c r="AP58" s="20">
        <v>1</v>
      </c>
    </row>
    <row r="59" spans="1:42" x14ac:dyDescent="0.25">
      <c r="A59" s="20" t="s">
        <v>862</v>
      </c>
      <c r="B59" s="20" t="s">
        <v>2191</v>
      </c>
      <c r="C59" s="20">
        <v>0</v>
      </c>
      <c r="E59" s="20" t="s">
        <v>230</v>
      </c>
      <c r="F59" s="20" t="s">
        <v>2191</v>
      </c>
      <c r="G59" s="20">
        <v>0</v>
      </c>
      <c r="I59" s="20" t="s">
        <v>894</v>
      </c>
      <c r="J59" s="20">
        <v>23606</v>
      </c>
      <c r="L59" s="20" t="s">
        <v>1100</v>
      </c>
      <c r="M59" s="20">
        <v>6623</v>
      </c>
      <c r="O59" s="20" t="s">
        <v>3205</v>
      </c>
      <c r="P59" s="20">
        <v>1</v>
      </c>
      <c r="R59" s="20" t="s">
        <v>3166</v>
      </c>
      <c r="S59" s="20">
        <v>1</v>
      </c>
      <c r="U59" s="20" t="s">
        <v>443</v>
      </c>
      <c r="V59" s="20">
        <v>2</v>
      </c>
      <c r="X59" s="20" t="s">
        <v>1266</v>
      </c>
      <c r="Y59" s="20">
        <v>4</v>
      </c>
      <c r="AA59" s="20" t="s">
        <v>882</v>
      </c>
      <c r="AB59" s="20">
        <v>22732.78</v>
      </c>
      <c r="AC59" s="20">
        <v>332187.55</v>
      </c>
      <c r="AH59" s="20" t="s">
        <v>1248</v>
      </c>
      <c r="AI59" s="20">
        <v>2</v>
      </c>
      <c r="AK59" s="20" t="s">
        <v>414</v>
      </c>
      <c r="AL59" s="20">
        <v>1</v>
      </c>
      <c r="AM59">
        <v>2</v>
      </c>
      <c r="AO59" s="20" t="s">
        <v>452</v>
      </c>
      <c r="AP59" s="20">
        <v>1</v>
      </c>
    </row>
    <row r="60" spans="1:42" x14ac:dyDescent="0.25">
      <c r="A60" s="20" t="s">
        <v>2200</v>
      </c>
      <c r="B60" s="20" t="s">
        <v>2191</v>
      </c>
      <c r="C60" s="20">
        <v>0</v>
      </c>
      <c r="E60" s="20" t="s">
        <v>1951</v>
      </c>
      <c r="F60" s="20" t="s">
        <v>2191</v>
      </c>
      <c r="G60" s="20">
        <v>0</v>
      </c>
      <c r="I60" s="20" t="s">
        <v>1084</v>
      </c>
      <c r="J60" s="20">
        <v>14826.25</v>
      </c>
      <c r="L60" s="20" t="s">
        <v>1207</v>
      </c>
      <c r="M60" s="20">
        <v>6313.5</v>
      </c>
      <c r="O60" s="20" t="s">
        <v>3220</v>
      </c>
      <c r="P60" s="20">
        <v>1</v>
      </c>
      <c r="R60" s="20" t="s">
        <v>3168</v>
      </c>
      <c r="S60" s="20">
        <v>1</v>
      </c>
      <c r="U60" s="20" t="s">
        <v>445</v>
      </c>
      <c r="V60" s="20">
        <v>6</v>
      </c>
      <c r="X60" s="20" t="s">
        <v>1277</v>
      </c>
      <c r="Y60" s="20">
        <v>2</v>
      </c>
      <c r="AA60" s="20" t="s">
        <v>2205</v>
      </c>
      <c r="AB60" s="20">
        <v>0</v>
      </c>
      <c r="AC60" s="20">
        <v>0</v>
      </c>
      <c r="AH60" s="20" t="s">
        <v>327</v>
      </c>
      <c r="AI60" s="20">
        <v>1</v>
      </c>
      <c r="AK60" s="20" t="s">
        <v>247</v>
      </c>
      <c r="AL60" s="20">
        <v>2</v>
      </c>
      <c r="AM60">
        <v>20</v>
      </c>
      <c r="AO60" s="20" t="s">
        <v>58</v>
      </c>
      <c r="AP60" s="20">
        <v>6</v>
      </c>
    </row>
    <row r="61" spans="1:42" x14ac:dyDescent="0.25">
      <c r="A61" s="20" t="s">
        <v>72</v>
      </c>
      <c r="B61" s="20" t="s">
        <v>2191</v>
      </c>
      <c r="C61" s="20">
        <v>0</v>
      </c>
      <c r="E61" s="20" t="s">
        <v>80</v>
      </c>
      <c r="F61" s="20" t="s">
        <v>2191</v>
      </c>
      <c r="G61" s="20">
        <v>0</v>
      </c>
      <c r="I61" s="20" t="s">
        <v>1579</v>
      </c>
      <c r="J61" s="20">
        <v>10387.65</v>
      </c>
      <c r="L61" s="20" t="s">
        <v>113</v>
      </c>
      <c r="M61" s="20">
        <v>38333.870000000003</v>
      </c>
      <c r="O61" s="20" t="s">
        <v>3230</v>
      </c>
      <c r="P61" s="20">
        <v>1</v>
      </c>
      <c r="R61" s="20" t="s">
        <v>3178</v>
      </c>
      <c r="S61" s="20">
        <v>2</v>
      </c>
      <c r="U61" s="20" t="s">
        <v>58</v>
      </c>
      <c r="V61" s="20">
        <v>1</v>
      </c>
      <c r="X61" s="20" t="s">
        <v>429</v>
      </c>
      <c r="Y61" s="20">
        <v>2</v>
      </c>
      <c r="AA61" s="20" t="s">
        <v>687</v>
      </c>
      <c r="AB61" s="20">
        <v>66192.479999999996</v>
      </c>
      <c r="AC61" s="20">
        <v>444579.68</v>
      </c>
      <c r="AH61" s="20" t="s">
        <v>198</v>
      </c>
      <c r="AI61" s="20">
        <v>3</v>
      </c>
      <c r="AK61" s="20" t="s">
        <v>1007</v>
      </c>
      <c r="AL61" s="20"/>
      <c r="AM61">
        <v>1</v>
      </c>
      <c r="AO61" s="20" t="s">
        <v>1282</v>
      </c>
      <c r="AP61" s="20">
        <v>1</v>
      </c>
    </row>
    <row r="62" spans="1:42" x14ac:dyDescent="0.25">
      <c r="A62" s="20" t="s">
        <v>863</v>
      </c>
      <c r="B62" s="20" t="s">
        <v>2191</v>
      </c>
      <c r="C62" s="20">
        <v>7442</v>
      </c>
      <c r="E62" s="20" t="s">
        <v>681</v>
      </c>
      <c r="F62" s="20" t="s">
        <v>2191</v>
      </c>
      <c r="G62" s="20">
        <v>0</v>
      </c>
      <c r="I62" s="20" t="s">
        <v>422</v>
      </c>
      <c r="J62" s="20">
        <v>7168</v>
      </c>
      <c r="L62" s="20" t="s">
        <v>263</v>
      </c>
      <c r="M62" s="20">
        <v>6133</v>
      </c>
      <c r="O62" s="20" t="s">
        <v>3260</v>
      </c>
      <c r="P62" s="20">
        <v>2</v>
      </c>
      <c r="R62" s="20" t="s">
        <v>3180</v>
      </c>
      <c r="S62" s="20">
        <v>1</v>
      </c>
      <c r="U62" s="20" t="s">
        <v>463</v>
      </c>
      <c r="V62" s="20">
        <v>1</v>
      </c>
      <c r="X62" s="20" t="s">
        <v>270</v>
      </c>
      <c r="Y62" s="20">
        <v>22</v>
      </c>
      <c r="AA62" s="20" t="s">
        <v>884</v>
      </c>
      <c r="AB62" s="20">
        <v>371120.19</v>
      </c>
      <c r="AC62" s="20">
        <v>743501.11</v>
      </c>
      <c r="AH62" s="20" t="s">
        <v>839</v>
      </c>
      <c r="AI62" s="20">
        <v>1</v>
      </c>
      <c r="AK62" s="20" t="s">
        <v>416</v>
      </c>
      <c r="AL62" s="20">
        <v>6</v>
      </c>
      <c r="AM62">
        <v>8</v>
      </c>
      <c r="AO62" s="20" t="s">
        <v>104</v>
      </c>
      <c r="AP62" s="20">
        <v>11</v>
      </c>
    </row>
    <row r="63" spans="1:42" x14ac:dyDescent="0.25">
      <c r="A63" s="20" t="s">
        <v>864</v>
      </c>
      <c r="B63" s="20" t="s">
        <v>2191</v>
      </c>
      <c r="C63" s="20">
        <v>0</v>
      </c>
      <c r="E63" s="20" t="s">
        <v>74</v>
      </c>
      <c r="F63" s="20" t="s">
        <v>2191</v>
      </c>
      <c r="G63" s="20">
        <v>0</v>
      </c>
      <c r="I63" s="20" t="s">
        <v>251</v>
      </c>
      <c r="J63" s="20">
        <v>833</v>
      </c>
      <c r="L63" s="20" t="s">
        <v>2536</v>
      </c>
      <c r="M63" s="20">
        <v>14615</v>
      </c>
      <c r="O63" s="20" t="s">
        <v>3285</v>
      </c>
      <c r="P63" s="20">
        <v>1</v>
      </c>
      <c r="R63" s="20" t="s">
        <v>3220</v>
      </c>
      <c r="S63" s="20">
        <v>1</v>
      </c>
      <c r="U63" s="20" t="s">
        <v>1282</v>
      </c>
      <c r="V63" s="20">
        <v>3</v>
      </c>
      <c r="X63" s="20" t="s">
        <v>1107</v>
      </c>
      <c r="Y63" s="20">
        <v>4</v>
      </c>
      <c r="AA63" s="20" t="s">
        <v>1824</v>
      </c>
      <c r="AB63" s="20">
        <v>0</v>
      </c>
      <c r="AC63" s="20">
        <v>0</v>
      </c>
      <c r="AH63" s="20" t="s">
        <v>1510</v>
      </c>
      <c r="AI63" s="20">
        <v>4</v>
      </c>
      <c r="AK63" s="20" t="s">
        <v>894</v>
      </c>
      <c r="AL63" s="20">
        <v>1</v>
      </c>
      <c r="AM63">
        <v>2</v>
      </c>
      <c r="AO63" s="20" t="s">
        <v>613</v>
      </c>
      <c r="AP63" s="20">
        <v>5</v>
      </c>
    </row>
    <row r="64" spans="1:42" x14ac:dyDescent="0.25">
      <c r="A64" s="20" t="s">
        <v>995</v>
      </c>
      <c r="B64" s="20" t="s">
        <v>2191</v>
      </c>
      <c r="C64" s="20">
        <v>0</v>
      </c>
      <c r="E64" s="20" t="s">
        <v>2089</v>
      </c>
      <c r="F64" s="20" t="s">
        <v>2191</v>
      </c>
      <c r="G64" s="20">
        <v>0</v>
      </c>
      <c r="I64" s="20" t="s">
        <v>1093</v>
      </c>
      <c r="J64" s="20">
        <v>-3129</v>
      </c>
      <c r="L64" s="20" t="s">
        <v>124</v>
      </c>
      <c r="M64" s="20">
        <v>42524</v>
      </c>
      <c r="O64" s="20" t="s">
        <v>3346</v>
      </c>
      <c r="P64" s="20">
        <v>1</v>
      </c>
      <c r="R64" s="20" t="s">
        <v>3235</v>
      </c>
      <c r="S64" s="20">
        <v>1</v>
      </c>
      <c r="U64" s="20" t="s">
        <v>1285</v>
      </c>
      <c r="V64" s="20">
        <v>6</v>
      </c>
      <c r="X64" s="20" t="s">
        <v>282</v>
      </c>
      <c r="Y64" s="20">
        <v>15</v>
      </c>
      <c r="AA64" s="20" t="s">
        <v>2206</v>
      </c>
      <c r="AB64" s="20">
        <v>0</v>
      </c>
      <c r="AC64" s="20">
        <v>0</v>
      </c>
      <c r="AH64" s="20" t="s">
        <v>796</v>
      </c>
      <c r="AI64" s="20">
        <v>1</v>
      </c>
      <c r="AK64" s="20" t="s">
        <v>1084</v>
      </c>
      <c r="AL64" s="20">
        <v>3</v>
      </c>
      <c r="AM64">
        <v>9</v>
      </c>
      <c r="AO64" s="20" t="s">
        <v>621</v>
      </c>
      <c r="AP64" s="20">
        <v>9</v>
      </c>
    </row>
    <row r="65" spans="1:42" x14ac:dyDescent="0.25">
      <c r="A65" s="20" t="s">
        <v>1355</v>
      </c>
      <c r="B65" s="20" t="s">
        <v>2191</v>
      </c>
      <c r="C65" s="20">
        <v>0</v>
      </c>
      <c r="E65" s="20" t="s">
        <v>79</v>
      </c>
      <c r="F65" s="20" t="s">
        <v>2191</v>
      </c>
      <c r="G65" s="20">
        <v>0</v>
      </c>
      <c r="I65" s="20" t="s">
        <v>896</v>
      </c>
      <c r="J65" s="20">
        <v>36071.47</v>
      </c>
      <c r="L65" s="20" t="s">
        <v>1266</v>
      </c>
      <c r="M65" s="20">
        <v>3050</v>
      </c>
      <c r="O65" s="20" t="s">
        <v>3342</v>
      </c>
      <c r="P65" s="20">
        <v>2</v>
      </c>
      <c r="R65" s="20" t="s">
        <v>3257</v>
      </c>
      <c r="S65" s="20">
        <v>1</v>
      </c>
      <c r="U65" s="20" t="s">
        <v>104</v>
      </c>
      <c r="V65" s="20">
        <v>5</v>
      </c>
      <c r="X65" s="20" t="s">
        <v>241</v>
      </c>
      <c r="Y65" s="20">
        <v>3</v>
      </c>
      <c r="AA65" s="20" t="s">
        <v>1551</v>
      </c>
      <c r="AB65" s="20">
        <v>-6046.35</v>
      </c>
      <c r="AC65" s="20">
        <v>1207.7</v>
      </c>
      <c r="AH65" s="20" t="s">
        <v>200</v>
      </c>
      <c r="AI65" s="20">
        <v>1</v>
      </c>
      <c r="AK65" s="20" t="s">
        <v>1258</v>
      </c>
      <c r="AL65" s="20"/>
      <c r="AM65">
        <v>1</v>
      </c>
      <c r="AO65" s="20" t="s">
        <v>624</v>
      </c>
      <c r="AP65" s="20">
        <v>1</v>
      </c>
    </row>
    <row r="66" spans="1:42" x14ac:dyDescent="0.25">
      <c r="A66" s="20" t="s">
        <v>1356</v>
      </c>
      <c r="B66" s="20" t="s">
        <v>2191</v>
      </c>
      <c r="C66" s="20">
        <v>0</v>
      </c>
      <c r="E66" s="20" t="s">
        <v>997</v>
      </c>
      <c r="F66" s="20" t="s">
        <v>2191</v>
      </c>
      <c r="G66" s="20">
        <v>0</v>
      </c>
      <c r="I66" s="20" t="s">
        <v>103</v>
      </c>
      <c r="J66" s="20">
        <v>3003</v>
      </c>
      <c r="L66" s="20" t="s">
        <v>1254</v>
      </c>
      <c r="M66" s="20">
        <v>0</v>
      </c>
      <c r="O66" s="20" t="s">
        <v>3347</v>
      </c>
      <c r="P66" s="20">
        <v>1</v>
      </c>
      <c r="R66" s="20" t="s">
        <v>3304</v>
      </c>
      <c r="S66" s="20">
        <v>1</v>
      </c>
      <c r="U66" s="20" t="s">
        <v>617</v>
      </c>
      <c r="V66" s="20">
        <v>1</v>
      </c>
      <c r="X66" s="20" t="s">
        <v>252</v>
      </c>
      <c r="Y66" s="20">
        <v>12</v>
      </c>
      <c r="AA66" s="20" t="s">
        <v>83</v>
      </c>
      <c r="AB66" s="20">
        <v>71786.31</v>
      </c>
      <c r="AC66" s="20">
        <v>1028279.57</v>
      </c>
      <c r="AH66" s="20" t="s">
        <v>1428</v>
      </c>
      <c r="AI66" s="20">
        <v>1</v>
      </c>
      <c r="AK66" s="20" t="s">
        <v>1087</v>
      </c>
      <c r="AL66" s="20">
        <v>1</v>
      </c>
      <c r="AM66">
        <v>7</v>
      </c>
      <c r="AO66" s="20" t="s">
        <v>627</v>
      </c>
      <c r="AP66" s="20">
        <v>1</v>
      </c>
    </row>
    <row r="67" spans="1:42" x14ac:dyDescent="0.25">
      <c r="A67" s="20" t="s">
        <v>677</v>
      </c>
      <c r="B67" s="20" t="s">
        <v>2191</v>
      </c>
      <c r="C67" s="20">
        <v>0</v>
      </c>
      <c r="E67" s="20" t="s">
        <v>682</v>
      </c>
      <c r="F67" s="20" t="s">
        <v>2191</v>
      </c>
      <c r="G67" s="20">
        <v>28239.61</v>
      </c>
      <c r="I67" s="20" t="s">
        <v>706</v>
      </c>
      <c r="J67" s="20">
        <v>13103</v>
      </c>
      <c r="L67" s="20" t="s">
        <v>429</v>
      </c>
      <c r="M67" s="20">
        <v>8943.65</v>
      </c>
      <c r="O67" s="20" t="s">
        <v>3364</v>
      </c>
      <c r="P67" s="20">
        <v>1</v>
      </c>
      <c r="R67" s="20" t="s">
        <v>3343</v>
      </c>
      <c r="S67" s="20">
        <v>1</v>
      </c>
      <c r="U67" s="20" t="s">
        <v>619</v>
      </c>
      <c r="V67" s="20">
        <v>1</v>
      </c>
      <c r="X67" s="20" t="s">
        <v>287</v>
      </c>
      <c r="Y67" s="20">
        <v>4</v>
      </c>
      <c r="AA67" s="20" t="s">
        <v>2000</v>
      </c>
      <c r="AB67" s="20">
        <v>0</v>
      </c>
      <c r="AC67" s="20">
        <v>0</v>
      </c>
      <c r="AH67" s="20" t="s">
        <v>3023</v>
      </c>
      <c r="AI67" s="20">
        <v>1</v>
      </c>
      <c r="AK67" s="20" t="s">
        <v>420</v>
      </c>
      <c r="AL67" s="20"/>
      <c r="AM67">
        <v>1</v>
      </c>
      <c r="AO67" s="20" t="s">
        <v>634</v>
      </c>
      <c r="AP67" s="20">
        <v>5</v>
      </c>
    </row>
    <row r="68" spans="1:42" x14ac:dyDescent="0.25">
      <c r="A68" s="20" t="s">
        <v>1547</v>
      </c>
      <c r="B68" s="20" t="s">
        <v>2191</v>
      </c>
      <c r="C68" s="20">
        <v>0</v>
      </c>
      <c r="E68" s="20" t="s">
        <v>189</v>
      </c>
      <c r="F68" s="20" t="s">
        <v>2191</v>
      </c>
      <c r="G68" s="20">
        <v>0</v>
      </c>
      <c r="I68" s="20" t="s">
        <v>1262</v>
      </c>
      <c r="J68" s="20">
        <v>4919</v>
      </c>
      <c r="L68" s="20" t="s">
        <v>270</v>
      </c>
      <c r="M68" s="20">
        <v>87970.84</v>
      </c>
      <c r="O68" s="20" t="s">
        <v>3382</v>
      </c>
      <c r="P68" s="20">
        <v>1</v>
      </c>
      <c r="R68" s="20" t="s">
        <v>3372</v>
      </c>
      <c r="S68" s="20">
        <v>7</v>
      </c>
      <c r="U68" s="20" t="s">
        <v>590</v>
      </c>
      <c r="V68" s="20">
        <v>1</v>
      </c>
      <c r="X68" s="20" t="s">
        <v>289</v>
      </c>
      <c r="Y68" s="20">
        <v>5</v>
      </c>
      <c r="AA68" s="20" t="s">
        <v>2207</v>
      </c>
      <c r="AB68" s="20">
        <v>0</v>
      </c>
      <c r="AC68" s="20">
        <v>0</v>
      </c>
      <c r="AH68" s="20" t="s">
        <v>3054</v>
      </c>
      <c r="AI68" s="20">
        <v>2</v>
      </c>
      <c r="AK68" s="20" t="s">
        <v>422</v>
      </c>
      <c r="AL68" s="20">
        <v>4</v>
      </c>
      <c r="AM68">
        <v>7</v>
      </c>
      <c r="AO68" s="20" t="s">
        <v>636</v>
      </c>
      <c r="AP68" s="20">
        <v>2</v>
      </c>
    </row>
    <row r="69" spans="1:42" x14ac:dyDescent="0.25">
      <c r="A69" s="20" t="s">
        <v>866</v>
      </c>
      <c r="B69" s="20" t="s">
        <v>2191</v>
      </c>
      <c r="C69" s="20">
        <v>0</v>
      </c>
      <c r="E69" s="20" t="s">
        <v>232</v>
      </c>
      <c r="F69" s="20" t="s">
        <v>2191</v>
      </c>
      <c r="G69" s="20">
        <v>184235.07</v>
      </c>
      <c r="I69" s="20" t="s">
        <v>1438</v>
      </c>
      <c r="J69" s="20">
        <v>-2717.36</v>
      </c>
      <c r="L69" s="20" t="s">
        <v>1104</v>
      </c>
      <c r="M69" s="20">
        <v>3187</v>
      </c>
      <c r="O69" s="20" t="s">
        <v>3396</v>
      </c>
      <c r="P69" s="20">
        <v>1</v>
      </c>
      <c r="R69" s="20" t="s">
        <v>3364</v>
      </c>
      <c r="S69" s="20">
        <v>1</v>
      </c>
      <c r="U69" s="20" t="s">
        <v>1456</v>
      </c>
      <c r="V69" s="20">
        <v>1</v>
      </c>
      <c r="X69" s="20" t="s">
        <v>1113</v>
      </c>
      <c r="Y69" s="20">
        <v>1</v>
      </c>
      <c r="AA69" s="20" t="s">
        <v>1552</v>
      </c>
      <c r="AB69" s="20">
        <v>-1260.97</v>
      </c>
      <c r="AC69" s="20">
        <v>-2156.79</v>
      </c>
      <c r="AH69" s="20" t="s">
        <v>3084</v>
      </c>
      <c r="AI69" s="20">
        <v>1</v>
      </c>
      <c r="AK69" s="20" t="s">
        <v>251</v>
      </c>
      <c r="AL69" s="20">
        <v>2</v>
      </c>
      <c r="AM69">
        <v>3</v>
      </c>
      <c r="AO69" s="20" t="s">
        <v>1442</v>
      </c>
      <c r="AP69" s="20">
        <v>4</v>
      </c>
    </row>
    <row r="70" spans="1:42" x14ac:dyDescent="0.25">
      <c r="A70" s="20" t="s">
        <v>229</v>
      </c>
      <c r="B70" s="20" t="s">
        <v>2191</v>
      </c>
      <c r="C70" s="20">
        <v>1784</v>
      </c>
      <c r="E70" s="20" t="s">
        <v>1952</v>
      </c>
      <c r="F70" s="20" t="s">
        <v>2191</v>
      </c>
      <c r="G70" s="20">
        <v>0</v>
      </c>
      <c r="I70" s="20" t="s">
        <v>1590</v>
      </c>
      <c r="J70" s="20">
        <v>602081.78</v>
      </c>
      <c r="L70" s="20" t="s">
        <v>1107</v>
      </c>
      <c r="M70" s="20">
        <v>12155.76</v>
      </c>
      <c r="O70" s="20" t="s">
        <v>3401</v>
      </c>
      <c r="P70" s="20">
        <v>2</v>
      </c>
      <c r="R70" s="20" t="s">
        <v>3390</v>
      </c>
      <c r="S70" s="20">
        <v>2</v>
      </c>
      <c r="U70" s="20" t="s">
        <v>1461</v>
      </c>
      <c r="V70" s="20">
        <v>2</v>
      </c>
      <c r="X70" s="20" t="s">
        <v>1115</v>
      </c>
      <c r="Y70" s="20">
        <v>3</v>
      </c>
      <c r="AA70" s="20" t="s">
        <v>2208</v>
      </c>
      <c r="AB70" s="20">
        <v>0</v>
      </c>
      <c r="AC70" s="20">
        <v>0</v>
      </c>
      <c r="AH70" s="20" t="s">
        <v>3078</v>
      </c>
      <c r="AI70" s="20">
        <v>1</v>
      </c>
      <c r="AK70" s="20" t="s">
        <v>99</v>
      </c>
      <c r="AL70" s="20"/>
      <c r="AM70">
        <v>1</v>
      </c>
      <c r="AO70" s="20" t="s">
        <v>590</v>
      </c>
      <c r="AP70" s="20">
        <v>8</v>
      </c>
    </row>
    <row r="71" spans="1:42" x14ac:dyDescent="0.25">
      <c r="A71" s="20" t="s">
        <v>1817</v>
      </c>
      <c r="B71" s="20" t="s">
        <v>2191</v>
      </c>
      <c r="C71" s="20">
        <v>0</v>
      </c>
      <c r="E71" s="20" t="s">
        <v>1820</v>
      </c>
      <c r="F71" s="20" t="s">
        <v>2191</v>
      </c>
      <c r="G71" s="20">
        <v>0</v>
      </c>
      <c r="I71" s="20" t="s">
        <v>106</v>
      </c>
      <c r="J71" s="20">
        <v>19897</v>
      </c>
      <c r="L71" s="20" t="s">
        <v>1109</v>
      </c>
      <c r="M71" s="20">
        <v>10184</v>
      </c>
      <c r="O71" s="20" t="s">
        <v>3424</v>
      </c>
      <c r="P71" s="20">
        <v>1</v>
      </c>
      <c r="R71" s="20" t="s">
        <v>3415</v>
      </c>
      <c r="S71" s="20">
        <v>1</v>
      </c>
      <c r="U71" s="20" t="s">
        <v>1120</v>
      </c>
      <c r="V71" s="20">
        <v>1</v>
      </c>
      <c r="X71" s="20" t="s">
        <v>1211</v>
      </c>
      <c r="Y71" s="20">
        <v>2</v>
      </c>
      <c r="AA71" s="20" t="s">
        <v>886</v>
      </c>
      <c r="AB71" s="20">
        <v>18898.07</v>
      </c>
      <c r="AC71" s="20">
        <v>242842.57</v>
      </c>
      <c r="AH71" s="20" t="s">
        <v>3106</v>
      </c>
      <c r="AI71" s="20">
        <v>3</v>
      </c>
      <c r="AK71" s="20" t="s">
        <v>1371</v>
      </c>
      <c r="AL71" s="20"/>
      <c r="AM71">
        <v>1</v>
      </c>
      <c r="AO71" s="20" t="s">
        <v>1448</v>
      </c>
      <c r="AP71" s="20">
        <v>1</v>
      </c>
    </row>
    <row r="72" spans="1:42" x14ac:dyDescent="0.25">
      <c r="A72" s="20" t="s">
        <v>867</v>
      </c>
      <c r="B72" s="20" t="s">
        <v>2191</v>
      </c>
      <c r="C72" s="20">
        <v>42273</v>
      </c>
      <c r="E72" s="20" t="s">
        <v>877</v>
      </c>
      <c r="F72" s="20" t="s">
        <v>2191</v>
      </c>
      <c r="G72" s="20">
        <v>12821</v>
      </c>
      <c r="I72" s="20" t="s">
        <v>1200</v>
      </c>
      <c r="J72" s="20">
        <v>7920</v>
      </c>
      <c r="L72" s="20" t="s">
        <v>280</v>
      </c>
      <c r="M72" s="20">
        <v>5120</v>
      </c>
      <c r="O72" s="20" t="s">
        <v>3588</v>
      </c>
      <c r="P72" s="20">
        <v>1</v>
      </c>
      <c r="R72" s="20" t="s">
        <v>3572</v>
      </c>
      <c r="S72" s="20">
        <v>1</v>
      </c>
      <c r="U72" s="20" t="s">
        <v>475</v>
      </c>
      <c r="V72" s="20">
        <v>5</v>
      </c>
      <c r="X72" s="20" t="s">
        <v>1117</v>
      </c>
      <c r="Y72" s="20">
        <v>1</v>
      </c>
      <c r="AA72" s="20" t="s">
        <v>2209</v>
      </c>
      <c r="AB72" s="20">
        <v>0</v>
      </c>
      <c r="AC72" s="20">
        <v>0</v>
      </c>
      <c r="AH72" s="20" t="s">
        <v>3073</v>
      </c>
      <c r="AI72" s="20">
        <v>1</v>
      </c>
      <c r="AK72" s="20" t="s">
        <v>103</v>
      </c>
      <c r="AL72" s="20">
        <v>13</v>
      </c>
      <c r="AM72">
        <v>15</v>
      </c>
      <c r="AO72" s="20" t="s">
        <v>1453</v>
      </c>
      <c r="AP72" s="20">
        <v>4</v>
      </c>
    </row>
    <row r="73" spans="1:42" x14ac:dyDescent="0.25">
      <c r="A73" s="20" t="s">
        <v>869</v>
      </c>
      <c r="B73" s="20" t="s">
        <v>2191</v>
      </c>
      <c r="C73" s="20">
        <v>5891</v>
      </c>
      <c r="E73" s="20" t="s">
        <v>1855</v>
      </c>
      <c r="F73" s="20" t="s">
        <v>2191</v>
      </c>
      <c r="G73" s="20">
        <v>0</v>
      </c>
      <c r="I73" s="20" t="s">
        <v>1098</v>
      </c>
      <c r="J73" s="20">
        <v>-689.27</v>
      </c>
      <c r="L73" s="20" t="s">
        <v>282</v>
      </c>
      <c r="M73" s="20">
        <v>81257.33</v>
      </c>
      <c r="O73" s="20" t="s">
        <v>3613</v>
      </c>
      <c r="P73" s="20">
        <v>1</v>
      </c>
      <c r="R73" s="20" t="s">
        <v>3588</v>
      </c>
      <c r="S73" s="20">
        <v>1</v>
      </c>
      <c r="U73" s="20" t="s">
        <v>480</v>
      </c>
      <c r="V73" s="20">
        <v>1</v>
      </c>
      <c r="X73" s="20" t="s">
        <v>1217</v>
      </c>
      <c r="Y73" s="20">
        <v>2</v>
      </c>
      <c r="AA73" s="20" t="s">
        <v>86</v>
      </c>
      <c r="AB73" s="20">
        <v>111889.59</v>
      </c>
      <c r="AC73" s="20">
        <v>287982.73</v>
      </c>
      <c r="AH73" s="20" t="s">
        <v>3116</v>
      </c>
      <c r="AI73" s="20">
        <v>2</v>
      </c>
      <c r="AK73" s="20" t="s">
        <v>706</v>
      </c>
      <c r="AL73" s="20">
        <v>13</v>
      </c>
      <c r="AM73">
        <v>22</v>
      </c>
      <c r="AO73" s="20" t="s">
        <v>1455</v>
      </c>
      <c r="AP73" s="20">
        <v>1</v>
      </c>
    </row>
    <row r="74" spans="1:42" x14ac:dyDescent="0.25">
      <c r="A74" s="20" t="s">
        <v>679</v>
      </c>
      <c r="B74" s="20" t="s">
        <v>2191</v>
      </c>
      <c r="C74" s="20">
        <v>0</v>
      </c>
      <c r="E74" s="20" t="s">
        <v>1998</v>
      </c>
      <c r="F74" s="20" t="s">
        <v>2191</v>
      </c>
      <c r="G74" s="20">
        <v>0</v>
      </c>
      <c r="I74" s="20" t="s">
        <v>109</v>
      </c>
      <c r="J74" s="20">
        <v>39496</v>
      </c>
      <c r="L74" s="20" t="s">
        <v>241</v>
      </c>
      <c r="M74" s="20">
        <v>22022.37</v>
      </c>
      <c r="O74" s="20" t="s">
        <v>3619</v>
      </c>
      <c r="P74" s="20">
        <v>1</v>
      </c>
      <c r="R74" s="20" t="s">
        <v>3671</v>
      </c>
      <c r="S74" s="20">
        <v>1</v>
      </c>
      <c r="U74" s="20" t="s">
        <v>718</v>
      </c>
      <c r="V74" s="20">
        <v>4</v>
      </c>
      <c r="X74" s="20" t="s">
        <v>435</v>
      </c>
      <c r="Y74" s="20">
        <v>4</v>
      </c>
      <c r="AA74" s="20" t="s">
        <v>1826</v>
      </c>
      <c r="AB74" s="20">
        <v>0</v>
      </c>
      <c r="AC74" s="20">
        <v>0</v>
      </c>
      <c r="AH74" s="20" t="s">
        <v>3151</v>
      </c>
      <c r="AI74" s="20">
        <v>1</v>
      </c>
      <c r="AK74" s="20" t="s">
        <v>1262</v>
      </c>
      <c r="AL74" s="20"/>
      <c r="AM74">
        <v>1</v>
      </c>
      <c r="AO74" s="20" t="s">
        <v>1456</v>
      </c>
      <c r="AP74" s="20">
        <v>2</v>
      </c>
    </row>
    <row r="75" spans="1:42" x14ac:dyDescent="0.25">
      <c r="A75" s="20" t="s">
        <v>2201</v>
      </c>
      <c r="B75" s="20" t="s">
        <v>2191</v>
      </c>
      <c r="C75" s="20">
        <v>0</v>
      </c>
      <c r="E75" s="20" t="s">
        <v>2148</v>
      </c>
      <c r="F75" s="20" t="s">
        <v>2191</v>
      </c>
      <c r="G75" s="20">
        <v>0</v>
      </c>
      <c r="I75" s="20" t="s">
        <v>110</v>
      </c>
      <c r="J75" s="20">
        <v>4148.63</v>
      </c>
      <c r="L75" s="20" t="s">
        <v>252</v>
      </c>
      <c r="M75" s="20">
        <v>35815</v>
      </c>
      <c r="O75" s="20" t="s">
        <v>3660</v>
      </c>
      <c r="P75" s="20">
        <v>1</v>
      </c>
      <c r="R75" s="20" t="s">
        <v>3662</v>
      </c>
      <c r="S75" s="20">
        <v>1</v>
      </c>
      <c r="U75" s="20" t="s">
        <v>1199</v>
      </c>
      <c r="V75" s="20">
        <v>1</v>
      </c>
      <c r="X75" s="20" t="s">
        <v>245</v>
      </c>
      <c r="Y75" s="20">
        <v>1</v>
      </c>
      <c r="AA75" s="20" t="s">
        <v>1361</v>
      </c>
      <c r="AB75" s="20">
        <v>204990.62</v>
      </c>
      <c r="AC75" s="20">
        <v>847257.34</v>
      </c>
      <c r="AH75" s="20" t="s">
        <v>3166</v>
      </c>
      <c r="AI75" s="20">
        <v>3</v>
      </c>
      <c r="AK75" s="20" t="s">
        <v>1438</v>
      </c>
      <c r="AL75" s="20">
        <v>3</v>
      </c>
      <c r="AM75">
        <v>18</v>
      </c>
      <c r="AO75" s="20" t="s">
        <v>1461</v>
      </c>
      <c r="AP75" s="20">
        <v>9</v>
      </c>
    </row>
    <row r="76" spans="1:42" x14ac:dyDescent="0.25">
      <c r="A76" s="20" t="s">
        <v>1818</v>
      </c>
      <c r="B76" s="20" t="s">
        <v>2191</v>
      </c>
      <c r="C76" s="20">
        <v>0</v>
      </c>
      <c r="E76" s="20" t="s">
        <v>1953</v>
      </c>
      <c r="F76" s="20" t="s">
        <v>2191</v>
      </c>
      <c r="G76" s="20">
        <v>0</v>
      </c>
      <c r="I76" s="20" t="s">
        <v>1373</v>
      </c>
      <c r="J76" s="20">
        <v>7560</v>
      </c>
      <c r="L76" s="20" t="s">
        <v>287</v>
      </c>
      <c r="M76" s="20">
        <v>39126.199999999997</v>
      </c>
      <c r="O76" s="20" t="s">
        <v>3662</v>
      </c>
      <c r="P76" s="20">
        <v>2</v>
      </c>
      <c r="U76" s="20" t="s">
        <v>668</v>
      </c>
      <c r="V76" s="20">
        <v>3</v>
      </c>
      <c r="X76" s="20" t="s">
        <v>457</v>
      </c>
      <c r="Y76" s="20">
        <v>1</v>
      </c>
      <c r="AA76" s="20" t="s">
        <v>355</v>
      </c>
      <c r="AB76" s="20">
        <v>10016714.960000001</v>
      </c>
      <c r="AC76" s="20">
        <v>2557126.84</v>
      </c>
      <c r="AH76" s="20" t="s">
        <v>3181</v>
      </c>
      <c r="AI76" s="20">
        <v>2</v>
      </c>
      <c r="AK76" s="20" t="s">
        <v>3356</v>
      </c>
      <c r="AL76" s="20"/>
      <c r="AM76">
        <v>1</v>
      </c>
      <c r="AO76" s="20" t="s">
        <v>1462</v>
      </c>
      <c r="AP76" s="20">
        <v>1</v>
      </c>
    </row>
    <row r="77" spans="1:42" x14ac:dyDescent="0.25">
      <c r="A77" s="20" t="s">
        <v>1548</v>
      </c>
      <c r="B77" s="20" t="s">
        <v>2191</v>
      </c>
      <c r="C77" s="20">
        <v>0</v>
      </c>
      <c r="E77" s="20" t="s">
        <v>2203</v>
      </c>
      <c r="F77" s="20" t="s">
        <v>2191</v>
      </c>
      <c r="G77" s="20">
        <v>0</v>
      </c>
      <c r="I77" s="20" t="s">
        <v>424</v>
      </c>
      <c r="J77" s="20">
        <v>14146</v>
      </c>
      <c r="L77" s="20" t="s">
        <v>289</v>
      </c>
      <c r="M77" s="20">
        <v>45857.64</v>
      </c>
      <c r="O77" s="20" t="s">
        <v>1430</v>
      </c>
      <c r="P77" s="20">
        <v>1</v>
      </c>
      <c r="U77" s="20" t="s">
        <v>1127</v>
      </c>
      <c r="V77" s="20">
        <v>1</v>
      </c>
      <c r="X77" s="20" t="s">
        <v>463</v>
      </c>
      <c r="Y77" s="20">
        <v>7</v>
      </c>
      <c r="AA77" s="20" t="s">
        <v>2001</v>
      </c>
      <c r="AB77" s="20">
        <v>0</v>
      </c>
      <c r="AC77" s="20">
        <v>0</v>
      </c>
      <c r="AH77" s="20" t="s">
        <v>3230</v>
      </c>
      <c r="AI77" s="20">
        <v>2</v>
      </c>
      <c r="AK77" s="20" t="s">
        <v>901</v>
      </c>
      <c r="AL77" s="20">
        <v>1</v>
      </c>
      <c r="AM77">
        <v>2</v>
      </c>
      <c r="AO77" s="20" t="s">
        <v>1804</v>
      </c>
      <c r="AP77" s="20">
        <v>4</v>
      </c>
    </row>
    <row r="78" spans="1:42" x14ac:dyDescent="0.25">
      <c r="A78" s="20" t="s">
        <v>1873</v>
      </c>
      <c r="B78" s="20" t="s">
        <v>2191</v>
      </c>
      <c r="C78" s="20">
        <v>0</v>
      </c>
      <c r="E78" s="20" t="s">
        <v>1821</v>
      </c>
      <c r="F78" s="20" t="s">
        <v>2191</v>
      </c>
      <c r="G78" s="20">
        <v>0</v>
      </c>
      <c r="I78" s="20" t="s">
        <v>1207</v>
      </c>
      <c r="J78" s="20">
        <v>5029</v>
      </c>
      <c r="L78" s="20" t="s">
        <v>291</v>
      </c>
      <c r="M78" s="20">
        <v>11206.5</v>
      </c>
      <c r="U78" s="20" t="s">
        <v>487</v>
      </c>
      <c r="V78" s="20">
        <v>1</v>
      </c>
      <c r="X78" s="20" t="s">
        <v>465</v>
      </c>
      <c r="Y78" s="20">
        <v>1</v>
      </c>
      <c r="AA78" s="20" t="s">
        <v>2210</v>
      </c>
      <c r="AB78" s="20">
        <v>0</v>
      </c>
      <c r="AC78" s="20">
        <v>0</v>
      </c>
      <c r="AH78" s="20" t="s">
        <v>3244</v>
      </c>
      <c r="AI78" s="20">
        <v>1</v>
      </c>
      <c r="AK78" s="20" t="s">
        <v>606</v>
      </c>
      <c r="AL78" s="20"/>
      <c r="AM78">
        <v>1</v>
      </c>
      <c r="AO78" s="20" t="s">
        <v>1120</v>
      </c>
      <c r="AP78" s="20">
        <v>3</v>
      </c>
    </row>
    <row r="79" spans="1:42" x14ac:dyDescent="0.25">
      <c r="A79" s="20" t="s">
        <v>871</v>
      </c>
      <c r="B79" s="20" t="s">
        <v>2191</v>
      </c>
      <c r="C79" s="20">
        <v>0</v>
      </c>
      <c r="E79" s="20" t="s">
        <v>685</v>
      </c>
      <c r="F79" s="20" t="s">
        <v>2191</v>
      </c>
      <c r="G79" s="20">
        <v>0</v>
      </c>
      <c r="I79" s="20" t="s">
        <v>907</v>
      </c>
      <c r="J79" s="20">
        <v>-2474.21</v>
      </c>
      <c r="L79" s="20" t="s">
        <v>1115</v>
      </c>
      <c r="M79" s="20">
        <v>6127</v>
      </c>
      <c r="U79" s="20" t="s">
        <v>303</v>
      </c>
      <c r="V79" s="20">
        <v>1</v>
      </c>
      <c r="X79" s="20" t="s">
        <v>613</v>
      </c>
      <c r="Y79" s="20">
        <v>5</v>
      </c>
      <c r="AA79" s="20" t="s">
        <v>85</v>
      </c>
      <c r="AB79" s="20">
        <v>195884.79</v>
      </c>
      <c r="AC79" s="20">
        <v>514260.95</v>
      </c>
      <c r="AH79" s="20" t="s">
        <v>3343</v>
      </c>
      <c r="AI79" s="20">
        <v>1</v>
      </c>
      <c r="AK79" s="20" t="s">
        <v>1590</v>
      </c>
      <c r="AL79" s="20">
        <v>46</v>
      </c>
      <c r="AM79">
        <v>4</v>
      </c>
      <c r="AO79" s="20" t="s">
        <v>475</v>
      </c>
      <c r="AP79" s="20">
        <v>1</v>
      </c>
    </row>
    <row r="80" spans="1:42" x14ac:dyDescent="0.25">
      <c r="A80" s="20" t="s">
        <v>1819</v>
      </c>
      <c r="B80" s="20" t="s">
        <v>2191</v>
      </c>
      <c r="C80" s="20">
        <v>0</v>
      </c>
      <c r="E80" s="20" t="s">
        <v>1550</v>
      </c>
      <c r="F80" s="20" t="s">
        <v>2191</v>
      </c>
      <c r="G80" s="20">
        <v>0</v>
      </c>
      <c r="I80" s="20" t="s">
        <v>113</v>
      </c>
      <c r="J80" s="20">
        <v>1828.25</v>
      </c>
      <c r="L80" s="20" t="s">
        <v>1119</v>
      </c>
      <c r="M80" s="20">
        <v>4378</v>
      </c>
      <c r="U80" s="20" t="s">
        <v>309</v>
      </c>
      <c r="V80" s="20">
        <v>2</v>
      </c>
      <c r="X80" s="20" t="s">
        <v>619</v>
      </c>
      <c r="Y80" s="20">
        <v>1</v>
      </c>
      <c r="AA80" s="20" t="s">
        <v>1958</v>
      </c>
      <c r="AB80" s="20">
        <v>0</v>
      </c>
      <c r="AC80" s="20">
        <v>0</v>
      </c>
      <c r="AH80" s="20" t="s">
        <v>3342</v>
      </c>
      <c r="AI80" s="20">
        <v>1</v>
      </c>
      <c r="AK80" s="20" t="s">
        <v>106</v>
      </c>
      <c r="AL80" s="20"/>
      <c r="AM80">
        <v>1</v>
      </c>
      <c r="AO80" s="20" t="s">
        <v>1220</v>
      </c>
      <c r="AP80" s="20">
        <v>1</v>
      </c>
    </row>
    <row r="81" spans="1:42" x14ac:dyDescent="0.25">
      <c r="A81" s="20" t="s">
        <v>1066</v>
      </c>
      <c r="B81" s="20" t="s">
        <v>2191</v>
      </c>
      <c r="C81" s="20">
        <v>0</v>
      </c>
      <c r="E81" s="20" t="s">
        <v>234</v>
      </c>
      <c r="F81" s="20" t="s">
        <v>2191</v>
      </c>
      <c r="G81" s="20">
        <v>0</v>
      </c>
      <c r="I81" s="20" t="s">
        <v>2536</v>
      </c>
      <c r="J81" s="20">
        <v>6116</v>
      </c>
      <c r="L81" s="20" t="s">
        <v>1215</v>
      </c>
      <c r="M81" s="20">
        <v>13057</v>
      </c>
      <c r="U81" s="20" t="s">
        <v>311</v>
      </c>
      <c r="V81" s="20">
        <v>1</v>
      </c>
      <c r="X81" s="20" t="s">
        <v>621</v>
      </c>
      <c r="Y81" s="20">
        <v>4</v>
      </c>
      <c r="AA81" s="20" t="s">
        <v>2985</v>
      </c>
      <c r="AB81" s="20">
        <v>-225.73</v>
      </c>
      <c r="AC81" s="20">
        <v>1461.68</v>
      </c>
      <c r="AH81" s="20" t="s">
        <v>3372</v>
      </c>
      <c r="AI81" s="20">
        <v>1</v>
      </c>
      <c r="AK81" s="20" t="s">
        <v>1264</v>
      </c>
      <c r="AL81" s="20">
        <v>1</v>
      </c>
      <c r="AM81">
        <v>2</v>
      </c>
      <c r="AO81" s="20" t="s">
        <v>467</v>
      </c>
      <c r="AP81" s="20">
        <v>1</v>
      </c>
    </row>
    <row r="82" spans="1:42" x14ac:dyDescent="0.25">
      <c r="A82" s="20" t="s">
        <v>874</v>
      </c>
      <c r="B82" s="20" t="s">
        <v>2191</v>
      </c>
      <c r="C82" s="20">
        <v>0</v>
      </c>
      <c r="E82" s="20" t="s">
        <v>1359</v>
      </c>
      <c r="F82" s="20" t="s">
        <v>2191</v>
      </c>
      <c r="G82" s="20">
        <v>0</v>
      </c>
      <c r="I82" s="20" t="s">
        <v>124</v>
      </c>
      <c r="J82" s="20">
        <v>31050.44</v>
      </c>
      <c r="L82" s="20" t="s">
        <v>435</v>
      </c>
      <c r="M82" s="20">
        <v>18812.650000000001</v>
      </c>
      <c r="U82" s="20" t="s">
        <v>1296</v>
      </c>
      <c r="V82" s="20">
        <v>2</v>
      </c>
      <c r="X82" s="20" t="s">
        <v>624</v>
      </c>
      <c r="Y82" s="20">
        <v>1</v>
      </c>
      <c r="AA82" s="20" t="s">
        <v>690</v>
      </c>
      <c r="AB82" s="20">
        <v>0</v>
      </c>
      <c r="AC82" s="20">
        <v>0</v>
      </c>
      <c r="AH82" s="20" t="s">
        <v>3368</v>
      </c>
      <c r="AI82" s="20">
        <v>1</v>
      </c>
      <c r="AK82" s="20" t="s">
        <v>905</v>
      </c>
      <c r="AL82" s="20"/>
      <c r="AM82">
        <v>1</v>
      </c>
      <c r="AO82" s="20" t="s">
        <v>641</v>
      </c>
      <c r="AP82" s="20">
        <v>1</v>
      </c>
    </row>
    <row r="83" spans="1:42" x14ac:dyDescent="0.25">
      <c r="A83" s="20" t="s">
        <v>230</v>
      </c>
      <c r="B83" s="20" t="s">
        <v>2191</v>
      </c>
      <c r="C83" s="20">
        <v>0</v>
      </c>
      <c r="E83" s="20" t="s">
        <v>1954</v>
      </c>
      <c r="F83" s="20" t="s">
        <v>2191</v>
      </c>
      <c r="G83" s="20">
        <v>0</v>
      </c>
      <c r="I83" s="20" t="s">
        <v>1266</v>
      </c>
      <c r="J83" s="20">
        <v>6259</v>
      </c>
      <c r="L83" s="20" t="s">
        <v>443</v>
      </c>
      <c r="M83" s="20">
        <v>11847.05</v>
      </c>
      <c r="U83" s="20" t="s">
        <v>495</v>
      </c>
      <c r="V83" s="20">
        <v>1</v>
      </c>
      <c r="X83" s="20" t="s">
        <v>636</v>
      </c>
      <c r="Y83" s="20">
        <v>3</v>
      </c>
      <c r="AA83" s="20" t="s">
        <v>890</v>
      </c>
      <c r="AB83" s="20">
        <v>4825.58</v>
      </c>
      <c r="AC83" s="20">
        <v>184840.6</v>
      </c>
      <c r="AH83" s="20" t="s">
        <v>3377</v>
      </c>
      <c r="AI83" s="20">
        <v>1</v>
      </c>
      <c r="AK83" s="20" t="s">
        <v>1200</v>
      </c>
      <c r="AL83" s="20">
        <v>3</v>
      </c>
      <c r="AM83">
        <v>9</v>
      </c>
      <c r="AO83" s="20" t="s">
        <v>480</v>
      </c>
      <c r="AP83" s="20">
        <v>3</v>
      </c>
    </row>
    <row r="84" spans="1:42" x14ac:dyDescent="0.25">
      <c r="A84" s="20" t="s">
        <v>1951</v>
      </c>
      <c r="B84" s="20" t="s">
        <v>2191</v>
      </c>
      <c r="C84" s="20">
        <v>0</v>
      </c>
      <c r="E84" s="20" t="s">
        <v>880</v>
      </c>
      <c r="F84" s="20" t="s">
        <v>2191</v>
      </c>
      <c r="G84" s="20">
        <v>0</v>
      </c>
      <c r="I84" s="20" t="s">
        <v>1275</v>
      </c>
      <c r="J84" s="20">
        <v>17391</v>
      </c>
      <c r="L84" s="20" t="s">
        <v>445</v>
      </c>
      <c r="M84" s="20">
        <v>57407.75</v>
      </c>
      <c r="U84" s="20" t="s">
        <v>723</v>
      </c>
      <c r="V84" s="20">
        <v>7</v>
      </c>
      <c r="X84" s="20" t="s">
        <v>1442</v>
      </c>
      <c r="Y84" s="20">
        <v>2</v>
      </c>
      <c r="AA84" s="20" t="s">
        <v>2028</v>
      </c>
      <c r="AB84" s="20">
        <v>0</v>
      </c>
      <c r="AC84" s="20">
        <v>0</v>
      </c>
      <c r="AH84" s="20" t="s">
        <v>3396</v>
      </c>
      <c r="AI84" s="20">
        <v>1</v>
      </c>
      <c r="AK84" s="20" t="s">
        <v>1098</v>
      </c>
      <c r="AL84" s="20">
        <v>1</v>
      </c>
      <c r="AM84">
        <v>2</v>
      </c>
      <c r="AO84" s="20" t="s">
        <v>917</v>
      </c>
      <c r="AP84" s="20">
        <v>1</v>
      </c>
    </row>
    <row r="85" spans="1:42" x14ac:dyDescent="0.25">
      <c r="A85" s="20" t="s">
        <v>1549</v>
      </c>
      <c r="B85" s="20" t="s">
        <v>2191</v>
      </c>
      <c r="C85" s="20">
        <v>0</v>
      </c>
      <c r="E85" s="20" t="s">
        <v>1822</v>
      </c>
      <c r="F85" s="20" t="s">
        <v>2191</v>
      </c>
      <c r="G85" s="20">
        <v>0</v>
      </c>
      <c r="I85" s="20" t="s">
        <v>1277</v>
      </c>
      <c r="J85" s="20">
        <v>20302</v>
      </c>
      <c r="L85" s="20" t="s">
        <v>449</v>
      </c>
      <c r="M85" s="20">
        <v>1319.95</v>
      </c>
      <c r="U85" s="20" t="s">
        <v>1459</v>
      </c>
      <c r="V85" s="20">
        <v>2</v>
      </c>
      <c r="X85" s="20" t="s">
        <v>1444</v>
      </c>
      <c r="Y85" s="20">
        <v>2</v>
      </c>
      <c r="AA85" s="20" t="s">
        <v>2032</v>
      </c>
      <c r="AB85" s="20">
        <v>0</v>
      </c>
      <c r="AC85" s="20">
        <v>0</v>
      </c>
      <c r="AH85" s="20" t="s">
        <v>3390</v>
      </c>
      <c r="AI85" s="20">
        <v>1</v>
      </c>
      <c r="AK85" s="20" t="s">
        <v>608</v>
      </c>
      <c r="AL85" s="20">
        <v>1</v>
      </c>
      <c r="AM85">
        <v>1</v>
      </c>
      <c r="AO85" s="20" t="s">
        <v>643</v>
      </c>
      <c r="AP85" s="20">
        <v>1</v>
      </c>
    </row>
    <row r="86" spans="1:42" x14ac:dyDescent="0.25">
      <c r="A86" s="20" t="s">
        <v>80</v>
      </c>
      <c r="B86" s="20" t="s">
        <v>2191</v>
      </c>
      <c r="C86" s="20">
        <v>0</v>
      </c>
      <c r="E86" s="20" t="s">
        <v>2149</v>
      </c>
      <c r="F86" s="20" t="s">
        <v>2191</v>
      </c>
      <c r="G86" s="20">
        <v>0</v>
      </c>
      <c r="I86" s="20" t="s">
        <v>1254</v>
      </c>
      <c r="J86" s="20">
        <v>11086</v>
      </c>
      <c r="L86" s="20" t="s">
        <v>245</v>
      </c>
      <c r="M86" s="20">
        <v>20460</v>
      </c>
      <c r="U86" s="20" t="s">
        <v>648</v>
      </c>
      <c r="V86" s="20">
        <v>1</v>
      </c>
      <c r="X86" s="20" t="s">
        <v>590</v>
      </c>
      <c r="Y86" s="20">
        <v>5</v>
      </c>
      <c r="AA86" s="20" t="s">
        <v>2211</v>
      </c>
      <c r="AB86" s="20">
        <v>0</v>
      </c>
      <c r="AC86" s="20">
        <v>0</v>
      </c>
      <c r="AH86" s="20" t="s">
        <v>3582</v>
      </c>
      <c r="AI86" s="20">
        <v>1</v>
      </c>
      <c r="AK86" s="20" t="s">
        <v>109</v>
      </c>
      <c r="AL86" s="20">
        <v>3</v>
      </c>
      <c r="AM86">
        <v>5</v>
      </c>
      <c r="AO86" s="20" t="s">
        <v>718</v>
      </c>
      <c r="AP86" s="20">
        <v>6</v>
      </c>
    </row>
    <row r="87" spans="1:42" x14ac:dyDescent="0.25">
      <c r="A87" s="20" t="s">
        <v>681</v>
      </c>
      <c r="B87" s="20" t="s">
        <v>2191</v>
      </c>
      <c r="C87" s="20">
        <v>0</v>
      </c>
      <c r="E87" s="20" t="s">
        <v>1955</v>
      </c>
      <c r="F87" s="20" t="s">
        <v>2191</v>
      </c>
      <c r="G87" s="20">
        <v>0</v>
      </c>
      <c r="I87" s="20" t="s">
        <v>270</v>
      </c>
      <c r="J87" s="20">
        <v>93634.64</v>
      </c>
      <c r="L87" s="20" t="s">
        <v>455</v>
      </c>
      <c r="M87" s="20">
        <v>0</v>
      </c>
      <c r="U87" s="20" t="s">
        <v>725</v>
      </c>
      <c r="V87" s="20">
        <v>1</v>
      </c>
      <c r="X87" s="20" t="s">
        <v>610</v>
      </c>
      <c r="Y87" s="20">
        <v>1</v>
      </c>
      <c r="AA87" s="20" t="s">
        <v>588</v>
      </c>
      <c r="AB87" s="20">
        <v>-1407.15</v>
      </c>
      <c r="AC87" s="20">
        <v>545527.35</v>
      </c>
      <c r="AH87" s="20" t="s">
        <v>3588</v>
      </c>
      <c r="AI87" s="20">
        <v>4</v>
      </c>
      <c r="AK87" s="20" t="s">
        <v>110</v>
      </c>
      <c r="AL87" s="20">
        <v>1</v>
      </c>
      <c r="AM87">
        <v>4</v>
      </c>
      <c r="AO87" s="20" t="s">
        <v>1199</v>
      </c>
      <c r="AP87" s="20">
        <v>32</v>
      </c>
    </row>
    <row r="88" spans="1:42" x14ac:dyDescent="0.25">
      <c r="A88" s="20" t="s">
        <v>74</v>
      </c>
      <c r="B88" s="20" t="s">
        <v>2191</v>
      </c>
      <c r="C88" s="20">
        <v>0</v>
      </c>
      <c r="E88" s="20" t="s">
        <v>882</v>
      </c>
      <c r="F88" s="20" t="s">
        <v>2191</v>
      </c>
      <c r="G88" s="20">
        <v>0</v>
      </c>
      <c r="I88" s="20" t="s">
        <v>1107</v>
      </c>
      <c r="J88" s="20">
        <v>7895.54</v>
      </c>
      <c r="L88" s="20" t="s">
        <v>457</v>
      </c>
      <c r="M88" s="20">
        <v>39925</v>
      </c>
      <c r="U88" s="20" t="s">
        <v>129</v>
      </c>
      <c r="V88" s="20">
        <v>1</v>
      </c>
      <c r="X88" s="20" t="s">
        <v>1453</v>
      </c>
      <c r="Y88" s="20">
        <v>1</v>
      </c>
      <c r="AA88" s="20" t="s">
        <v>2212</v>
      </c>
      <c r="AB88" s="20">
        <v>0</v>
      </c>
      <c r="AC88" s="20">
        <v>0</v>
      </c>
      <c r="AH88" s="20" t="s">
        <v>1070</v>
      </c>
      <c r="AI88" s="20">
        <v>1</v>
      </c>
      <c r="AK88" s="20" t="s">
        <v>1373</v>
      </c>
      <c r="AL88" s="20">
        <v>5</v>
      </c>
      <c r="AM88">
        <v>6</v>
      </c>
      <c r="AO88" s="20" t="s">
        <v>668</v>
      </c>
      <c r="AP88" s="20">
        <v>2</v>
      </c>
    </row>
    <row r="89" spans="1:42" x14ac:dyDescent="0.25">
      <c r="A89" s="20" t="s">
        <v>2089</v>
      </c>
      <c r="B89" s="20" t="s">
        <v>2191</v>
      </c>
      <c r="C89" s="20">
        <v>0</v>
      </c>
      <c r="E89" s="20" t="s">
        <v>999</v>
      </c>
      <c r="F89" s="20" t="s">
        <v>2191</v>
      </c>
      <c r="G89" s="20">
        <v>0</v>
      </c>
      <c r="I89" s="20" t="s">
        <v>280</v>
      </c>
      <c r="J89" s="20">
        <v>6415</v>
      </c>
      <c r="L89" s="20" t="s">
        <v>58</v>
      </c>
      <c r="M89" s="20">
        <v>2746</v>
      </c>
      <c r="U89" s="20" t="s">
        <v>1705</v>
      </c>
      <c r="V89" s="20">
        <v>1</v>
      </c>
      <c r="X89" s="20" t="s">
        <v>1455</v>
      </c>
      <c r="Y89" s="20">
        <v>2</v>
      </c>
      <c r="AA89" s="20" t="s">
        <v>2213</v>
      </c>
      <c r="AB89" s="20">
        <v>0</v>
      </c>
      <c r="AC89" s="20">
        <v>0</v>
      </c>
      <c r="AK89" s="20" t="s">
        <v>260</v>
      </c>
      <c r="AL89" s="20">
        <v>3</v>
      </c>
      <c r="AM89">
        <v>3</v>
      </c>
      <c r="AO89" s="20" t="s">
        <v>1125</v>
      </c>
      <c r="AP89" s="20">
        <v>1</v>
      </c>
    </row>
    <row r="90" spans="1:42" x14ac:dyDescent="0.25">
      <c r="A90" s="20" t="s">
        <v>2027</v>
      </c>
      <c r="B90" s="20" t="s">
        <v>2191</v>
      </c>
      <c r="C90" s="20">
        <v>0</v>
      </c>
      <c r="E90" s="20" t="s">
        <v>1999</v>
      </c>
      <c r="F90" s="20" t="s">
        <v>2191</v>
      </c>
      <c r="G90" s="20">
        <v>0</v>
      </c>
      <c r="I90" s="20" t="s">
        <v>282</v>
      </c>
      <c r="J90" s="20">
        <v>71616.899999999994</v>
      </c>
      <c r="L90" s="20" t="s">
        <v>390</v>
      </c>
      <c r="M90" s="20">
        <v>3716</v>
      </c>
      <c r="U90" s="20" t="s">
        <v>728</v>
      </c>
      <c r="V90" s="20">
        <v>1</v>
      </c>
      <c r="X90" s="20" t="s">
        <v>1461</v>
      </c>
      <c r="Y90" s="20">
        <v>3</v>
      </c>
      <c r="AA90" s="20" t="s">
        <v>88</v>
      </c>
      <c r="AB90" s="20">
        <v>5944.37</v>
      </c>
      <c r="AC90" s="20">
        <v>89352.63</v>
      </c>
      <c r="AK90" s="20" t="s">
        <v>424</v>
      </c>
      <c r="AL90" s="20">
        <v>3</v>
      </c>
      <c r="AM90">
        <v>5</v>
      </c>
      <c r="AO90" s="20" t="s">
        <v>1127</v>
      </c>
      <c r="AP90" s="20">
        <v>2</v>
      </c>
    </row>
    <row r="91" spans="1:42" x14ac:dyDescent="0.25">
      <c r="A91" s="20" t="s">
        <v>79</v>
      </c>
      <c r="B91" s="20" t="s">
        <v>2191</v>
      </c>
      <c r="C91" s="20">
        <v>0</v>
      </c>
      <c r="E91" s="20" t="s">
        <v>687</v>
      </c>
      <c r="F91" s="20" t="s">
        <v>2191</v>
      </c>
      <c r="G91" s="20">
        <v>0</v>
      </c>
      <c r="I91" s="20" t="s">
        <v>241</v>
      </c>
      <c r="J91" s="20">
        <v>23068</v>
      </c>
      <c r="L91" s="20" t="s">
        <v>1285</v>
      </c>
      <c r="M91" s="20">
        <v>2400</v>
      </c>
      <c r="U91" s="20" t="s">
        <v>321</v>
      </c>
      <c r="V91" s="20">
        <v>1</v>
      </c>
      <c r="X91" s="20" t="s">
        <v>1120</v>
      </c>
      <c r="Y91" s="20">
        <v>1</v>
      </c>
      <c r="AA91" s="20" t="s">
        <v>2214</v>
      </c>
      <c r="AB91" s="20">
        <v>0</v>
      </c>
      <c r="AC91" s="20">
        <v>0</v>
      </c>
      <c r="AK91" s="20" t="s">
        <v>1207</v>
      </c>
      <c r="AL91" s="20">
        <v>1</v>
      </c>
      <c r="AM91">
        <v>2</v>
      </c>
      <c r="AO91" s="20" t="s">
        <v>298</v>
      </c>
      <c r="AP91" s="20">
        <v>1</v>
      </c>
    </row>
    <row r="92" spans="1:42" x14ac:dyDescent="0.25">
      <c r="A92" s="20" t="s">
        <v>997</v>
      </c>
      <c r="B92" s="20" t="s">
        <v>2191</v>
      </c>
      <c r="C92" s="20">
        <v>0</v>
      </c>
      <c r="E92" s="20" t="s">
        <v>884</v>
      </c>
      <c r="F92" s="20" t="s">
        <v>2191</v>
      </c>
      <c r="G92" s="20">
        <v>7617</v>
      </c>
      <c r="I92" s="20" t="s">
        <v>252</v>
      </c>
      <c r="J92" s="20">
        <v>58257.87</v>
      </c>
      <c r="L92" s="20" t="s">
        <v>104</v>
      </c>
      <c r="M92" s="20">
        <v>0</v>
      </c>
      <c r="U92" s="20" t="s">
        <v>1232</v>
      </c>
      <c r="V92" s="20">
        <v>1</v>
      </c>
      <c r="X92" s="20" t="s">
        <v>1377</v>
      </c>
      <c r="Y92" s="20">
        <v>1</v>
      </c>
      <c r="AA92" s="20" t="s">
        <v>1068</v>
      </c>
      <c r="AB92" s="20">
        <v>-2457.62</v>
      </c>
      <c r="AC92" s="20">
        <v>470.05</v>
      </c>
      <c r="AK92" s="20" t="s">
        <v>907</v>
      </c>
      <c r="AL92" s="20">
        <v>1</v>
      </c>
      <c r="AM92">
        <v>1</v>
      </c>
      <c r="AO92" s="20" t="s">
        <v>300</v>
      </c>
      <c r="AP92" s="20">
        <v>2</v>
      </c>
    </row>
    <row r="93" spans="1:42" x14ac:dyDescent="0.25">
      <c r="A93" s="20" t="s">
        <v>682</v>
      </c>
      <c r="B93" s="20" t="s">
        <v>2191</v>
      </c>
      <c r="C93" s="20">
        <v>58340</v>
      </c>
      <c r="E93" s="20" t="s">
        <v>1823</v>
      </c>
      <c r="F93" s="20" t="s">
        <v>2191</v>
      </c>
      <c r="G93" s="20">
        <v>0</v>
      </c>
      <c r="I93" s="20" t="s">
        <v>287</v>
      </c>
      <c r="J93" s="20">
        <v>1870.22</v>
      </c>
      <c r="L93" s="20" t="s">
        <v>425</v>
      </c>
      <c r="M93" s="20">
        <v>5500</v>
      </c>
      <c r="U93" s="20" t="s">
        <v>75</v>
      </c>
      <c r="V93" s="20">
        <v>3</v>
      </c>
      <c r="X93" s="20" t="s">
        <v>475</v>
      </c>
      <c r="Y93" s="20">
        <v>8</v>
      </c>
      <c r="AA93" s="20" t="s">
        <v>90</v>
      </c>
      <c r="AB93" s="20">
        <v>2202931.29</v>
      </c>
      <c r="AC93" s="20">
        <v>507172.28</v>
      </c>
      <c r="AK93" s="20" t="s">
        <v>113</v>
      </c>
      <c r="AL93" s="20">
        <v>30</v>
      </c>
      <c r="AM93">
        <v>8</v>
      </c>
      <c r="AO93" s="20" t="s">
        <v>303</v>
      </c>
      <c r="AP93" s="20">
        <v>3</v>
      </c>
    </row>
    <row r="94" spans="1:42" x14ac:dyDescent="0.25">
      <c r="A94" s="20" t="s">
        <v>189</v>
      </c>
      <c r="B94" s="20" t="s">
        <v>2191</v>
      </c>
      <c r="C94" s="20">
        <v>7224</v>
      </c>
      <c r="E94" s="20" t="s">
        <v>1824</v>
      </c>
      <c r="F94" s="20" t="s">
        <v>2191</v>
      </c>
      <c r="G94" s="20">
        <v>0</v>
      </c>
      <c r="I94" s="20" t="s">
        <v>289</v>
      </c>
      <c r="J94" s="20">
        <v>25795.98</v>
      </c>
      <c r="L94" s="20" t="s">
        <v>613</v>
      </c>
      <c r="M94" s="20">
        <v>0</v>
      </c>
      <c r="U94" s="20" t="s">
        <v>2931</v>
      </c>
      <c r="V94" s="20">
        <v>1</v>
      </c>
      <c r="X94" s="20" t="s">
        <v>478</v>
      </c>
      <c r="Y94" s="20">
        <v>1</v>
      </c>
      <c r="AA94" s="20" t="s">
        <v>2215</v>
      </c>
      <c r="AB94" s="20">
        <v>0</v>
      </c>
      <c r="AC94" s="20">
        <v>0</v>
      </c>
      <c r="AK94" s="20" t="s">
        <v>263</v>
      </c>
      <c r="AL94" s="20">
        <v>1</v>
      </c>
      <c r="AM94">
        <v>2</v>
      </c>
      <c r="AO94" s="20" t="s">
        <v>1293</v>
      </c>
      <c r="AP94" s="20">
        <v>3</v>
      </c>
    </row>
    <row r="95" spans="1:42" x14ac:dyDescent="0.25">
      <c r="A95" s="20" t="s">
        <v>232</v>
      </c>
      <c r="B95" s="20" t="s">
        <v>2191</v>
      </c>
      <c r="C95" s="20">
        <v>70305</v>
      </c>
      <c r="E95" s="20" t="s">
        <v>1825</v>
      </c>
      <c r="F95" s="20" t="s">
        <v>2191</v>
      </c>
      <c r="G95" s="20">
        <v>0</v>
      </c>
      <c r="I95" s="20" t="s">
        <v>291</v>
      </c>
      <c r="J95" s="20">
        <v>19408</v>
      </c>
      <c r="L95" s="20" t="s">
        <v>617</v>
      </c>
      <c r="M95" s="20">
        <v>21865</v>
      </c>
      <c r="U95" s="20" t="s">
        <v>737</v>
      </c>
      <c r="V95" s="20">
        <v>6</v>
      </c>
      <c r="X95" s="20" t="s">
        <v>467</v>
      </c>
      <c r="Y95" s="20">
        <v>1</v>
      </c>
      <c r="AA95" s="20" t="s">
        <v>1363</v>
      </c>
      <c r="AB95" s="20">
        <v>-53250.86</v>
      </c>
      <c r="AC95" s="20">
        <v>294293.61</v>
      </c>
      <c r="AK95" s="20" t="s">
        <v>2536</v>
      </c>
      <c r="AL95" s="20">
        <v>7</v>
      </c>
      <c r="AM95">
        <v>52</v>
      </c>
      <c r="AO95" s="20" t="s">
        <v>311</v>
      </c>
      <c r="AP95" s="20">
        <v>4</v>
      </c>
    </row>
    <row r="96" spans="1:42" x14ac:dyDescent="0.25">
      <c r="A96" s="20" t="s">
        <v>2202</v>
      </c>
      <c r="B96" s="20" t="s">
        <v>2191</v>
      </c>
      <c r="C96" s="20">
        <v>0</v>
      </c>
      <c r="E96" s="20" t="s">
        <v>2029</v>
      </c>
      <c r="F96" s="20" t="s">
        <v>2191</v>
      </c>
      <c r="G96" s="20">
        <v>0</v>
      </c>
      <c r="I96" s="20" t="s">
        <v>1115</v>
      </c>
      <c r="J96" s="20">
        <v>15971.96</v>
      </c>
      <c r="L96" s="20" t="s">
        <v>621</v>
      </c>
      <c r="M96" s="20">
        <v>11681</v>
      </c>
      <c r="U96" s="20" t="s">
        <v>524</v>
      </c>
      <c r="V96" s="20">
        <v>2</v>
      </c>
      <c r="X96" s="20" t="s">
        <v>641</v>
      </c>
      <c r="Y96" s="20">
        <v>1</v>
      </c>
      <c r="AA96" s="20" t="s">
        <v>2216</v>
      </c>
      <c r="AB96" s="20">
        <v>0</v>
      </c>
      <c r="AC96" s="20">
        <v>0</v>
      </c>
      <c r="AK96" s="20" t="s">
        <v>124</v>
      </c>
      <c r="AL96" s="20">
        <v>18</v>
      </c>
      <c r="AM96">
        <v>40</v>
      </c>
      <c r="AO96" s="20" t="s">
        <v>723</v>
      </c>
      <c r="AP96" s="20">
        <v>6</v>
      </c>
    </row>
    <row r="97" spans="1:42" x14ac:dyDescent="0.25">
      <c r="A97" s="20" t="s">
        <v>2120</v>
      </c>
      <c r="B97" s="20" t="s">
        <v>2191</v>
      </c>
      <c r="C97" s="20">
        <v>0</v>
      </c>
      <c r="E97" s="20" t="s">
        <v>83</v>
      </c>
      <c r="F97" s="20" t="s">
        <v>2191</v>
      </c>
      <c r="G97" s="20">
        <v>29593.1</v>
      </c>
      <c r="I97" s="20" t="s">
        <v>1211</v>
      </c>
      <c r="J97" s="20">
        <v>9215</v>
      </c>
      <c r="L97" s="20" t="s">
        <v>624</v>
      </c>
      <c r="M97" s="20">
        <v>7963</v>
      </c>
      <c r="U97" s="20" t="s">
        <v>1482</v>
      </c>
      <c r="V97" s="20">
        <v>11</v>
      </c>
      <c r="X97" s="20" t="s">
        <v>480</v>
      </c>
      <c r="Y97" s="20">
        <v>1</v>
      </c>
      <c r="AA97" s="20" t="s">
        <v>1554</v>
      </c>
      <c r="AB97" s="20">
        <v>-1630.09</v>
      </c>
      <c r="AC97" s="20">
        <v>0</v>
      </c>
      <c r="AK97" s="20" t="s">
        <v>1009</v>
      </c>
      <c r="AL97" s="20">
        <v>4</v>
      </c>
      <c r="AM97">
        <v>9</v>
      </c>
      <c r="AO97" s="20" t="s">
        <v>1459</v>
      </c>
      <c r="AP97" s="20">
        <v>4</v>
      </c>
    </row>
    <row r="98" spans="1:42" x14ac:dyDescent="0.25">
      <c r="A98" s="20" t="s">
        <v>1952</v>
      </c>
      <c r="B98" s="20" t="s">
        <v>2191</v>
      </c>
      <c r="C98" s="20">
        <v>0</v>
      </c>
      <c r="E98" s="20" t="s">
        <v>1353</v>
      </c>
      <c r="F98" s="20" t="s">
        <v>2191</v>
      </c>
      <c r="G98" s="20">
        <v>0</v>
      </c>
      <c r="I98" s="20" t="s">
        <v>1215</v>
      </c>
      <c r="J98" s="20">
        <v>-655.95</v>
      </c>
      <c r="L98" s="20" t="s">
        <v>636</v>
      </c>
      <c r="M98" s="20">
        <v>3645.58</v>
      </c>
      <c r="U98" s="20" t="s">
        <v>655</v>
      </c>
      <c r="V98" s="20">
        <v>3</v>
      </c>
      <c r="X98" s="20" t="s">
        <v>917</v>
      </c>
      <c r="Y98" s="20">
        <v>2</v>
      </c>
      <c r="AA98" s="20" t="s">
        <v>2217</v>
      </c>
      <c r="AB98" s="20">
        <v>0</v>
      </c>
      <c r="AC98" s="20">
        <v>0</v>
      </c>
      <c r="AK98" s="20" t="s">
        <v>1266</v>
      </c>
      <c r="AL98" s="20">
        <v>6</v>
      </c>
      <c r="AM98">
        <v>11</v>
      </c>
      <c r="AO98" s="20" t="s">
        <v>503</v>
      </c>
      <c r="AP98" s="20">
        <v>1</v>
      </c>
    </row>
    <row r="99" spans="1:42" x14ac:dyDescent="0.25">
      <c r="A99" s="20" t="s">
        <v>1820</v>
      </c>
      <c r="B99" s="20" t="s">
        <v>2191</v>
      </c>
      <c r="C99" s="20">
        <v>0</v>
      </c>
      <c r="E99" s="20" t="s">
        <v>2000</v>
      </c>
      <c r="F99" s="20" t="s">
        <v>2191</v>
      </c>
      <c r="G99" s="20">
        <v>0</v>
      </c>
      <c r="I99" s="20" t="s">
        <v>1217</v>
      </c>
      <c r="J99" s="20">
        <v>2293</v>
      </c>
      <c r="L99" s="20" t="s">
        <v>590</v>
      </c>
      <c r="M99" s="20">
        <v>10887.9</v>
      </c>
      <c r="U99" s="20" t="s">
        <v>745</v>
      </c>
      <c r="V99" s="20">
        <v>4</v>
      </c>
      <c r="X99" s="20" t="s">
        <v>296</v>
      </c>
      <c r="Y99" s="20">
        <v>1</v>
      </c>
      <c r="AA99" s="20" t="s">
        <v>2218</v>
      </c>
      <c r="AB99" s="20">
        <v>0</v>
      </c>
      <c r="AC99" s="20">
        <v>0</v>
      </c>
      <c r="AK99" s="20" t="s">
        <v>1275</v>
      </c>
      <c r="AL99" s="20"/>
      <c r="AM99">
        <v>1</v>
      </c>
      <c r="AO99" s="20" t="s">
        <v>648</v>
      </c>
      <c r="AP99" s="20">
        <v>7</v>
      </c>
    </row>
    <row r="100" spans="1:42" x14ac:dyDescent="0.25">
      <c r="A100" s="20" t="s">
        <v>877</v>
      </c>
      <c r="B100" s="20" t="s">
        <v>2191</v>
      </c>
      <c r="C100" s="20">
        <v>24371.03</v>
      </c>
      <c r="E100" s="20" t="s">
        <v>1956</v>
      </c>
      <c r="F100" s="20" t="s">
        <v>2191</v>
      </c>
      <c r="G100" s="20">
        <v>0</v>
      </c>
      <c r="I100" s="20" t="s">
        <v>435</v>
      </c>
      <c r="J100" s="20">
        <v>39055.25</v>
      </c>
      <c r="L100" s="20" t="s">
        <v>1448</v>
      </c>
      <c r="M100" s="20">
        <v>0</v>
      </c>
      <c r="U100" s="20" t="s">
        <v>1390</v>
      </c>
      <c r="V100" s="20">
        <v>2</v>
      </c>
      <c r="X100" s="20" t="s">
        <v>1199</v>
      </c>
      <c r="Y100" s="20">
        <v>3</v>
      </c>
      <c r="AA100" s="20" t="s">
        <v>2219</v>
      </c>
      <c r="AB100" s="20">
        <v>0</v>
      </c>
      <c r="AC100" s="20">
        <v>0</v>
      </c>
      <c r="AK100" s="20" t="s">
        <v>1277</v>
      </c>
      <c r="AL100" s="20">
        <v>2</v>
      </c>
      <c r="AM100">
        <v>2</v>
      </c>
      <c r="AO100" s="20" t="s">
        <v>172</v>
      </c>
      <c r="AP100" s="20">
        <v>2</v>
      </c>
    </row>
    <row r="101" spans="1:42" x14ac:dyDescent="0.25">
      <c r="A101" s="20" t="s">
        <v>1855</v>
      </c>
      <c r="B101" s="20" t="s">
        <v>2191</v>
      </c>
      <c r="C101" s="20">
        <v>0</v>
      </c>
      <c r="E101" s="20" t="s">
        <v>1360</v>
      </c>
      <c r="F101" s="20" t="s">
        <v>2191</v>
      </c>
      <c r="G101" s="20">
        <v>0</v>
      </c>
      <c r="I101" s="20" t="s">
        <v>437</v>
      </c>
      <c r="J101" s="20">
        <v>2916.5</v>
      </c>
      <c r="L101" s="20" t="s">
        <v>610</v>
      </c>
      <c r="M101" s="20">
        <v>26075</v>
      </c>
      <c r="U101" s="20" t="s">
        <v>1158</v>
      </c>
      <c r="V101" s="20">
        <v>3</v>
      </c>
      <c r="X101" s="20" t="s">
        <v>668</v>
      </c>
      <c r="Y101" s="20">
        <v>5</v>
      </c>
      <c r="AA101" s="20" t="s">
        <v>2220</v>
      </c>
      <c r="AB101" s="20">
        <v>0</v>
      </c>
      <c r="AC101" s="20">
        <v>0</v>
      </c>
      <c r="AK101" s="20" t="s">
        <v>429</v>
      </c>
      <c r="AL101" s="20">
        <v>2</v>
      </c>
      <c r="AM101">
        <v>4</v>
      </c>
      <c r="AO101" s="20" t="s">
        <v>926</v>
      </c>
      <c r="AP101" s="20">
        <v>1</v>
      </c>
    </row>
    <row r="102" spans="1:42" x14ac:dyDescent="0.25">
      <c r="A102" s="20" t="s">
        <v>1998</v>
      </c>
      <c r="B102" s="20" t="s">
        <v>2191</v>
      </c>
      <c r="C102" s="20">
        <v>0</v>
      </c>
      <c r="E102" s="20" t="s">
        <v>2208</v>
      </c>
      <c r="F102" s="20" t="s">
        <v>2191</v>
      </c>
      <c r="G102" s="20">
        <v>0</v>
      </c>
      <c r="I102" s="20" t="s">
        <v>439</v>
      </c>
      <c r="J102" s="20">
        <v>12396</v>
      </c>
      <c r="L102" s="20" t="s">
        <v>1451</v>
      </c>
      <c r="M102" s="20">
        <v>0</v>
      </c>
      <c r="U102" s="20" t="s">
        <v>407</v>
      </c>
      <c r="V102" s="20">
        <v>2</v>
      </c>
      <c r="X102" s="20" t="s">
        <v>1127</v>
      </c>
      <c r="Y102" s="20">
        <v>3</v>
      </c>
      <c r="AA102" s="20" t="s">
        <v>2221</v>
      </c>
      <c r="AB102" s="20">
        <v>0</v>
      </c>
      <c r="AC102" s="20">
        <v>0</v>
      </c>
      <c r="AK102" s="20" t="s">
        <v>270</v>
      </c>
      <c r="AL102" s="20">
        <v>45</v>
      </c>
      <c r="AM102">
        <v>148</v>
      </c>
      <c r="AO102" s="20" t="s">
        <v>650</v>
      </c>
      <c r="AP102" s="20">
        <v>1</v>
      </c>
    </row>
    <row r="103" spans="1:42" x14ac:dyDescent="0.25">
      <c r="A103" s="20" t="s">
        <v>2148</v>
      </c>
      <c r="B103" s="20" t="s">
        <v>2191</v>
      </c>
      <c r="C103" s="20">
        <v>0</v>
      </c>
      <c r="E103" s="20" t="s">
        <v>235</v>
      </c>
      <c r="F103" s="20" t="s">
        <v>2191</v>
      </c>
      <c r="G103" s="20">
        <v>0</v>
      </c>
      <c r="I103" s="20" t="s">
        <v>443</v>
      </c>
      <c r="J103" s="20">
        <v>22557</v>
      </c>
      <c r="L103" s="20" t="s">
        <v>1453</v>
      </c>
      <c r="M103" s="20">
        <v>6695</v>
      </c>
      <c r="U103" s="20" t="s">
        <v>1392</v>
      </c>
      <c r="V103" s="20">
        <v>7</v>
      </c>
      <c r="X103" s="20" t="s">
        <v>298</v>
      </c>
      <c r="Y103" s="20">
        <v>2</v>
      </c>
      <c r="AA103" s="20" t="s">
        <v>2151</v>
      </c>
      <c r="AB103" s="20">
        <v>0</v>
      </c>
      <c r="AC103" s="20">
        <v>0</v>
      </c>
      <c r="AK103" s="20" t="s">
        <v>1107</v>
      </c>
      <c r="AL103" s="20">
        <v>7</v>
      </c>
      <c r="AM103">
        <v>26</v>
      </c>
      <c r="AO103" s="20" t="s">
        <v>129</v>
      </c>
      <c r="AP103" s="20">
        <v>2</v>
      </c>
    </row>
    <row r="104" spans="1:42" x14ac:dyDescent="0.25">
      <c r="A104" s="20" t="s">
        <v>1953</v>
      </c>
      <c r="B104" s="20" t="s">
        <v>2191</v>
      </c>
      <c r="C104" s="20">
        <v>0</v>
      </c>
      <c r="E104" s="20" t="s">
        <v>886</v>
      </c>
      <c r="F104" s="20" t="s">
        <v>2191</v>
      </c>
      <c r="G104" s="20">
        <v>1937</v>
      </c>
      <c r="I104" s="20" t="s">
        <v>445</v>
      </c>
      <c r="J104" s="20">
        <v>104579.25</v>
      </c>
      <c r="L104" s="20" t="s">
        <v>1455</v>
      </c>
      <c r="M104" s="20">
        <v>-1512.55</v>
      </c>
      <c r="U104" s="20" t="s">
        <v>341</v>
      </c>
      <c r="V104" s="20">
        <v>4</v>
      </c>
      <c r="X104" s="20" t="s">
        <v>300</v>
      </c>
      <c r="Y104" s="20">
        <v>2</v>
      </c>
      <c r="AA104" s="20" t="s">
        <v>2222</v>
      </c>
      <c r="AB104" s="20">
        <v>0</v>
      </c>
      <c r="AC104" s="20">
        <v>0</v>
      </c>
      <c r="AK104" s="20" t="s">
        <v>1109</v>
      </c>
      <c r="AL104" s="20">
        <v>0</v>
      </c>
      <c r="AM104">
        <v>2</v>
      </c>
      <c r="AO104" s="20" t="s">
        <v>1705</v>
      </c>
      <c r="AP104" s="20">
        <v>1</v>
      </c>
    </row>
    <row r="105" spans="1:42" x14ac:dyDescent="0.25">
      <c r="A105" s="20" t="s">
        <v>2203</v>
      </c>
      <c r="B105" s="20" t="s">
        <v>2191</v>
      </c>
      <c r="C105" s="20">
        <v>0</v>
      </c>
      <c r="E105" s="20" t="s">
        <v>86</v>
      </c>
      <c r="F105" s="20" t="s">
        <v>2191</v>
      </c>
      <c r="G105" s="20">
        <v>0</v>
      </c>
      <c r="I105" s="20" t="s">
        <v>449</v>
      </c>
      <c r="J105" s="20">
        <v>5883</v>
      </c>
      <c r="L105" s="20" t="s">
        <v>1456</v>
      </c>
      <c r="M105" s="20">
        <v>5018</v>
      </c>
      <c r="U105" s="20" t="s">
        <v>814</v>
      </c>
      <c r="V105" s="20">
        <v>1</v>
      </c>
      <c r="X105" s="20" t="s">
        <v>1290</v>
      </c>
      <c r="Y105" s="20">
        <v>2</v>
      </c>
      <c r="AA105" s="20" t="s">
        <v>1556</v>
      </c>
      <c r="AB105" s="20">
        <v>0</v>
      </c>
      <c r="AC105" s="20">
        <v>0</v>
      </c>
      <c r="AK105" s="20" t="s">
        <v>280</v>
      </c>
      <c r="AL105" s="20"/>
      <c r="AM105">
        <v>1</v>
      </c>
      <c r="AO105" s="20" t="s">
        <v>295</v>
      </c>
      <c r="AP105" s="20">
        <v>1</v>
      </c>
    </row>
    <row r="106" spans="1:42" x14ac:dyDescent="0.25">
      <c r="A106" s="20" t="s">
        <v>1821</v>
      </c>
      <c r="B106" s="20" t="s">
        <v>2191</v>
      </c>
      <c r="C106" s="20">
        <v>0</v>
      </c>
      <c r="E106" s="20" t="s">
        <v>2030</v>
      </c>
      <c r="F106" s="20" t="s">
        <v>2191</v>
      </c>
      <c r="G106" s="20">
        <v>0</v>
      </c>
      <c r="I106" s="20" t="s">
        <v>245</v>
      </c>
      <c r="J106" s="20">
        <v>7302</v>
      </c>
      <c r="L106" s="20" t="s">
        <v>1461</v>
      </c>
      <c r="M106" s="20">
        <v>-2525.36</v>
      </c>
      <c r="U106" s="20" t="s">
        <v>160</v>
      </c>
      <c r="V106" s="20">
        <v>1</v>
      </c>
      <c r="X106" s="20" t="s">
        <v>305</v>
      </c>
      <c r="Y106" s="20">
        <v>1</v>
      </c>
      <c r="AA106" s="20" t="s">
        <v>1071</v>
      </c>
      <c r="AB106" s="20">
        <v>-7187.24</v>
      </c>
      <c r="AC106" s="20">
        <v>47669.75</v>
      </c>
      <c r="AK106" s="20" t="s">
        <v>282</v>
      </c>
      <c r="AL106" s="20">
        <v>13</v>
      </c>
      <c r="AM106">
        <v>28</v>
      </c>
      <c r="AO106" s="20" t="s">
        <v>930</v>
      </c>
      <c r="AP106" s="20">
        <v>1</v>
      </c>
    </row>
    <row r="107" spans="1:42" x14ac:dyDescent="0.25">
      <c r="A107" s="20" t="s">
        <v>685</v>
      </c>
      <c r="B107" s="20" t="s">
        <v>2191</v>
      </c>
      <c r="C107" s="20">
        <v>12165</v>
      </c>
      <c r="E107" s="20" t="s">
        <v>1826</v>
      </c>
      <c r="F107" s="20" t="s">
        <v>2191</v>
      </c>
      <c r="G107" s="20">
        <v>0</v>
      </c>
      <c r="I107" s="20" t="s">
        <v>455</v>
      </c>
      <c r="J107" s="20">
        <v>5093</v>
      </c>
      <c r="L107" s="20" t="s">
        <v>1462</v>
      </c>
      <c r="M107" s="20">
        <v>16076</v>
      </c>
      <c r="U107" s="20" t="s">
        <v>519</v>
      </c>
      <c r="V107" s="20">
        <v>1</v>
      </c>
      <c r="X107" s="20" t="s">
        <v>493</v>
      </c>
      <c r="Y107" s="20">
        <v>1</v>
      </c>
      <c r="AA107" s="20" t="s">
        <v>2223</v>
      </c>
      <c r="AB107" s="20">
        <v>0</v>
      </c>
      <c r="AC107" s="20">
        <v>0</v>
      </c>
      <c r="AK107" s="20" t="s">
        <v>241</v>
      </c>
      <c r="AL107" s="20">
        <v>2</v>
      </c>
      <c r="AM107">
        <v>22</v>
      </c>
      <c r="AO107" s="20" t="s">
        <v>728</v>
      </c>
      <c r="AP107" s="20">
        <v>3</v>
      </c>
    </row>
    <row r="108" spans="1:42" x14ac:dyDescent="0.25">
      <c r="A108" s="20" t="s">
        <v>1550</v>
      </c>
      <c r="B108" s="20" t="s">
        <v>2191</v>
      </c>
      <c r="C108" s="20">
        <v>0</v>
      </c>
      <c r="E108" s="20" t="s">
        <v>1361</v>
      </c>
      <c r="F108" s="20" t="s">
        <v>2191</v>
      </c>
      <c r="G108" s="20">
        <v>0</v>
      </c>
      <c r="I108" s="20" t="s">
        <v>457</v>
      </c>
      <c r="J108" s="20">
        <v>19681</v>
      </c>
      <c r="L108" s="20" t="s">
        <v>1672</v>
      </c>
      <c r="M108" s="20">
        <v>7406.99</v>
      </c>
      <c r="U108" s="20" t="s">
        <v>166</v>
      </c>
      <c r="V108" s="20">
        <v>1</v>
      </c>
      <c r="X108" s="20" t="s">
        <v>1296</v>
      </c>
      <c r="Y108" s="20">
        <v>3</v>
      </c>
      <c r="AA108" s="20" t="s">
        <v>1365</v>
      </c>
      <c r="AB108" s="20">
        <v>2721.83</v>
      </c>
      <c r="AC108" s="20">
        <v>148451.4</v>
      </c>
      <c r="AK108" s="20" t="s">
        <v>252</v>
      </c>
      <c r="AL108" s="20">
        <v>16</v>
      </c>
      <c r="AM108">
        <v>32</v>
      </c>
      <c r="AO108" s="20" t="s">
        <v>321</v>
      </c>
      <c r="AP108" s="20">
        <v>2</v>
      </c>
    </row>
    <row r="109" spans="1:42" x14ac:dyDescent="0.25">
      <c r="A109" s="20" t="s">
        <v>234</v>
      </c>
      <c r="B109" s="20" t="s">
        <v>2191</v>
      </c>
      <c r="C109" s="20">
        <v>0</v>
      </c>
      <c r="E109" s="20" t="s">
        <v>355</v>
      </c>
      <c r="F109" s="20" t="s">
        <v>2191</v>
      </c>
      <c r="G109" s="20">
        <v>11126</v>
      </c>
      <c r="I109" s="20" t="s">
        <v>58</v>
      </c>
      <c r="J109" s="20">
        <v>3598.9</v>
      </c>
      <c r="L109" s="20" t="s">
        <v>475</v>
      </c>
      <c r="M109" s="20">
        <v>31915</v>
      </c>
      <c r="U109" s="20" t="s">
        <v>350</v>
      </c>
      <c r="V109" s="20">
        <v>2</v>
      </c>
      <c r="X109" s="20" t="s">
        <v>723</v>
      </c>
      <c r="Y109" s="20">
        <v>4</v>
      </c>
      <c r="AA109" s="20" t="s">
        <v>691</v>
      </c>
      <c r="AB109" s="20">
        <v>342473.38</v>
      </c>
      <c r="AC109" s="20">
        <v>1157061.7</v>
      </c>
      <c r="AK109" s="20" t="s">
        <v>287</v>
      </c>
      <c r="AL109" s="20">
        <v>3</v>
      </c>
      <c r="AM109">
        <v>6</v>
      </c>
      <c r="AO109" s="20" t="s">
        <v>1135</v>
      </c>
      <c r="AP109" s="20">
        <v>2</v>
      </c>
    </row>
    <row r="110" spans="1:42" x14ac:dyDescent="0.25">
      <c r="A110" s="20" t="s">
        <v>1359</v>
      </c>
      <c r="B110" s="20" t="s">
        <v>2191</v>
      </c>
      <c r="C110" s="20">
        <v>0</v>
      </c>
      <c r="E110" s="20" t="s">
        <v>1957</v>
      </c>
      <c r="F110" s="20" t="s">
        <v>2191</v>
      </c>
      <c r="G110" s="20">
        <v>0</v>
      </c>
      <c r="I110" s="20" t="s">
        <v>463</v>
      </c>
      <c r="J110" s="20">
        <v>21890</v>
      </c>
      <c r="L110" s="20" t="s">
        <v>467</v>
      </c>
      <c r="M110" s="20">
        <v>10966</v>
      </c>
      <c r="U110" s="20" t="s">
        <v>352</v>
      </c>
      <c r="V110" s="20">
        <v>2</v>
      </c>
      <c r="X110" s="20" t="s">
        <v>1459</v>
      </c>
      <c r="Y110" s="20">
        <v>2</v>
      </c>
      <c r="AA110" s="20" t="s">
        <v>2224</v>
      </c>
      <c r="AB110" s="20">
        <v>0</v>
      </c>
      <c r="AC110" s="20">
        <v>0</v>
      </c>
      <c r="AK110" s="20" t="s">
        <v>2636</v>
      </c>
      <c r="AL110" s="20">
        <v>1</v>
      </c>
      <c r="AM110">
        <v>1</v>
      </c>
      <c r="AO110" s="20" t="s">
        <v>459</v>
      </c>
      <c r="AP110" s="20">
        <v>2</v>
      </c>
    </row>
    <row r="111" spans="1:42" x14ac:dyDescent="0.25">
      <c r="A111" s="20" t="s">
        <v>1945</v>
      </c>
      <c r="B111" s="20" t="s">
        <v>2191</v>
      </c>
      <c r="C111" s="20">
        <v>0</v>
      </c>
      <c r="E111" s="20" t="s">
        <v>2001</v>
      </c>
      <c r="F111" s="20" t="s">
        <v>2191</v>
      </c>
      <c r="G111" s="20">
        <v>0</v>
      </c>
      <c r="I111" s="20" t="s">
        <v>1282</v>
      </c>
      <c r="J111" s="20">
        <v>905</v>
      </c>
      <c r="L111" s="20" t="s">
        <v>480</v>
      </c>
      <c r="M111" s="20">
        <v>11393.23</v>
      </c>
      <c r="U111" s="20" t="s">
        <v>1171</v>
      </c>
      <c r="V111" s="20">
        <v>1</v>
      </c>
      <c r="X111" s="20" t="s">
        <v>1018</v>
      </c>
      <c r="Y111" s="20">
        <v>1</v>
      </c>
      <c r="AA111" s="20" t="s">
        <v>2225</v>
      </c>
      <c r="AB111" s="20">
        <v>0</v>
      </c>
      <c r="AC111" s="20">
        <v>0</v>
      </c>
      <c r="AK111" s="20" t="s">
        <v>289</v>
      </c>
      <c r="AL111" s="20">
        <v>5</v>
      </c>
      <c r="AM111">
        <v>26</v>
      </c>
      <c r="AO111" s="20" t="s">
        <v>75</v>
      </c>
      <c r="AP111" s="20">
        <v>1</v>
      </c>
    </row>
    <row r="112" spans="1:42" x14ac:dyDescent="0.25">
      <c r="A112" s="20" t="s">
        <v>1954</v>
      </c>
      <c r="B112" s="20" t="s">
        <v>2191</v>
      </c>
      <c r="C112" s="20">
        <v>0</v>
      </c>
      <c r="E112" s="20" t="s">
        <v>2150</v>
      </c>
      <c r="F112" s="20" t="s">
        <v>2191</v>
      </c>
      <c r="G112" s="20">
        <v>0</v>
      </c>
      <c r="I112" s="20" t="s">
        <v>1285</v>
      </c>
      <c r="J112" s="20">
        <v>23143.94</v>
      </c>
      <c r="L112" s="20" t="s">
        <v>917</v>
      </c>
      <c r="M112" s="20">
        <v>8370</v>
      </c>
      <c r="U112" s="20" t="s">
        <v>1172</v>
      </c>
      <c r="V112" s="20">
        <v>7</v>
      </c>
      <c r="X112" s="20" t="s">
        <v>503</v>
      </c>
      <c r="Y112" s="20">
        <v>20</v>
      </c>
      <c r="AA112" s="20" t="s">
        <v>1557</v>
      </c>
      <c r="AB112" s="20">
        <v>-7786.92</v>
      </c>
      <c r="AC112" s="20">
        <v>0</v>
      </c>
      <c r="AK112" s="20" t="s">
        <v>1113</v>
      </c>
      <c r="AL112" s="20">
        <v>2</v>
      </c>
      <c r="AM112">
        <v>6</v>
      </c>
      <c r="AO112" s="20" t="s">
        <v>1234</v>
      </c>
      <c r="AP112" s="20">
        <v>24</v>
      </c>
    </row>
    <row r="113" spans="1:42" x14ac:dyDescent="0.25">
      <c r="A113" s="20" t="s">
        <v>880</v>
      </c>
      <c r="B113" s="20" t="s">
        <v>2191</v>
      </c>
      <c r="C113" s="20">
        <v>0</v>
      </c>
      <c r="E113" s="20" t="s">
        <v>2210</v>
      </c>
      <c r="F113" s="20" t="s">
        <v>2191</v>
      </c>
      <c r="G113" s="20">
        <v>0</v>
      </c>
      <c r="I113" s="20" t="s">
        <v>104</v>
      </c>
      <c r="J113" s="20">
        <v>58435.199999999997</v>
      </c>
      <c r="L113" s="20" t="s">
        <v>483</v>
      </c>
      <c r="M113" s="20">
        <v>3420</v>
      </c>
      <c r="U113" s="20" t="s">
        <v>1043</v>
      </c>
      <c r="V113" s="20">
        <v>1</v>
      </c>
      <c r="X113" s="20" t="s">
        <v>81</v>
      </c>
      <c r="Y113" s="20">
        <v>1</v>
      </c>
      <c r="AA113" s="20" t="s">
        <v>2227</v>
      </c>
      <c r="AB113" s="20">
        <v>0</v>
      </c>
      <c r="AC113" s="20">
        <v>0</v>
      </c>
      <c r="AK113" s="20" t="s">
        <v>291</v>
      </c>
      <c r="AL113" s="20">
        <v>1</v>
      </c>
      <c r="AO113" s="20" t="s">
        <v>737</v>
      </c>
      <c r="AP113" s="20">
        <v>11</v>
      </c>
    </row>
    <row r="114" spans="1:42" x14ac:dyDescent="0.25">
      <c r="A114" s="20" t="s">
        <v>1822</v>
      </c>
      <c r="B114" s="20" t="s">
        <v>2191</v>
      </c>
      <c r="C114" s="20">
        <v>0</v>
      </c>
      <c r="E114" s="20" t="s">
        <v>85</v>
      </c>
      <c r="F114" s="20" t="s">
        <v>2191</v>
      </c>
      <c r="G114" s="20">
        <v>15144.55</v>
      </c>
      <c r="I114" s="20" t="s">
        <v>425</v>
      </c>
      <c r="J114" s="20">
        <v>21615.77</v>
      </c>
      <c r="L114" s="20" t="s">
        <v>1000</v>
      </c>
      <c r="M114" s="20">
        <v>2781.7</v>
      </c>
      <c r="U114" s="20" t="s">
        <v>408</v>
      </c>
      <c r="V114" s="20">
        <v>2</v>
      </c>
      <c r="X114" s="20" t="s">
        <v>648</v>
      </c>
      <c r="Y114" s="20">
        <v>1</v>
      </c>
      <c r="AA114" s="20" t="s">
        <v>1558</v>
      </c>
      <c r="AB114" s="20">
        <v>-10595.24</v>
      </c>
      <c r="AC114" s="20">
        <v>30430.02</v>
      </c>
      <c r="AK114" s="20" t="s">
        <v>1115</v>
      </c>
      <c r="AL114" s="20">
        <v>3</v>
      </c>
      <c r="AM114">
        <v>12</v>
      </c>
      <c r="AO114" s="20" t="s">
        <v>1307</v>
      </c>
      <c r="AP114" s="20">
        <v>1</v>
      </c>
    </row>
    <row r="115" spans="1:42" x14ac:dyDescent="0.25">
      <c r="A115" s="20" t="s">
        <v>2149</v>
      </c>
      <c r="B115" s="20" t="s">
        <v>2191</v>
      </c>
      <c r="C115" s="20">
        <v>0</v>
      </c>
      <c r="E115" s="20" t="s">
        <v>1958</v>
      </c>
      <c r="F115" s="20" t="s">
        <v>2191</v>
      </c>
      <c r="G115" s="20">
        <v>0</v>
      </c>
      <c r="I115" s="20" t="s">
        <v>613</v>
      </c>
      <c r="J115" s="20">
        <v>18123.060000000001</v>
      </c>
      <c r="L115" s="20" t="s">
        <v>1199</v>
      </c>
      <c r="M115" s="20">
        <v>4275.4399999999996</v>
      </c>
      <c r="U115" s="20" t="s">
        <v>1241</v>
      </c>
      <c r="V115" s="20">
        <v>1</v>
      </c>
      <c r="X115" s="20" t="s">
        <v>926</v>
      </c>
      <c r="Y115" s="20">
        <v>1</v>
      </c>
      <c r="AA115" s="20" t="s">
        <v>91</v>
      </c>
      <c r="AB115" s="20">
        <v>2191.2199999999998</v>
      </c>
      <c r="AC115" s="20">
        <v>11896.5</v>
      </c>
      <c r="AK115" s="20" t="s">
        <v>1211</v>
      </c>
      <c r="AL115" s="20">
        <v>4</v>
      </c>
      <c r="AM115">
        <v>14</v>
      </c>
      <c r="AO115" s="20" t="s">
        <v>225</v>
      </c>
      <c r="AP115" s="20">
        <v>3</v>
      </c>
    </row>
    <row r="116" spans="1:42" x14ac:dyDescent="0.25">
      <c r="A116" s="20" t="s">
        <v>2204</v>
      </c>
      <c r="B116" s="20" t="s">
        <v>2191</v>
      </c>
      <c r="C116" s="20">
        <v>0</v>
      </c>
      <c r="E116" s="20" t="s">
        <v>2985</v>
      </c>
      <c r="F116" s="20" t="s">
        <v>2191</v>
      </c>
      <c r="G116" s="20">
        <v>0</v>
      </c>
      <c r="I116" s="20" t="s">
        <v>619</v>
      </c>
      <c r="J116" s="20">
        <v>5052</v>
      </c>
      <c r="L116" s="20" t="s">
        <v>646</v>
      </c>
      <c r="M116" s="20">
        <v>2538</v>
      </c>
      <c r="U116" s="20" t="s">
        <v>387</v>
      </c>
      <c r="V116" s="20">
        <v>1</v>
      </c>
      <c r="X116" s="20" t="s">
        <v>650</v>
      </c>
      <c r="Y116" s="20">
        <v>1</v>
      </c>
      <c r="AA116" s="20" t="s">
        <v>2090</v>
      </c>
      <c r="AB116" s="20">
        <v>0</v>
      </c>
      <c r="AC116" s="20">
        <v>0</v>
      </c>
      <c r="AK116" s="20" t="s">
        <v>1117</v>
      </c>
      <c r="AL116" s="20">
        <v>4</v>
      </c>
      <c r="AM116">
        <v>5</v>
      </c>
      <c r="AO116" s="20" t="s">
        <v>524</v>
      </c>
      <c r="AP116" s="20">
        <v>1</v>
      </c>
    </row>
    <row r="117" spans="1:42" x14ac:dyDescent="0.25">
      <c r="A117" s="20" t="s">
        <v>1955</v>
      </c>
      <c r="B117" s="20" t="s">
        <v>2191</v>
      </c>
      <c r="C117" s="20">
        <v>0</v>
      </c>
      <c r="E117" s="20" t="s">
        <v>2165</v>
      </c>
      <c r="F117" s="20" t="s">
        <v>2191</v>
      </c>
      <c r="G117" s="20">
        <v>0</v>
      </c>
      <c r="I117" s="20" t="s">
        <v>621</v>
      </c>
      <c r="J117" s="20">
        <v>490</v>
      </c>
      <c r="L117" s="20" t="s">
        <v>668</v>
      </c>
      <c r="M117" s="20">
        <v>9849.4500000000007</v>
      </c>
      <c r="U117" s="20" t="s">
        <v>498</v>
      </c>
      <c r="V117" s="20">
        <v>1</v>
      </c>
      <c r="X117" s="20" t="s">
        <v>129</v>
      </c>
      <c r="Y117" s="20">
        <v>2</v>
      </c>
      <c r="AA117" s="20" t="s">
        <v>1002</v>
      </c>
      <c r="AB117" s="20">
        <v>1623751.44</v>
      </c>
      <c r="AC117" s="20">
        <v>894653.78</v>
      </c>
      <c r="AK117" s="20" t="s">
        <v>1119</v>
      </c>
      <c r="AL117" s="20">
        <v>4</v>
      </c>
      <c r="AM117">
        <v>10</v>
      </c>
      <c r="AO117" s="20" t="s">
        <v>1482</v>
      </c>
      <c r="AP117" s="20">
        <v>1</v>
      </c>
    </row>
    <row r="118" spans="1:42" x14ac:dyDescent="0.25">
      <c r="A118" s="20" t="s">
        <v>882</v>
      </c>
      <c r="B118" s="20" t="s">
        <v>2191</v>
      </c>
      <c r="C118" s="20">
        <v>2396</v>
      </c>
      <c r="E118" s="20" t="s">
        <v>2031</v>
      </c>
      <c r="F118" s="20" t="s">
        <v>2191</v>
      </c>
      <c r="G118" s="20">
        <v>0</v>
      </c>
      <c r="I118" s="20" t="s">
        <v>636</v>
      </c>
      <c r="J118" s="20">
        <v>8227.43</v>
      </c>
      <c r="L118" s="20" t="s">
        <v>1127</v>
      </c>
      <c r="M118" s="20">
        <v>1089</v>
      </c>
      <c r="U118" s="20" t="s">
        <v>2955</v>
      </c>
      <c r="V118" s="20">
        <v>1</v>
      </c>
      <c r="X118" s="20" t="s">
        <v>928</v>
      </c>
      <c r="Y118" s="20">
        <v>1</v>
      </c>
      <c r="AA118" s="20" t="s">
        <v>2229</v>
      </c>
      <c r="AB118" s="20">
        <v>0</v>
      </c>
      <c r="AC118" s="20">
        <v>0</v>
      </c>
      <c r="AK118" s="20" t="s">
        <v>1215</v>
      </c>
      <c r="AL118" s="20">
        <v>1</v>
      </c>
      <c r="AM118">
        <v>3</v>
      </c>
      <c r="AO118" s="20" t="s">
        <v>144</v>
      </c>
      <c r="AP118" s="20">
        <v>1</v>
      </c>
    </row>
    <row r="119" spans="1:42" x14ac:dyDescent="0.25">
      <c r="A119" s="20" t="s">
        <v>999</v>
      </c>
      <c r="B119" s="20" t="s">
        <v>2191</v>
      </c>
      <c r="C119" s="20">
        <v>0</v>
      </c>
      <c r="E119" s="20" t="s">
        <v>890</v>
      </c>
      <c r="F119" s="20" t="s">
        <v>2191</v>
      </c>
      <c r="G119" s="20">
        <v>0</v>
      </c>
      <c r="I119" s="20" t="s">
        <v>1444</v>
      </c>
      <c r="J119" s="20">
        <v>5192.4799999999996</v>
      </c>
      <c r="L119" s="20" t="s">
        <v>300</v>
      </c>
      <c r="M119" s="20">
        <v>1789.52</v>
      </c>
      <c r="U119" s="20" t="s">
        <v>996</v>
      </c>
      <c r="V119" s="20">
        <v>4</v>
      </c>
      <c r="X119" s="20" t="s">
        <v>131</v>
      </c>
      <c r="Y119" s="20">
        <v>1</v>
      </c>
      <c r="AA119" s="20" t="s">
        <v>2230</v>
      </c>
      <c r="AB119" s="20">
        <v>0</v>
      </c>
      <c r="AC119" s="20">
        <v>0</v>
      </c>
      <c r="AK119" s="20" t="s">
        <v>1217</v>
      </c>
      <c r="AL119" s="20">
        <v>3</v>
      </c>
      <c r="AM119">
        <v>12</v>
      </c>
      <c r="AO119" s="20" t="s">
        <v>655</v>
      </c>
      <c r="AP119" s="20">
        <v>1</v>
      </c>
    </row>
    <row r="120" spans="1:42" x14ac:dyDescent="0.25">
      <c r="A120" s="20" t="s">
        <v>1999</v>
      </c>
      <c r="B120" s="20" t="s">
        <v>2191</v>
      </c>
      <c r="C120" s="20">
        <v>0</v>
      </c>
      <c r="E120" s="20" t="s">
        <v>2032</v>
      </c>
      <c r="F120" s="20" t="s">
        <v>2191</v>
      </c>
      <c r="G120" s="20">
        <v>0</v>
      </c>
      <c r="I120" s="20" t="s">
        <v>590</v>
      </c>
      <c r="J120" s="20">
        <v>23523</v>
      </c>
      <c r="L120" s="20" t="s">
        <v>487</v>
      </c>
      <c r="M120" s="20">
        <v>13001</v>
      </c>
      <c r="U120" s="20" t="s">
        <v>1402</v>
      </c>
      <c r="V120" s="20">
        <v>5</v>
      </c>
      <c r="X120" s="20" t="s">
        <v>728</v>
      </c>
      <c r="Y120" s="20">
        <v>1</v>
      </c>
      <c r="AA120" s="20" t="s">
        <v>1559</v>
      </c>
      <c r="AB120" s="20">
        <v>-2818.16</v>
      </c>
      <c r="AC120" s="20">
        <v>0</v>
      </c>
      <c r="AK120" s="20" t="s">
        <v>435</v>
      </c>
      <c r="AL120" s="20">
        <v>3</v>
      </c>
      <c r="AM120">
        <v>9</v>
      </c>
      <c r="AO120" s="20" t="s">
        <v>1154</v>
      </c>
      <c r="AP120" s="20">
        <v>2</v>
      </c>
    </row>
    <row r="121" spans="1:42" x14ac:dyDescent="0.25">
      <c r="A121" s="20" t="s">
        <v>2205</v>
      </c>
      <c r="B121" s="20" t="s">
        <v>2191</v>
      </c>
      <c r="C121" s="20">
        <v>0</v>
      </c>
      <c r="E121" s="20" t="s">
        <v>588</v>
      </c>
      <c r="F121" s="20" t="s">
        <v>2191</v>
      </c>
      <c r="G121" s="20">
        <v>408.84</v>
      </c>
      <c r="I121" s="20" t="s">
        <v>1451</v>
      </c>
      <c r="J121" s="20">
        <v>2075</v>
      </c>
      <c r="L121" s="20" t="s">
        <v>122</v>
      </c>
      <c r="M121" s="20">
        <v>-1.24</v>
      </c>
      <c r="U121" s="20" t="s">
        <v>1178</v>
      </c>
      <c r="V121" s="20">
        <v>1</v>
      </c>
      <c r="X121" s="20" t="s">
        <v>321</v>
      </c>
      <c r="Y121" s="20">
        <v>4</v>
      </c>
      <c r="AA121" s="20" t="s">
        <v>2231</v>
      </c>
      <c r="AB121" s="20">
        <v>0</v>
      </c>
      <c r="AC121" s="20">
        <v>0</v>
      </c>
      <c r="AK121" s="20" t="s">
        <v>439</v>
      </c>
      <c r="AL121" s="20">
        <v>3</v>
      </c>
      <c r="AM121">
        <v>5</v>
      </c>
      <c r="AO121" s="20" t="s">
        <v>1484</v>
      </c>
      <c r="AP121" s="20">
        <v>2</v>
      </c>
    </row>
    <row r="122" spans="1:42" x14ac:dyDescent="0.25">
      <c r="A122" s="20" t="s">
        <v>687</v>
      </c>
      <c r="B122" s="20" t="s">
        <v>2191</v>
      </c>
      <c r="C122" s="20">
        <v>9662</v>
      </c>
      <c r="E122" s="20" t="s">
        <v>88</v>
      </c>
      <c r="F122" s="20" t="s">
        <v>2191</v>
      </c>
      <c r="G122" s="20">
        <v>23626</v>
      </c>
      <c r="I122" s="20" t="s">
        <v>1455</v>
      </c>
      <c r="J122" s="20">
        <v>566</v>
      </c>
      <c r="L122" s="20" t="s">
        <v>1290</v>
      </c>
      <c r="M122" s="20">
        <v>11678</v>
      </c>
      <c r="U122" s="20" t="s">
        <v>1405</v>
      </c>
      <c r="V122" s="20">
        <v>1</v>
      </c>
      <c r="X122" s="20" t="s">
        <v>520</v>
      </c>
      <c r="Y122" s="20">
        <v>1</v>
      </c>
      <c r="AA122" s="20" t="s">
        <v>2232</v>
      </c>
      <c r="AB122" s="20">
        <v>0</v>
      </c>
      <c r="AC122" s="20">
        <v>0</v>
      </c>
      <c r="AK122" s="20" t="s">
        <v>443</v>
      </c>
      <c r="AL122" s="20">
        <v>2</v>
      </c>
      <c r="AM122">
        <v>3</v>
      </c>
      <c r="AO122" s="20" t="s">
        <v>741</v>
      </c>
      <c r="AP122" s="20">
        <v>2</v>
      </c>
    </row>
    <row r="123" spans="1:42" x14ac:dyDescent="0.25">
      <c r="A123" s="20" t="s">
        <v>884</v>
      </c>
      <c r="B123" s="20" t="s">
        <v>2191</v>
      </c>
      <c r="C123" s="20">
        <v>30242</v>
      </c>
      <c r="E123" s="20" t="s">
        <v>1068</v>
      </c>
      <c r="F123" s="20" t="s">
        <v>2191</v>
      </c>
      <c r="G123" s="20">
        <v>0</v>
      </c>
      <c r="I123" s="20" t="s">
        <v>1456</v>
      </c>
      <c r="J123" s="20">
        <v>1952</v>
      </c>
      <c r="L123" s="20" t="s">
        <v>492</v>
      </c>
      <c r="M123" s="20">
        <v>16235</v>
      </c>
      <c r="U123" s="20" t="s">
        <v>178</v>
      </c>
      <c r="V123" s="20">
        <v>1</v>
      </c>
      <c r="X123" s="20" t="s">
        <v>75</v>
      </c>
      <c r="Y123" s="20">
        <v>6</v>
      </c>
      <c r="AA123" s="20" t="s">
        <v>2233</v>
      </c>
      <c r="AB123" s="20">
        <v>0</v>
      </c>
      <c r="AC123" s="20">
        <v>0</v>
      </c>
      <c r="AK123" s="20" t="s">
        <v>445</v>
      </c>
      <c r="AL123" s="20">
        <v>10</v>
      </c>
      <c r="AM123">
        <v>18</v>
      </c>
      <c r="AO123" s="20" t="s">
        <v>1034</v>
      </c>
      <c r="AP123" s="20">
        <v>3</v>
      </c>
    </row>
    <row r="124" spans="1:42" x14ac:dyDescent="0.25">
      <c r="A124" s="20" t="s">
        <v>1823</v>
      </c>
      <c r="B124" s="20" t="s">
        <v>2191</v>
      </c>
      <c r="C124" s="20">
        <v>0</v>
      </c>
      <c r="E124" s="20" t="s">
        <v>90</v>
      </c>
      <c r="F124" s="20" t="s">
        <v>2191</v>
      </c>
      <c r="G124" s="20">
        <v>-18992.93</v>
      </c>
      <c r="I124" s="20" t="s">
        <v>1461</v>
      </c>
      <c r="J124" s="20">
        <v>18611.669999999998</v>
      </c>
      <c r="L124" s="20" t="s">
        <v>305</v>
      </c>
      <c r="M124" s="20">
        <v>-2658.08</v>
      </c>
      <c r="U124" s="20" t="s">
        <v>560</v>
      </c>
      <c r="V124" s="20">
        <v>1</v>
      </c>
      <c r="X124" s="20" t="s">
        <v>1234</v>
      </c>
      <c r="Y124" s="20">
        <v>3</v>
      </c>
      <c r="AA124" s="20" t="s">
        <v>1074</v>
      </c>
      <c r="AB124" s="20">
        <v>25.63</v>
      </c>
      <c r="AC124" s="20">
        <v>1661.83</v>
      </c>
      <c r="AK124" s="20" t="s">
        <v>450</v>
      </c>
      <c r="AL124" s="20">
        <v>0</v>
      </c>
      <c r="AM124">
        <v>3</v>
      </c>
      <c r="AO124" s="20" t="s">
        <v>1390</v>
      </c>
      <c r="AP124" s="20">
        <v>1</v>
      </c>
    </row>
    <row r="125" spans="1:42" x14ac:dyDescent="0.25">
      <c r="A125" s="20" t="s">
        <v>1824</v>
      </c>
      <c r="B125" s="20" t="s">
        <v>2191</v>
      </c>
      <c r="C125" s="20">
        <v>0</v>
      </c>
      <c r="E125" s="20" t="s">
        <v>388</v>
      </c>
      <c r="F125" s="20" t="s">
        <v>2191</v>
      </c>
      <c r="G125" s="20">
        <v>0</v>
      </c>
      <c r="I125" s="20" t="s">
        <v>1462</v>
      </c>
      <c r="J125" s="20">
        <v>8724</v>
      </c>
      <c r="L125" s="20" t="s">
        <v>307</v>
      </c>
      <c r="M125" s="20">
        <v>3407</v>
      </c>
      <c r="U125" s="20" t="s">
        <v>1407</v>
      </c>
      <c r="V125" s="20">
        <v>3</v>
      </c>
      <c r="X125" s="20" t="s">
        <v>737</v>
      </c>
      <c r="Y125" s="20">
        <v>3</v>
      </c>
      <c r="AA125" s="20" t="s">
        <v>1560</v>
      </c>
      <c r="AB125" s="20">
        <v>-997.48</v>
      </c>
      <c r="AC125" s="20">
        <v>0</v>
      </c>
      <c r="AK125" s="20" t="s">
        <v>245</v>
      </c>
      <c r="AL125" s="20">
        <v>1</v>
      </c>
      <c r="AM125">
        <v>1</v>
      </c>
      <c r="AO125" s="20" t="s">
        <v>1158</v>
      </c>
      <c r="AP125" s="20">
        <v>7</v>
      </c>
    </row>
    <row r="126" spans="1:42" x14ac:dyDescent="0.25">
      <c r="A126" s="20" t="s">
        <v>2206</v>
      </c>
      <c r="B126" s="20" t="s">
        <v>2191</v>
      </c>
      <c r="C126" s="20">
        <v>0</v>
      </c>
      <c r="E126" s="20" t="s">
        <v>1902</v>
      </c>
      <c r="F126" s="20" t="s">
        <v>2191</v>
      </c>
      <c r="G126" s="20">
        <v>0</v>
      </c>
      <c r="I126" s="20" t="s">
        <v>1662</v>
      </c>
      <c r="J126" s="20">
        <v>0</v>
      </c>
      <c r="L126" s="20" t="s">
        <v>633</v>
      </c>
      <c r="M126" s="20">
        <v>10689.34</v>
      </c>
      <c r="U126" s="20" t="s">
        <v>507</v>
      </c>
      <c r="V126" s="20">
        <v>1</v>
      </c>
      <c r="X126" s="20" t="s">
        <v>934</v>
      </c>
      <c r="Y126" s="20">
        <v>1</v>
      </c>
      <c r="AA126" s="20" t="s">
        <v>1076</v>
      </c>
      <c r="AB126" s="20">
        <v>9162.81</v>
      </c>
      <c r="AC126" s="20">
        <v>133672.88</v>
      </c>
      <c r="AK126" s="20" t="s">
        <v>455</v>
      </c>
      <c r="AL126" s="20"/>
      <c r="AM126">
        <v>1</v>
      </c>
      <c r="AO126" s="20" t="s">
        <v>430</v>
      </c>
      <c r="AP126" s="20">
        <v>1</v>
      </c>
    </row>
    <row r="127" spans="1:42" x14ac:dyDescent="0.25">
      <c r="A127" s="20" t="s">
        <v>1825</v>
      </c>
      <c r="B127" s="20" t="s">
        <v>2191</v>
      </c>
      <c r="C127" s="20">
        <v>0</v>
      </c>
      <c r="E127" s="20" t="s">
        <v>1363</v>
      </c>
      <c r="F127" s="20" t="s">
        <v>2191</v>
      </c>
      <c r="G127" s="20">
        <v>5064.5</v>
      </c>
      <c r="I127" s="20" t="s">
        <v>1120</v>
      </c>
      <c r="J127" s="20">
        <v>13989.72</v>
      </c>
      <c r="L127" s="20" t="s">
        <v>1296</v>
      </c>
      <c r="M127" s="20">
        <v>30391.41</v>
      </c>
      <c r="U127" s="20" t="s">
        <v>937</v>
      </c>
      <c r="V127" s="20">
        <v>1</v>
      </c>
      <c r="X127" s="20" t="s">
        <v>522</v>
      </c>
      <c r="Y127" s="20">
        <v>2</v>
      </c>
      <c r="AA127" s="20" t="s">
        <v>1827</v>
      </c>
      <c r="AB127" s="20">
        <v>0</v>
      </c>
      <c r="AC127" s="20">
        <v>0</v>
      </c>
      <c r="AK127" s="20" t="s">
        <v>457</v>
      </c>
      <c r="AL127" s="20">
        <v>1</v>
      </c>
      <c r="AM127">
        <v>3</v>
      </c>
      <c r="AO127" s="20" t="s">
        <v>1316</v>
      </c>
      <c r="AP127" s="20">
        <v>1</v>
      </c>
    </row>
    <row r="128" spans="1:42" x14ac:dyDescent="0.25">
      <c r="A128" s="20" t="s">
        <v>2029</v>
      </c>
      <c r="B128" s="20" t="s">
        <v>2191</v>
      </c>
      <c r="C128" s="20">
        <v>0</v>
      </c>
      <c r="E128" s="20" t="s">
        <v>1556</v>
      </c>
      <c r="F128" s="20" t="s">
        <v>2191</v>
      </c>
      <c r="G128" s="20">
        <v>0</v>
      </c>
      <c r="I128" s="20" t="s">
        <v>474</v>
      </c>
      <c r="J128" s="20">
        <v>6344</v>
      </c>
      <c r="L128" s="20" t="s">
        <v>495</v>
      </c>
      <c r="M128" s="20">
        <v>-683.84</v>
      </c>
      <c r="U128" s="20" t="s">
        <v>562</v>
      </c>
      <c r="V128" s="20">
        <v>1</v>
      </c>
      <c r="X128" s="20" t="s">
        <v>912</v>
      </c>
      <c r="Y128" s="20">
        <v>2</v>
      </c>
      <c r="AA128" s="20" t="s">
        <v>2234</v>
      </c>
      <c r="AB128" s="20">
        <v>0</v>
      </c>
      <c r="AC128" s="20">
        <v>0</v>
      </c>
      <c r="AK128" s="20" t="s">
        <v>58</v>
      </c>
      <c r="AL128" s="20">
        <v>1</v>
      </c>
      <c r="AM128">
        <v>6</v>
      </c>
      <c r="AO128" s="20" t="s">
        <v>1392</v>
      </c>
      <c r="AP128" s="20">
        <v>3</v>
      </c>
    </row>
    <row r="129" spans="1:42" x14ac:dyDescent="0.25">
      <c r="A129" s="20" t="s">
        <v>1551</v>
      </c>
      <c r="B129" s="20" t="s">
        <v>2191</v>
      </c>
      <c r="C129" s="20">
        <v>0</v>
      </c>
      <c r="E129" s="20" t="s">
        <v>1071</v>
      </c>
      <c r="F129" s="20" t="s">
        <v>2191</v>
      </c>
      <c r="G129" s="20">
        <v>4823</v>
      </c>
      <c r="I129" s="20" t="s">
        <v>1377</v>
      </c>
      <c r="J129" s="20">
        <v>44729</v>
      </c>
      <c r="L129" s="20" t="s">
        <v>723</v>
      </c>
      <c r="M129" s="20">
        <v>132367.03</v>
      </c>
      <c r="U129" s="20" t="s">
        <v>1185</v>
      </c>
      <c r="V129" s="20">
        <v>1</v>
      </c>
      <c r="X129" s="20" t="s">
        <v>1482</v>
      </c>
      <c r="Y129" s="20">
        <v>4</v>
      </c>
      <c r="AA129" s="20" t="s">
        <v>2236</v>
      </c>
      <c r="AB129" s="20">
        <v>0</v>
      </c>
      <c r="AC129" s="20">
        <v>0</v>
      </c>
      <c r="AK129" s="20" t="s">
        <v>463</v>
      </c>
      <c r="AL129" s="20">
        <v>8</v>
      </c>
      <c r="AM129">
        <v>17</v>
      </c>
      <c r="AO129" s="20" t="s">
        <v>341</v>
      </c>
      <c r="AP129" s="20">
        <v>4</v>
      </c>
    </row>
    <row r="130" spans="1:42" x14ac:dyDescent="0.25">
      <c r="A130" s="20" t="s">
        <v>83</v>
      </c>
      <c r="B130" s="20" t="s">
        <v>2191</v>
      </c>
      <c r="C130" s="20">
        <v>3012.14</v>
      </c>
      <c r="E130" s="20" t="s">
        <v>1365</v>
      </c>
      <c r="F130" s="20" t="s">
        <v>2191</v>
      </c>
      <c r="G130" s="20">
        <v>0</v>
      </c>
      <c r="I130" s="20" t="s">
        <v>1682</v>
      </c>
      <c r="J130" s="20">
        <v>725180.45</v>
      </c>
      <c r="L130" s="20" t="s">
        <v>1459</v>
      </c>
      <c r="M130" s="20">
        <v>31798.68</v>
      </c>
      <c r="U130" s="20" t="s">
        <v>97</v>
      </c>
      <c r="V130" s="20">
        <v>1</v>
      </c>
      <c r="X130" s="20" t="s">
        <v>144</v>
      </c>
      <c r="Y130" s="20">
        <v>2</v>
      </c>
      <c r="AA130" s="20" t="s">
        <v>2237</v>
      </c>
      <c r="AB130" s="20">
        <v>0</v>
      </c>
      <c r="AC130" s="20">
        <v>0</v>
      </c>
      <c r="AK130" s="20" t="s">
        <v>465</v>
      </c>
      <c r="AL130" s="20">
        <v>1</v>
      </c>
      <c r="AM130">
        <v>2</v>
      </c>
      <c r="AO130" s="20" t="s">
        <v>1320</v>
      </c>
      <c r="AP130" s="20">
        <v>1</v>
      </c>
    </row>
    <row r="131" spans="1:42" x14ac:dyDescent="0.25">
      <c r="A131" s="20" t="s">
        <v>1353</v>
      </c>
      <c r="B131" s="20" t="s">
        <v>2191</v>
      </c>
      <c r="C131" s="20">
        <v>0</v>
      </c>
      <c r="E131" s="20" t="s">
        <v>691</v>
      </c>
      <c r="F131" s="20" t="s">
        <v>2191</v>
      </c>
      <c r="G131" s="20">
        <v>12233.99</v>
      </c>
      <c r="I131" s="20" t="s">
        <v>475</v>
      </c>
      <c r="J131" s="20">
        <v>6662</v>
      </c>
      <c r="L131" s="20" t="s">
        <v>503</v>
      </c>
      <c r="M131" s="20">
        <v>48046.49</v>
      </c>
      <c r="U131" s="20" t="s">
        <v>774</v>
      </c>
      <c r="V131" s="20">
        <v>1</v>
      </c>
      <c r="X131" s="20" t="s">
        <v>655</v>
      </c>
      <c r="Y131" s="20">
        <v>2</v>
      </c>
      <c r="AA131" s="20" t="s">
        <v>1561</v>
      </c>
      <c r="AB131" s="20">
        <v>-897.8</v>
      </c>
      <c r="AC131" s="20">
        <v>0</v>
      </c>
      <c r="AK131" s="20" t="s">
        <v>1282</v>
      </c>
      <c r="AL131" s="20">
        <v>4</v>
      </c>
      <c r="AM131">
        <v>10</v>
      </c>
      <c r="AO131" s="20" t="s">
        <v>533</v>
      </c>
      <c r="AP131" s="20">
        <v>1</v>
      </c>
    </row>
    <row r="132" spans="1:42" x14ac:dyDescent="0.25">
      <c r="A132" s="20" t="s">
        <v>2000</v>
      </c>
      <c r="B132" s="20" t="s">
        <v>2191</v>
      </c>
      <c r="C132" s="20">
        <v>0</v>
      </c>
      <c r="E132" s="20" t="s">
        <v>2067</v>
      </c>
      <c r="F132" s="20" t="s">
        <v>2191</v>
      </c>
      <c r="G132" s="20">
        <v>0</v>
      </c>
      <c r="I132" s="20" t="s">
        <v>1222</v>
      </c>
      <c r="J132" s="20">
        <v>1514.4</v>
      </c>
      <c r="L132" s="20" t="s">
        <v>924</v>
      </c>
      <c r="M132" s="20">
        <v>17752</v>
      </c>
      <c r="U132" s="20" t="s">
        <v>1415</v>
      </c>
      <c r="V132" s="20">
        <v>4</v>
      </c>
      <c r="X132" s="20" t="s">
        <v>1484</v>
      </c>
      <c r="Y132" s="20">
        <v>2</v>
      </c>
      <c r="AA132" s="20" t="s">
        <v>1562</v>
      </c>
      <c r="AB132" s="20">
        <v>-544.9</v>
      </c>
      <c r="AC132" s="20">
        <v>0</v>
      </c>
      <c r="AK132" s="20" t="s">
        <v>1285</v>
      </c>
      <c r="AL132" s="20">
        <v>6</v>
      </c>
      <c r="AM132">
        <v>14</v>
      </c>
      <c r="AO132" s="20" t="s">
        <v>814</v>
      </c>
      <c r="AP132" s="20">
        <v>1</v>
      </c>
    </row>
    <row r="133" spans="1:42" x14ac:dyDescent="0.25">
      <c r="A133" s="20" t="s">
        <v>1956</v>
      </c>
      <c r="B133" s="20" t="s">
        <v>2191</v>
      </c>
      <c r="C133" s="20">
        <v>0</v>
      </c>
      <c r="E133" s="20" t="s">
        <v>724</v>
      </c>
      <c r="F133" s="20" t="s">
        <v>2191</v>
      </c>
      <c r="G133" s="20">
        <v>0</v>
      </c>
      <c r="I133" s="20" t="s">
        <v>467</v>
      </c>
      <c r="J133" s="20">
        <v>2107.02</v>
      </c>
      <c r="L133" s="20" t="s">
        <v>81</v>
      </c>
      <c r="M133" s="20">
        <v>48655.09</v>
      </c>
      <c r="U133" s="20" t="s">
        <v>1188</v>
      </c>
      <c r="V133" s="20">
        <v>4</v>
      </c>
      <c r="X133" s="20" t="s">
        <v>745</v>
      </c>
      <c r="Y133" s="20">
        <v>2</v>
      </c>
      <c r="AA133" s="20" t="s">
        <v>1079</v>
      </c>
      <c r="AB133" s="20">
        <v>82566.53</v>
      </c>
      <c r="AC133" s="20">
        <v>766388.04</v>
      </c>
      <c r="AK133" s="20" t="s">
        <v>104</v>
      </c>
      <c r="AL133" s="20">
        <v>4</v>
      </c>
      <c r="AM133">
        <v>18</v>
      </c>
      <c r="AO133" s="20" t="s">
        <v>158</v>
      </c>
      <c r="AP133" s="20">
        <v>1</v>
      </c>
    </row>
    <row r="134" spans="1:42" x14ac:dyDescent="0.25">
      <c r="A134" s="20" t="s">
        <v>2207</v>
      </c>
      <c r="B134" s="20" t="s">
        <v>2191</v>
      </c>
      <c r="C134" s="20">
        <v>0</v>
      </c>
      <c r="E134" s="20" t="s">
        <v>2121</v>
      </c>
      <c r="F134" s="20" t="s">
        <v>2191</v>
      </c>
      <c r="G134" s="20">
        <v>0</v>
      </c>
      <c r="I134" s="20" t="s">
        <v>917</v>
      </c>
      <c r="J134" s="20">
        <v>696.25</v>
      </c>
      <c r="L134" s="20" t="s">
        <v>926</v>
      </c>
      <c r="M134" s="20">
        <v>1184</v>
      </c>
      <c r="U134" s="20" t="s">
        <v>777</v>
      </c>
      <c r="V134" s="20">
        <v>1</v>
      </c>
      <c r="X134" s="20" t="s">
        <v>1390</v>
      </c>
      <c r="Y134" s="20">
        <v>2</v>
      </c>
      <c r="AA134" s="20" t="s">
        <v>593</v>
      </c>
      <c r="AB134" s="20">
        <v>-2538.7199999999998</v>
      </c>
      <c r="AC134" s="20">
        <v>19813.259999999998</v>
      </c>
      <c r="AK134" s="20" t="s">
        <v>425</v>
      </c>
      <c r="AL134" s="20"/>
      <c r="AM134">
        <v>1</v>
      </c>
      <c r="AO134" s="20" t="s">
        <v>1164</v>
      </c>
      <c r="AP134" s="20">
        <v>1</v>
      </c>
    </row>
    <row r="135" spans="1:42" x14ac:dyDescent="0.25">
      <c r="A135" s="20" t="s">
        <v>1360</v>
      </c>
      <c r="B135" s="20" t="s">
        <v>2191</v>
      </c>
      <c r="C135" s="20">
        <v>0</v>
      </c>
      <c r="E135" s="20" t="s">
        <v>2226</v>
      </c>
      <c r="F135" s="20" t="s">
        <v>2191</v>
      </c>
      <c r="G135" s="20">
        <v>0</v>
      </c>
      <c r="I135" s="20" t="s">
        <v>483</v>
      </c>
      <c r="J135" s="20">
        <v>3403</v>
      </c>
      <c r="L135" s="20" t="s">
        <v>650</v>
      </c>
      <c r="M135" s="20">
        <v>18363</v>
      </c>
      <c r="U135" s="20" t="s">
        <v>1416</v>
      </c>
      <c r="V135" s="20">
        <v>2</v>
      </c>
      <c r="X135" s="20" t="s">
        <v>1158</v>
      </c>
      <c r="Y135" s="20">
        <v>1</v>
      </c>
      <c r="AA135" s="20" t="s">
        <v>2239</v>
      </c>
      <c r="AB135" s="20">
        <v>0</v>
      </c>
      <c r="AC135" s="20">
        <v>0</v>
      </c>
      <c r="AK135" s="20" t="s">
        <v>613</v>
      </c>
      <c r="AL135" s="20">
        <v>7</v>
      </c>
      <c r="AM135">
        <v>26</v>
      </c>
      <c r="AO135" s="20" t="s">
        <v>1238</v>
      </c>
      <c r="AP135" s="20">
        <v>6</v>
      </c>
    </row>
    <row r="136" spans="1:42" x14ac:dyDescent="0.25">
      <c r="A136" s="20" t="s">
        <v>1552</v>
      </c>
      <c r="B136" s="20" t="s">
        <v>2191</v>
      </c>
      <c r="C136" s="20">
        <v>0</v>
      </c>
      <c r="E136" s="20" t="s">
        <v>91</v>
      </c>
      <c r="F136" s="20" t="s">
        <v>2191</v>
      </c>
      <c r="G136" s="20">
        <v>0</v>
      </c>
      <c r="I136" s="20" t="s">
        <v>716</v>
      </c>
      <c r="J136" s="20">
        <v>52982</v>
      </c>
      <c r="L136" s="20" t="s">
        <v>129</v>
      </c>
      <c r="M136" s="20">
        <v>18994</v>
      </c>
      <c r="U136" s="20" t="s">
        <v>379</v>
      </c>
      <c r="V136" s="20">
        <v>7</v>
      </c>
      <c r="X136" s="20" t="s">
        <v>532</v>
      </c>
      <c r="Y136" s="20">
        <v>1</v>
      </c>
      <c r="AA136" s="20" t="s">
        <v>2240</v>
      </c>
      <c r="AB136" s="20">
        <v>0</v>
      </c>
      <c r="AC136" s="20">
        <v>0</v>
      </c>
      <c r="AK136" s="20" t="s">
        <v>617</v>
      </c>
      <c r="AL136" s="20">
        <v>2</v>
      </c>
      <c r="AM136">
        <v>2</v>
      </c>
      <c r="AO136" s="20" t="s">
        <v>115</v>
      </c>
      <c r="AP136" s="20">
        <v>1</v>
      </c>
    </row>
    <row r="137" spans="1:42" x14ac:dyDescent="0.25">
      <c r="A137" s="20" t="s">
        <v>2208</v>
      </c>
      <c r="B137" s="20" t="s">
        <v>2191</v>
      </c>
      <c r="C137" s="20">
        <v>0</v>
      </c>
      <c r="E137" s="20" t="s">
        <v>1002</v>
      </c>
      <c r="F137" s="20" t="s">
        <v>2191</v>
      </c>
      <c r="G137" s="20">
        <v>7188.48</v>
      </c>
      <c r="I137" s="20" t="s">
        <v>643</v>
      </c>
      <c r="J137" s="20">
        <v>619</v>
      </c>
      <c r="L137" s="20" t="s">
        <v>1705</v>
      </c>
      <c r="M137" s="20">
        <v>0</v>
      </c>
      <c r="U137" s="20" t="s">
        <v>1419</v>
      </c>
      <c r="V137" s="20">
        <v>3</v>
      </c>
      <c r="X137" s="20" t="s">
        <v>430</v>
      </c>
      <c r="Y137" s="20">
        <v>9</v>
      </c>
      <c r="AA137" s="20" t="s">
        <v>1563</v>
      </c>
      <c r="AB137" s="20">
        <v>-2681.92</v>
      </c>
      <c r="AC137" s="20">
        <v>295.14999999999998</v>
      </c>
      <c r="AK137" s="20" t="s">
        <v>619</v>
      </c>
      <c r="AL137" s="20">
        <v>2</v>
      </c>
      <c r="AM137">
        <v>8</v>
      </c>
      <c r="AO137" s="20" t="s">
        <v>755</v>
      </c>
      <c r="AP137" s="20">
        <v>1</v>
      </c>
    </row>
    <row r="138" spans="1:42" x14ac:dyDescent="0.25">
      <c r="A138" s="20" t="s">
        <v>235</v>
      </c>
      <c r="B138" s="20" t="s">
        <v>2191</v>
      </c>
      <c r="C138" s="20">
        <v>0</v>
      </c>
      <c r="E138" s="20" t="s">
        <v>236</v>
      </c>
      <c r="F138" s="20" t="s">
        <v>2191</v>
      </c>
      <c r="G138" s="20">
        <v>0</v>
      </c>
      <c r="I138" s="20" t="s">
        <v>1000</v>
      </c>
      <c r="J138" s="20">
        <v>293</v>
      </c>
      <c r="L138" s="20" t="s">
        <v>928</v>
      </c>
      <c r="M138" s="20">
        <v>0</v>
      </c>
      <c r="U138" s="20" t="s">
        <v>1333</v>
      </c>
      <c r="V138" s="20">
        <v>1</v>
      </c>
      <c r="X138" s="20" t="s">
        <v>1392</v>
      </c>
      <c r="Y138" s="20">
        <v>1</v>
      </c>
      <c r="AA138" s="20" t="s">
        <v>892</v>
      </c>
      <c r="AB138" s="20">
        <v>426.96</v>
      </c>
      <c r="AC138" s="20">
        <v>204052.79</v>
      </c>
      <c r="AK138" s="20" t="s">
        <v>621</v>
      </c>
      <c r="AL138" s="20">
        <v>5</v>
      </c>
      <c r="AM138">
        <v>18</v>
      </c>
      <c r="AO138" s="20" t="s">
        <v>519</v>
      </c>
      <c r="AP138" s="20">
        <v>1</v>
      </c>
    </row>
    <row r="139" spans="1:42" x14ac:dyDescent="0.25">
      <c r="A139" s="20" t="s">
        <v>886</v>
      </c>
      <c r="B139" s="20" t="s">
        <v>2191</v>
      </c>
      <c r="C139" s="20">
        <v>24149</v>
      </c>
      <c r="E139" s="20" t="s">
        <v>2152</v>
      </c>
      <c r="F139" s="20" t="s">
        <v>2191</v>
      </c>
      <c r="G139" s="20">
        <v>0</v>
      </c>
      <c r="I139" s="20" t="s">
        <v>296</v>
      </c>
      <c r="J139" s="20">
        <v>14390.86</v>
      </c>
      <c r="L139" s="20" t="s">
        <v>131</v>
      </c>
      <c r="M139" s="20">
        <v>37918.03</v>
      </c>
      <c r="U139" s="20" t="s">
        <v>836</v>
      </c>
      <c r="V139" s="20">
        <v>3</v>
      </c>
      <c r="X139" s="20" t="s">
        <v>341</v>
      </c>
      <c r="Y139" s="20">
        <v>2</v>
      </c>
      <c r="AA139" s="20" t="s">
        <v>2241</v>
      </c>
      <c r="AB139" s="20">
        <v>0</v>
      </c>
      <c r="AC139" s="20">
        <v>0</v>
      </c>
      <c r="AK139" s="20" t="s">
        <v>624</v>
      </c>
      <c r="AL139" s="20">
        <v>1</v>
      </c>
      <c r="AM139">
        <v>1</v>
      </c>
      <c r="AO139" s="20" t="s">
        <v>167</v>
      </c>
      <c r="AP139" s="20">
        <v>3</v>
      </c>
    </row>
    <row r="140" spans="1:42" x14ac:dyDescent="0.25">
      <c r="A140" s="20" t="s">
        <v>2209</v>
      </c>
      <c r="B140" s="20" t="s">
        <v>2191</v>
      </c>
      <c r="C140" s="20">
        <v>0</v>
      </c>
      <c r="E140" s="20" t="s">
        <v>1074</v>
      </c>
      <c r="F140" s="20" t="s">
        <v>2191</v>
      </c>
      <c r="G140" s="20">
        <v>0</v>
      </c>
      <c r="I140" s="20" t="s">
        <v>1199</v>
      </c>
      <c r="J140" s="20">
        <v>6225</v>
      </c>
      <c r="L140" s="20" t="s">
        <v>930</v>
      </c>
      <c r="M140" s="20">
        <v>6428</v>
      </c>
      <c r="U140" s="20" t="s">
        <v>976</v>
      </c>
      <c r="V140" s="20">
        <v>1</v>
      </c>
      <c r="X140" s="20" t="s">
        <v>872</v>
      </c>
      <c r="Y140" s="20">
        <v>1</v>
      </c>
      <c r="AA140" s="20" t="s">
        <v>2242</v>
      </c>
      <c r="AB140" s="20">
        <v>0</v>
      </c>
      <c r="AC140" s="20">
        <v>0</v>
      </c>
      <c r="AK140" s="20" t="s">
        <v>627</v>
      </c>
      <c r="AL140" s="20"/>
      <c r="AM140">
        <v>1</v>
      </c>
      <c r="AO140" s="20" t="s">
        <v>352</v>
      </c>
      <c r="AP140" s="20">
        <v>2</v>
      </c>
    </row>
    <row r="141" spans="1:42" x14ac:dyDescent="0.25">
      <c r="A141" s="20" t="s">
        <v>86</v>
      </c>
      <c r="B141" s="20" t="s">
        <v>2191</v>
      </c>
      <c r="C141" s="20">
        <v>0</v>
      </c>
      <c r="E141" s="20" t="s">
        <v>392</v>
      </c>
      <c r="F141" s="20" t="s">
        <v>2191</v>
      </c>
      <c r="G141" s="20">
        <v>0</v>
      </c>
      <c r="I141" s="20" t="s">
        <v>720</v>
      </c>
      <c r="J141" s="20">
        <v>0</v>
      </c>
      <c r="L141" s="20" t="s">
        <v>728</v>
      </c>
      <c r="M141" s="20">
        <v>165596</v>
      </c>
      <c r="U141" s="20" t="s">
        <v>194</v>
      </c>
      <c r="V141" s="20">
        <v>3</v>
      </c>
      <c r="X141" s="20" t="s">
        <v>1164</v>
      </c>
      <c r="Y141" s="20">
        <v>2</v>
      </c>
      <c r="AA141" s="20" t="s">
        <v>1564</v>
      </c>
      <c r="AB141" s="20">
        <v>-1161.29</v>
      </c>
      <c r="AC141" s="20">
        <v>0</v>
      </c>
      <c r="AK141" s="20" t="s">
        <v>634</v>
      </c>
      <c r="AL141" s="20">
        <v>0</v>
      </c>
      <c r="AM141">
        <v>6</v>
      </c>
      <c r="AO141" s="20" t="s">
        <v>169</v>
      </c>
      <c r="AP141" s="20">
        <v>1</v>
      </c>
    </row>
    <row r="142" spans="1:42" x14ac:dyDescent="0.25">
      <c r="A142" s="20" t="s">
        <v>2030</v>
      </c>
      <c r="B142" s="20" t="s">
        <v>2191</v>
      </c>
      <c r="C142" s="20">
        <v>0</v>
      </c>
      <c r="E142" s="20" t="s">
        <v>1076</v>
      </c>
      <c r="F142" s="20" t="s">
        <v>2191</v>
      </c>
      <c r="G142" s="20">
        <v>0</v>
      </c>
      <c r="I142" s="20" t="s">
        <v>1219</v>
      </c>
      <c r="J142" s="20">
        <v>646</v>
      </c>
      <c r="L142" s="20" t="s">
        <v>321</v>
      </c>
      <c r="M142" s="20">
        <v>10811.72</v>
      </c>
      <c r="U142" s="20" t="s">
        <v>1343</v>
      </c>
      <c r="V142" s="20">
        <v>2</v>
      </c>
      <c r="X142" s="20" t="s">
        <v>1166</v>
      </c>
      <c r="Y142" s="20">
        <v>5</v>
      </c>
      <c r="AA142" s="20" t="s">
        <v>238</v>
      </c>
      <c r="AB142" s="20">
        <v>43412.61</v>
      </c>
      <c r="AC142" s="20">
        <v>479105.85</v>
      </c>
      <c r="AK142" s="20" t="s">
        <v>636</v>
      </c>
      <c r="AL142" s="20">
        <v>3</v>
      </c>
      <c r="AM142">
        <v>5</v>
      </c>
      <c r="AO142" s="20" t="s">
        <v>1171</v>
      </c>
      <c r="AP142" s="20">
        <v>1</v>
      </c>
    </row>
    <row r="143" spans="1:42" x14ac:dyDescent="0.25">
      <c r="A143" s="20" t="s">
        <v>1826</v>
      </c>
      <c r="B143" s="20" t="s">
        <v>2191</v>
      </c>
      <c r="C143" s="20">
        <v>0</v>
      </c>
      <c r="E143" s="20" t="s">
        <v>1078</v>
      </c>
      <c r="F143" s="20" t="s">
        <v>2191</v>
      </c>
      <c r="G143" s="20">
        <v>0</v>
      </c>
      <c r="I143" s="20" t="s">
        <v>668</v>
      </c>
      <c r="J143" s="20">
        <v>15553.05</v>
      </c>
      <c r="L143" s="20" t="s">
        <v>459</v>
      </c>
      <c r="M143" s="20">
        <v>24371</v>
      </c>
      <c r="U143" s="20" t="s">
        <v>1396</v>
      </c>
      <c r="V143" s="20">
        <v>1</v>
      </c>
      <c r="X143" s="20" t="s">
        <v>160</v>
      </c>
      <c r="Y143" s="20">
        <v>3</v>
      </c>
      <c r="AA143" s="20" t="s">
        <v>240</v>
      </c>
      <c r="AB143" s="20">
        <v>-2791.28</v>
      </c>
      <c r="AC143" s="20">
        <v>125881.63</v>
      </c>
      <c r="AK143" s="20" t="s">
        <v>1442</v>
      </c>
      <c r="AL143" s="20">
        <v>3</v>
      </c>
      <c r="AM143">
        <v>5</v>
      </c>
      <c r="AO143" s="20" t="s">
        <v>1172</v>
      </c>
      <c r="AP143" s="20">
        <v>2</v>
      </c>
    </row>
    <row r="144" spans="1:42" x14ac:dyDescent="0.25">
      <c r="A144" s="20" t="s">
        <v>1361</v>
      </c>
      <c r="B144" s="20" t="s">
        <v>2191</v>
      </c>
      <c r="C144" s="20">
        <v>5078</v>
      </c>
      <c r="E144" s="20" t="s">
        <v>1079</v>
      </c>
      <c r="F144" s="20" t="s">
        <v>2191</v>
      </c>
      <c r="G144" s="20">
        <v>12207</v>
      </c>
      <c r="I144" s="20" t="s">
        <v>1127</v>
      </c>
      <c r="J144" s="20">
        <v>6278.59</v>
      </c>
      <c r="L144" s="20" t="s">
        <v>520</v>
      </c>
      <c r="M144" s="20">
        <v>21577</v>
      </c>
      <c r="U144" s="20" t="s">
        <v>573</v>
      </c>
      <c r="V144" s="20">
        <v>1</v>
      </c>
      <c r="X144" s="20" t="s">
        <v>345</v>
      </c>
      <c r="Y144" s="20">
        <v>1</v>
      </c>
      <c r="AA144" s="20" t="s">
        <v>2243</v>
      </c>
      <c r="AB144" s="20">
        <v>0</v>
      </c>
      <c r="AC144" s="20">
        <v>0</v>
      </c>
      <c r="AK144" s="20" t="s">
        <v>1444</v>
      </c>
      <c r="AL144" s="20">
        <v>2</v>
      </c>
      <c r="AM144">
        <v>3</v>
      </c>
      <c r="AO144" s="20" t="s">
        <v>761</v>
      </c>
      <c r="AP144" s="20">
        <v>2</v>
      </c>
    </row>
    <row r="145" spans="1:42" x14ac:dyDescent="0.25">
      <c r="A145" s="20" t="s">
        <v>355</v>
      </c>
      <c r="B145" s="20" t="s">
        <v>2191</v>
      </c>
      <c r="C145" s="20">
        <v>57015.02</v>
      </c>
      <c r="E145" s="20" t="s">
        <v>593</v>
      </c>
      <c r="F145" s="20" t="s">
        <v>2191</v>
      </c>
      <c r="G145" s="20">
        <v>0</v>
      </c>
      <c r="I145" s="20" t="s">
        <v>300</v>
      </c>
      <c r="J145" s="20">
        <v>2971.8</v>
      </c>
      <c r="L145" s="20" t="s">
        <v>75</v>
      </c>
      <c r="M145" s="20">
        <v>5980</v>
      </c>
      <c r="U145" s="20" t="s">
        <v>327</v>
      </c>
      <c r="V145" s="20">
        <v>1</v>
      </c>
      <c r="X145" s="20" t="s">
        <v>166</v>
      </c>
      <c r="Y145" s="20">
        <v>1</v>
      </c>
      <c r="AA145" s="20" t="s">
        <v>1565</v>
      </c>
      <c r="AB145" s="20">
        <v>-915.16</v>
      </c>
      <c r="AC145" s="20">
        <v>13535.38</v>
      </c>
      <c r="AK145" s="20" t="s">
        <v>590</v>
      </c>
      <c r="AL145" s="20">
        <v>9</v>
      </c>
      <c r="AM145">
        <v>16</v>
      </c>
      <c r="AO145" s="20" t="s">
        <v>182</v>
      </c>
      <c r="AP145" s="20">
        <v>1</v>
      </c>
    </row>
    <row r="146" spans="1:42" x14ac:dyDescent="0.25">
      <c r="A146" s="20" t="s">
        <v>1957</v>
      </c>
      <c r="B146" s="20" t="s">
        <v>2191</v>
      </c>
      <c r="C146" s="20">
        <v>0</v>
      </c>
      <c r="E146" s="20" t="s">
        <v>2238</v>
      </c>
      <c r="F146" s="20" t="s">
        <v>2191</v>
      </c>
      <c r="G146" s="20">
        <v>0</v>
      </c>
      <c r="I146" s="20" t="s">
        <v>487</v>
      </c>
      <c r="J146" s="20">
        <v>-3946.09</v>
      </c>
      <c r="L146" s="20" t="s">
        <v>1234</v>
      </c>
      <c r="M146" s="20">
        <v>48937</v>
      </c>
      <c r="U146" s="20" t="s">
        <v>198</v>
      </c>
      <c r="V146" s="20">
        <v>5</v>
      </c>
      <c r="X146" s="20" t="s">
        <v>350</v>
      </c>
      <c r="Y146" s="20">
        <v>5</v>
      </c>
      <c r="AA146" s="20" t="s">
        <v>2244</v>
      </c>
      <c r="AB146" s="20">
        <v>0</v>
      </c>
      <c r="AC146" s="20">
        <v>0</v>
      </c>
      <c r="AK146" s="20" t="s">
        <v>1448</v>
      </c>
      <c r="AL146" s="20">
        <v>0</v>
      </c>
      <c r="AM146">
        <v>2</v>
      </c>
      <c r="AO146" s="20" t="s">
        <v>175</v>
      </c>
      <c r="AP146" s="20">
        <v>1</v>
      </c>
    </row>
    <row r="147" spans="1:42" x14ac:dyDescent="0.25">
      <c r="A147" s="20" t="s">
        <v>2001</v>
      </c>
      <c r="B147" s="20" t="s">
        <v>2191</v>
      </c>
      <c r="C147" s="20">
        <v>0</v>
      </c>
      <c r="E147" s="20" t="s">
        <v>2153</v>
      </c>
      <c r="F147" s="20" t="s">
        <v>2191</v>
      </c>
      <c r="G147" s="20">
        <v>0</v>
      </c>
      <c r="I147" s="20" t="s">
        <v>1290</v>
      </c>
      <c r="J147" s="20">
        <v>32966</v>
      </c>
      <c r="L147" s="20" t="s">
        <v>737</v>
      </c>
      <c r="M147" s="20">
        <v>139885.1</v>
      </c>
      <c r="U147" s="20" t="s">
        <v>1510</v>
      </c>
      <c r="V147" s="20">
        <v>8</v>
      </c>
      <c r="X147" s="20" t="s">
        <v>167</v>
      </c>
      <c r="Y147" s="20">
        <v>5</v>
      </c>
      <c r="AA147" s="20" t="s">
        <v>2245</v>
      </c>
      <c r="AB147" s="20">
        <v>0</v>
      </c>
      <c r="AC147" s="20">
        <v>0</v>
      </c>
      <c r="AK147" s="20" t="s">
        <v>610</v>
      </c>
      <c r="AL147" s="20">
        <v>1</v>
      </c>
      <c r="AM147">
        <v>2</v>
      </c>
      <c r="AO147" s="20" t="s">
        <v>996</v>
      </c>
      <c r="AP147" s="20">
        <v>1</v>
      </c>
    </row>
    <row r="148" spans="1:42" x14ac:dyDescent="0.25">
      <c r="A148" s="20" t="s">
        <v>2150</v>
      </c>
      <c r="B148" s="20" t="s">
        <v>2191</v>
      </c>
      <c r="C148" s="20">
        <v>0</v>
      </c>
      <c r="E148" s="20" t="s">
        <v>892</v>
      </c>
      <c r="F148" s="20" t="s">
        <v>2191</v>
      </c>
      <c r="G148" s="20">
        <v>0</v>
      </c>
      <c r="I148" s="20" t="s">
        <v>303</v>
      </c>
      <c r="J148" s="20">
        <v>46276.59</v>
      </c>
      <c r="L148" s="20" t="s">
        <v>934</v>
      </c>
      <c r="M148" s="20">
        <v>3286</v>
      </c>
      <c r="U148" s="20" t="s">
        <v>200</v>
      </c>
      <c r="V148" s="20">
        <v>1</v>
      </c>
      <c r="X148" s="20" t="s">
        <v>542</v>
      </c>
      <c r="Y148" s="20">
        <v>2</v>
      </c>
      <c r="AA148" s="20" t="s">
        <v>2247</v>
      </c>
      <c r="AB148" s="20">
        <v>0</v>
      </c>
      <c r="AC148" s="20">
        <v>0</v>
      </c>
      <c r="AK148" s="20" t="s">
        <v>1451</v>
      </c>
      <c r="AL148" s="20">
        <v>0</v>
      </c>
      <c r="AM148">
        <v>2</v>
      </c>
      <c r="AO148" s="20" t="s">
        <v>360</v>
      </c>
      <c r="AP148" s="20">
        <v>3</v>
      </c>
    </row>
    <row r="149" spans="1:42" x14ac:dyDescent="0.25">
      <c r="A149" s="20" t="s">
        <v>1553</v>
      </c>
      <c r="B149" s="20" t="s">
        <v>2191</v>
      </c>
      <c r="C149" s="20">
        <v>0</v>
      </c>
      <c r="E149" s="20" t="s">
        <v>238</v>
      </c>
      <c r="F149" s="20" t="s">
        <v>2191</v>
      </c>
      <c r="G149" s="20">
        <v>0</v>
      </c>
      <c r="I149" s="20" t="s">
        <v>305</v>
      </c>
      <c r="J149" s="20">
        <v>0</v>
      </c>
      <c r="L149" s="20" t="s">
        <v>522</v>
      </c>
      <c r="M149" s="20">
        <v>849.25</v>
      </c>
      <c r="U149" s="20" t="s">
        <v>442</v>
      </c>
      <c r="V149" s="20">
        <v>3</v>
      </c>
      <c r="X149" s="20" t="s">
        <v>1171</v>
      </c>
      <c r="Y149" s="20">
        <v>2</v>
      </c>
      <c r="AA149" s="20" t="s">
        <v>393</v>
      </c>
      <c r="AB149" s="20">
        <v>6864.59</v>
      </c>
      <c r="AC149" s="20">
        <v>136095.53</v>
      </c>
      <c r="AK149" s="20" t="s">
        <v>1453</v>
      </c>
      <c r="AL149" s="20">
        <v>1</v>
      </c>
      <c r="AM149">
        <v>5</v>
      </c>
      <c r="AO149" s="20" t="s">
        <v>1532</v>
      </c>
      <c r="AP149" s="20">
        <v>1</v>
      </c>
    </row>
    <row r="150" spans="1:42" x14ac:dyDescent="0.25">
      <c r="A150" s="20" t="s">
        <v>2210</v>
      </c>
      <c r="B150" s="20" t="s">
        <v>2191</v>
      </c>
      <c r="C150" s="20">
        <v>0</v>
      </c>
      <c r="E150" s="20" t="s">
        <v>240</v>
      </c>
      <c r="F150" s="20" t="s">
        <v>2191</v>
      </c>
      <c r="G150" s="20">
        <v>0</v>
      </c>
      <c r="I150" s="20" t="s">
        <v>633</v>
      </c>
      <c r="J150" s="20">
        <v>4604</v>
      </c>
      <c r="L150" s="20" t="s">
        <v>139</v>
      </c>
      <c r="M150" s="20">
        <v>1869.71</v>
      </c>
      <c r="U150" s="20" t="s">
        <v>980</v>
      </c>
      <c r="V150" s="20">
        <v>4</v>
      </c>
      <c r="X150" s="20" t="s">
        <v>1043</v>
      </c>
      <c r="Y150" s="20">
        <v>1</v>
      </c>
      <c r="AA150" s="20" t="s">
        <v>1566</v>
      </c>
      <c r="AB150" s="20">
        <v>-3050.49</v>
      </c>
      <c r="AC150" s="20">
        <v>0</v>
      </c>
      <c r="AK150" s="20" t="s">
        <v>1455</v>
      </c>
      <c r="AL150" s="20">
        <v>2</v>
      </c>
      <c r="AM150">
        <v>3</v>
      </c>
      <c r="AO150" s="20" t="s">
        <v>1402</v>
      </c>
      <c r="AP150" s="20">
        <v>2</v>
      </c>
    </row>
    <row r="151" spans="1:42" x14ac:dyDescent="0.25">
      <c r="A151" s="20" t="s">
        <v>85</v>
      </c>
      <c r="B151" s="20" t="s">
        <v>2191</v>
      </c>
      <c r="C151" s="20">
        <v>0</v>
      </c>
      <c r="E151" s="20" t="s">
        <v>2033</v>
      </c>
      <c r="F151" s="20" t="s">
        <v>2191</v>
      </c>
      <c r="G151" s="20">
        <v>0</v>
      </c>
      <c r="I151" s="20" t="s">
        <v>311</v>
      </c>
      <c r="J151" s="20">
        <v>3850</v>
      </c>
      <c r="L151" s="20" t="s">
        <v>739</v>
      </c>
      <c r="M151" s="20">
        <v>17261</v>
      </c>
      <c r="U151" s="20" t="s">
        <v>385</v>
      </c>
      <c r="V151" s="20">
        <v>1</v>
      </c>
      <c r="X151" s="20" t="s">
        <v>408</v>
      </c>
      <c r="Y151" s="20">
        <v>3</v>
      </c>
      <c r="AA151" s="20" t="s">
        <v>2249</v>
      </c>
      <c r="AB151" s="20">
        <v>0</v>
      </c>
      <c r="AC151" s="20">
        <v>0</v>
      </c>
      <c r="AK151" s="20" t="s">
        <v>1456</v>
      </c>
      <c r="AL151" s="20">
        <v>1</v>
      </c>
      <c r="AM151">
        <v>2</v>
      </c>
      <c r="AO151" s="20" t="s">
        <v>1178</v>
      </c>
      <c r="AP151" s="20">
        <v>1</v>
      </c>
    </row>
    <row r="152" spans="1:42" x14ac:dyDescent="0.25">
      <c r="A152" s="20" t="s">
        <v>1958</v>
      </c>
      <c r="B152" s="20" t="s">
        <v>2191</v>
      </c>
      <c r="C152" s="20">
        <v>0</v>
      </c>
      <c r="E152" s="20" t="s">
        <v>393</v>
      </c>
      <c r="F152" s="20" t="s">
        <v>2191</v>
      </c>
      <c r="G152" s="20">
        <v>0</v>
      </c>
      <c r="I152" s="20" t="s">
        <v>1296</v>
      </c>
      <c r="J152" s="20">
        <v>87615.74</v>
      </c>
      <c r="L152" s="20" t="s">
        <v>1482</v>
      </c>
      <c r="M152" s="20">
        <v>5389</v>
      </c>
      <c r="U152" s="20" t="s">
        <v>2991</v>
      </c>
      <c r="V152" s="20">
        <v>2</v>
      </c>
      <c r="X152" s="20" t="s">
        <v>354</v>
      </c>
      <c r="Y152" s="20">
        <v>1</v>
      </c>
      <c r="AA152" s="20" t="s">
        <v>2250</v>
      </c>
      <c r="AB152" s="20">
        <v>0</v>
      </c>
      <c r="AC152" s="20">
        <v>0</v>
      </c>
      <c r="AK152" s="20" t="s">
        <v>1461</v>
      </c>
      <c r="AL152" s="20">
        <v>5</v>
      </c>
      <c r="AM152">
        <v>12</v>
      </c>
      <c r="AO152" s="20" t="s">
        <v>1404</v>
      </c>
      <c r="AP152" s="20">
        <v>3</v>
      </c>
    </row>
    <row r="153" spans="1:42" x14ac:dyDescent="0.25">
      <c r="A153" s="20" t="s">
        <v>690</v>
      </c>
      <c r="B153" s="20" t="s">
        <v>2191</v>
      </c>
      <c r="C153" s="20">
        <v>0</v>
      </c>
      <c r="E153" s="20" t="s">
        <v>2091</v>
      </c>
      <c r="F153" s="20" t="s">
        <v>2191</v>
      </c>
      <c r="G153" s="20">
        <v>0</v>
      </c>
      <c r="I153" s="20" t="s">
        <v>723</v>
      </c>
      <c r="J153" s="20">
        <v>24813.65</v>
      </c>
      <c r="L153" s="20" t="s">
        <v>1385</v>
      </c>
      <c r="M153" s="20">
        <v>2690</v>
      </c>
      <c r="U153" s="20" t="s">
        <v>3000</v>
      </c>
      <c r="V153" s="20">
        <v>1</v>
      </c>
      <c r="X153" s="20" t="s">
        <v>996</v>
      </c>
      <c r="Y153" s="20">
        <v>1</v>
      </c>
      <c r="AA153" s="20" t="s">
        <v>2252</v>
      </c>
      <c r="AB153" s="20">
        <v>0</v>
      </c>
      <c r="AC153" s="20">
        <v>0</v>
      </c>
      <c r="AK153" s="20" t="s">
        <v>1462</v>
      </c>
      <c r="AL153" s="20">
        <v>0</v>
      </c>
      <c r="AM153">
        <v>3</v>
      </c>
      <c r="AO153" s="20" t="s">
        <v>949</v>
      </c>
      <c r="AP153" s="20">
        <v>1</v>
      </c>
    </row>
    <row r="154" spans="1:42" x14ac:dyDescent="0.25">
      <c r="A154" s="20" t="s">
        <v>2165</v>
      </c>
      <c r="B154" s="20" t="s">
        <v>2191</v>
      </c>
      <c r="C154" s="20">
        <v>0</v>
      </c>
      <c r="E154" s="20" t="s">
        <v>2251</v>
      </c>
      <c r="F154" s="20" t="s">
        <v>2191</v>
      </c>
      <c r="G154" s="20">
        <v>0</v>
      </c>
      <c r="I154" s="20" t="s">
        <v>1459</v>
      </c>
      <c r="J154" s="20">
        <v>16335.97</v>
      </c>
      <c r="L154" s="20" t="s">
        <v>144</v>
      </c>
      <c r="M154" s="20">
        <v>20569</v>
      </c>
      <c r="U154" s="20" t="s">
        <v>3013</v>
      </c>
      <c r="V154" s="20">
        <v>1</v>
      </c>
      <c r="X154" s="20" t="s">
        <v>1402</v>
      </c>
      <c r="Y154" s="20">
        <v>7</v>
      </c>
      <c r="AA154" s="20" t="s">
        <v>1567</v>
      </c>
      <c r="AB154" s="20">
        <v>-974.46</v>
      </c>
      <c r="AC154" s="20">
        <v>0</v>
      </c>
      <c r="AK154" s="20" t="s">
        <v>1804</v>
      </c>
      <c r="AL154" s="20">
        <v>1</v>
      </c>
      <c r="AM154">
        <v>6</v>
      </c>
      <c r="AO154" s="20" t="s">
        <v>1182</v>
      </c>
      <c r="AP154" s="20">
        <v>3</v>
      </c>
    </row>
    <row r="155" spans="1:42" x14ac:dyDescent="0.25">
      <c r="A155" s="20" t="s">
        <v>2031</v>
      </c>
      <c r="B155" s="20" t="s">
        <v>2191</v>
      </c>
      <c r="C155" s="20">
        <v>0</v>
      </c>
      <c r="E155" s="20" t="s">
        <v>2034</v>
      </c>
      <c r="F155" s="20" t="s">
        <v>2191</v>
      </c>
      <c r="G155" s="20">
        <v>0</v>
      </c>
      <c r="I155" s="20" t="s">
        <v>503</v>
      </c>
      <c r="J155" s="20">
        <v>18644</v>
      </c>
      <c r="L155" s="20" t="s">
        <v>655</v>
      </c>
      <c r="M155" s="20">
        <v>3460</v>
      </c>
      <c r="U155" s="20" t="s">
        <v>3017</v>
      </c>
      <c r="V155" s="20">
        <v>1</v>
      </c>
      <c r="X155" s="20" t="s">
        <v>1404</v>
      </c>
      <c r="Y155" s="20">
        <v>1</v>
      </c>
      <c r="AA155" s="20" t="s">
        <v>2253</v>
      </c>
      <c r="AB155" s="20">
        <v>0</v>
      </c>
      <c r="AC155" s="20">
        <v>0</v>
      </c>
      <c r="AK155" s="20" t="s">
        <v>1120</v>
      </c>
      <c r="AL155" s="20">
        <v>2</v>
      </c>
      <c r="AM155">
        <v>3</v>
      </c>
      <c r="AO155" s="20" t="s">
        <v>1770</v>
      </c>
      <c r="AP155" s="20">
        <v>1</v>
      </c>
    </row>
    <row r="156" spans="1:42" x14ac:dyDescent="0.25">
      <c r="A156" s="20" t="s">
        <v>890</v>
      </c>
      <c r="B156" s="20" t="s">
        <v>2191</v>
      </c>
      <c r="C156" s="20">
        <v>0</v>
      </c>
      <c r="E156" s="20" t="s">
        <v>395</v>
      </c>
      <c r="F156" s="20" t="s">
        <v>2191</v>
      </c>
      <c r="G156" s="20">
        <v>0</v>
      </c>
      <c r="I156" s="20" t="s">
        <v>924</v>
      </c>
      <c r="J156" s="20">
        <v>-5729.97</v>
      </c>
      <c r="L156" s="20" t="s">
        <v>1484</v>
      </c>
      <c r="M156" s="20">
        <v>1547</v>
      </c>
      <c r="U156" s="20" t="s">
        <v>3033</v>
      </c>
      <c r="V156" s="20">
        <v>1</v>
      </c>
      <c r="X156" s="20" t="s">
        <v>949</v>
      </c>
      <c r="Y156" s="20">
        <v>1</v>
      </c>
      <c r="AA156" s="20" t="s">
        <v>2254</v>
      </c>
      <c r="AB156" s="20">
        <v>0</v>
      </c>
      <c r="AC156" s="20">
        <v>0</v>
      </c>
      <c r="AK156" s="20" t="s">
        <v>914</v>
      </c>
      <c r="AL156" s="20"/>
      <c r="AM156">
        <v>1</v>
      </c>
      <c r="AO156" s="20" t="s">
        <v>1407</v>
      </c>
      <c r="AP156" s="20">
        <v>1</v>
      </c>
    </row>
    <row r="157" spans="1:42" x14ac:dyDescent="0.25">
      <c r="A157" s="20" t="s">
        <v>2028</v>
      </c>
      <c r="B157" s="20" t="s">
        <v>2191</v>
      </c>
      <c r="C157" s="20">
        <v>0</v>
      </c>
      <c r="E157" s="20" t="s">
        <v>397</v>
      </c>
      <c r="F157" s="20" t="s">
        <v>2191</v>
      </c>
      <c r="G157" s="20">
        <v>0</v>
      </c>
      <c r="I157" s="20" t="s">
        <v>81</v>
      </c>
      <c r="J157" s="20">
        <v>11309.73</v>
      </c>
      <c r="L157" s="20" t="s">
        <v>218</v>
      </c>
      <c r="M157" s="20">
        <v>-1570.22</v>
      </c>
      <c r="U157" s="20" t="s">
        <v>3041</v>
      </c>
      <c r="V157" s="20">
        <v>1</v>
      </c>
      <c r="X157" s="20" t="s">
        <v>1769</v>
      </c>
      <c r="Y157" s="20">
        <v>4</v>
      </c>
      <c r="AA157" s="20" t="s">
        <v>395</v>
      </c>
      <c r="AB157" s="20">
        <v>56087.01</v>
      </c>
      <c r="AC157" s="20">
        <v>970433.61</v>
      </c>
      <c r="AK157" s="20" t="s">
        <v>1377</v>
      </c>
      <c r="AL157" s="20">
        <v>2</v>
      </c>
      <c r="AM157">
        <v>6</v>
      </c>
      <c r="AO157" s="20" t="s">
        <v>507</v>
      </c>
      <c r="AP157" s="20">
        <v>2</v>
      </c>
    </row>
    <row r="158" spans="1:42" x14ac:dyDescent="0.25">
      <c r="A158" s="20" t="s">
        <v>2032</v>
      </c>
      <c r="B158" s="20" t="s">
        <v>2191</v>
      </c>
      <c r="C158" s="20">
        <v>0</v>
      </c>
      <c r="E158" s="20" t="s">
        <v>398</v>
      </c>
      <c r="F158" s="20" t="s">
        <v>2191</v>
      </c>
      <c r="G158" s="20">
        <v>0</v>
      </c>
      <c r="I158" s="20" t="s">
        <v>648</v>
      </c>
      <c r="J158" s="20">
        <v>3662</v>
      </c>
      <c r="L158" s="20" t="s">
        <v>1388</v>
      </c>
      <c r="M158" s="20">
        <v>11654</v>
      </c>
      <c r="U158" s="20" t="s">
        <v>3054</v>
      </c>
      <c r="V158" s="20">
        <v>10</v>
      </c>
      <c r="X158" s="20" t="s">
        <v>1182</v>
      </c>
      <c r="Y158" s="20">
        <v>1</v>
      </c>
      <c r="AA158" s="20" t="s">
        <v>2255</v>
      </c>
      <c r="AB158" s="20">
        <v>0</v>
      </c>
      <c r="AC158" s="20">
        <v>0</v>
      </c>
      <c r="AK158" s="20" t="s">
        <v>3653</v>
      </c>
      <c r="AL158" s="20"/>
      <c r="AM158">
        <v>1</v>
      </c>
      <c r="AO158" s="20" t="s">
        <v>1499</v>
      </c>
      <c r="AP158" s="20">
        <v>2</v>
      </c>
    </row>
    <row r="159" spans="1:42" x14ac:dyDescent="0.25">
      <c r="A159" s="20" t="s">
        <v>2211</v>
      </c>
      <c r="B159" s="20" t="s">
        <v>2191</v>
      </c>
      <c r="C159" s="20">
        <v>0</v>
      </c>
      <c r="E159" s="20" t="s">
        <v>1856</v>
      </c>
      <c r="F159" s="20" t="s">
        <v>2191</v>
      </c>
      <c r="G159" s="20">
        <v>0</v>
      </c>
      <c r="I159" s="20" t="s">
        <v>1229</v>
      </c>
      <c r="J159" s="20">
        <v>4768</v>
      </c>
      <c r="L159" s="20" t="s">
        <v>1158</v>
      </c>
      <c r="M159" s="20">
        <v>951</v>
      </c>
      <c r="U159" s="20" t="s">
        <v>3056</v>
      </c>
      <c r="V159" s="20">
        <v>1</v>
      </c>
      <c r="X159" s="20" t="s">
        <v>560</v>
      </c>
      <c r="Y159" s="20">
        <v>1</v>
      </c>
      <c r="AA159" s="20" t="s">
        <v>397</v>
      </c>
      <c r="AB159" s="20">
        <v>0</v>
      </c>
      <c r="AC159" s="20">
        <v>0</v>
      </c>
      <c r="AK159" s="20" t="s">
        <v>475</v>
      </c>
      <c r="AL159" s="20">
        <v>11</v>
      </c>
      <c r="AM159">
        <v>18</v>
      </c>
      <c r="AO159" s="20" t="s">
        <v>1500</v>
      </c>
      <c r="AP159" s="20">
        <v>1</v>
      </c>
    </row>
    <row r="160" spans="1:42" x14ac:dyDescent="0.25">
      <c r="A160" s="20" t="s">
        <v>588</v>
      </c>
      <c r="B160" s="20" t="s">
        <v>2191</v>
      </c>
      <c r="C160" s="20">
        <v>13318.16</v>
      </c>
      <c r="E160" s="20" t="s">
        <v>1568</v>
      </c>
      <c r="F160" s="20" t="s">
        <v>2191</v>
      </c>
      <c r="G160" s="20">
        <v>6264</v>
      </c>
      <c r="I160" s="20" t="s">
        <v>129</v>
      </c>
      <c r="J160" s="20">
        <v>9162</v>
      </c>
      <c r="L160" s="20" t="s">
        <v>407</v>
      </c>
      <c r="M160" s="20">
        <v>13220</v>
      </c>
      <c r="U160" s="20" t="s">
        <v>3062</v>
      </c>
      <c r="V160" s="20">
        <v>2</v>
      </c>
      <c r="X160" s="20" t="s">
        <v>1407</v>
      </c>
      <c r="Y160" s="20">
        <v>3</v>
      </c>
      <c r="AA160" s="20" t="s">
        <v>2256</v>
      </c>
      <c r="AB160" s="20">
        <v>0</v>
      </c>
      <c r="AC160" s="20">
        <v>0</v>
      </c>
      <c r="AK160" s="20" t="s">
        <v>478</v>
      </c>
      <c r="AL160" s="20">
        <v>1</v>
      </c>
      <c r="AM160">
        <v>6</v>
      </c>
      <c r="AO160" s="20" t="s">
        <v>1410</v>
      </c>
      <c r="AP160" s="20">
        <v>2</v>
      </c>
    </row>
    <row r="161" spans="1:42" x14ac:dyDescent="0.25">
      <c r="A161" s="20" t="s">
        <v>2212</v>
      </c>
      <c r="B161" s="20" t="s">
        <v>2191</v>
      </c>
      <c r="C161" s="20">
        <v>0</v>
      </c>
      <c r="E161" s="20" t="s">
        <v>400</v>
      </c>
      <c r="F161" s="20" t="s">
        <v>2191</v>
      </c>
      <c r="G161" s="20">
        <v>0</v>
      </c>
      <c r="I161" s="20" t="s">
        <v>728</v>
      </c>
      <c r="J161" s="20">
        <v>19849.98</v>
      </c>
      <c r="L161" s="20" t="s">
        <v>430</v>
      </c>
      <c r="M161" s="20">
        <v>17191.349999999999</v>
      </c>
      <c r="U161" s="20" t="s">
        <v>3091</v>
      </c>
      <c r="V161" s="20">
        <v>1</v>
      </c>
      <c r="X161" s="20" t="s">
        <v>834</v>
      </c>
      <c r="Y161" s="20">
        <v>1</v>
      </c>
      <c r="AA161" s="20" t="s">
        <v>2257</v>
      </c>
      <c r="AB161" s="20">
        <v>0</v>
      </c>
      <c r="AC161" s="20">
        <v>0</v>
      </c>
      <c r="AK161" s="20" t="s">
        <v>1222</v>
      </c>
      <c r="AL161" s="20">
        <v>0</v>
      </c>
      <c r="AM161">
        <v>2</v>
      </c>
      <c r="AO161" s="20" t="s">
        <v>774</v>
      </c>
      <c r="AP161" s="20">
        <v>1</v>
      </c>
    </row>
    <row r="162" spans="1:42" x14ac:dyDescent="0.25">
      <c r="A162" s="20" t="s">
        <v>2213</v>
      </c>
      <c r="B162" s="20" t="s">
        <v>2191</v>
      </c>
      <c r="C162" s="20">
        <v>0</v>
      </c>
      <c r="E162" s="20" t="s">
        <v>2166</v>
      </c>
      <c r="F162" s="20" t="s">
        <v>2191</v>
      </c>
      <c r="G162" s="20">
        <v>0</v>
      </c>
      <c r="I162" s="20" t="s">
        <v>321</v>
      </c>
      <c r="J162" s="20">
        <v>2100.08</v>
      </c>
      <c r="L162" s="20" t="s">
        <v>1316</v>
      </c>
      <c r="M162" s="20">
        <v>1159</v>
      </c>
      <c r="U162" s="20" t="s">
        <v>3085</v>
      </c>
      <c r="V162" s="20">
        <v>1</v>
      </c>
      <c r="X162" s="20" t="s">
        <v>507</v>
      </c>
      <c r="Y162" s="20">
        <v>1</v>
      </c>
      <c r="AA162" s="20" t="s">
        <v>2258</v>
      </c>
      <c r="AB162" s="20">
        <v>0</v>
      </c>
      <c r="AC162" s="20">
        <v>0</v>
      </c>
      <c r="AK162" s="20" t="s">
        <v>467</v>
      </c>
      <c r="AL162" s="20">
        <v>1</v>
      </c>
      <c r="AM162">
        <v>2</v>
      </c>
      <c r="AO162" s="20" t="s">
        <v>375</v>
      </c>
      <c r="AP162" s="20">
        <v>1</v>
      </c>
    </row>
    <row r="163" spans="1:42" x14ac:dyDescent="0.25">
      <c r="A163" s="20" t="s">
        <v>88</v>
      </c>
      <c r="B163" s="20" t="s">
        <v>2191</v>
      </c>
      <c r="C163" s="20">
        <v>5639</v>
      </c>
      <c r="E163" s="20" t="s">
        <v>1570</v>
      </c>
      <c r="F163" s="20" t="s">
        <v>2191</v>
      </c>
      <c r="G163" s="20">
        <v>0</v>
      </c>
      <c r="I163" s="20" t="s">
        <v>1478</v>
      </c>
      <c r="J163" s="20">
        <v>1349</v>
      </c>
      <c r="L163" s="20" t="s">
        <v>1392</v>
      </c>
      <c r="M163" s="20">
        <v>25010.6</v>
      </c>
      <c r="U163" s="20" t="s">
        <v>3078</v>
      </c>
      <c r="V163" s="20">
        <v>3</v>
      </c>
      <c r="X163" s="20" t="s">
        <v>1499</v>
      </c>
      <c r="Y163" s="20">
        <v>7</v>
      </c>
      <c r="AA163" s="20" t="s">
        <v>2259</v>
      </c>
      <c r="AB163" s="20">
        <v>0</v>
      </c>
      <c r="AC163" s="20">
        <v>0</v>
      </c>
      <c r="AK163" s="20" t="s">
        <v>641</v>
      </c>
      <c r="AL163" s="20">
        <v>1</v>
      </c>
      <c r="AM163">
        <v>5</v>
      </c>
      <c r="AO163" s="20" t="s">
        <v>1055</v>
      </c>
      <c r="AP163" s="20">
        <v>1</v>
      </c>
    </row>
    <row r="164" spans="1:42" x14ac:dyDescent="0.25">
      <c r="A164" s="20" t="s">
        <v>2214</v>
      </c>
      <c r="B164" s="20" t="s">
        <v>2191</v>
      </c>
      <c r="C164" s="20">
        <v>0</v>
      </c>
      <c r="E164" s="20" t="s">
        <v>693</v>
      </c>
      <c r="F164" s="20" t="s">
        <v>2191</v>
      </c>
      <c r="G164" s="20">
        <v>0</v>
      </c>
      <c r="I164" s="20" t="s">
        <v>459</v>
      </c>
      <c r="J164" s="20">
        <v>3329</v>
      </c>
      <c r="L164" s="20" t="s">
        <v>341</v>
      </c>
      <c r="M164" s="20">
        <v>7243</v>
      </c>
      <c r="U164" s="20" t="s">
        <v>3106</v>
      </c>
      <c r="V164" s="20">
        <v>8</v>
      </c>
      <c r="X164" s="20" t="s">
        <v>1500</v>
      </c>
      <c r="Y164" s="20">
        <v>1</v>
      </c>
      <c r="AA164" s="20" t="s">
        <v>2260</v>
      </c>
      <c r="AB164" s="20">
        <v>0</v>
      </c>
      <c r="AC164" s="20">
        <v>0</v>
      </c>
      <c r="AK164" s="20" t="s">
        <v>480</v>
      </c>
      <c r="AL164" s="20">
        <v>3</v>
      </c>
      <c r="AM164">
        <v>8</v>
      </c>
      <c r="AO164" s="20" t="s">
        <v>1415</v>
      </c>
      <c r="AP164" s="20">
        <v>1</v>
      </c>
    </row>
    <row r="165" spans="1:42" x14ac:dyDescent="0.25">
      <c r="A165" s="20" t="s">
        <v>1068</v>
      </c>
      <c r="B165" s="20" t="s">
        <v>2191</v>
      </c>
      <c r="C165" s="20">
        <v>0</v>
      </c>
      <c r="E165" s="20" t="s">
        <v>2266</v>
      </c>
      <c r="F165" s="20" t="s">
        <v>2191</v>
      </c>
      <c r="G165" s="20">
        <v>0</v>
      </c>
      <c r="I165" s="20" t="s">
        <v>75</v>
      </c>
      <c r="J165" s="20">
        <v>25266.11</v>
      </c>
      <c r="L165" s="20" t="s">
        <v>154</v>
      </c>
      <c r="M165" s="20">
        <v>1934</v>
      </c>
      <c r="U165" s="20" t="s">
        <v>3116</v>
      </c>
      <c r="V165" s="20">
        <v>1</v>
      </c>
      <c r="X165" s="20" t="s">
        <v>368</v>
      </c>
      <c r="Y165" s="20">
        <v>1</v>
      </c>
      <c r="AA165" s="20" t="s">
        <v>1856</v>
      </c>
      <c r="AB165" s="20">
        <v>0</v>
      </c>
      <c r="AC165" s="20">
        <v>0</v>
      </c>
      <c r="AK165" s="20" t="s">
        <v>917</v>
      </c>
      <c r="AL165" s="20">
        <v>3</v>
      </c>
      <c r="AM165">
        <v>13</v>
      </c>
      <c r="AO165" s="20" t="s">
        <v>379</v>
      </c>
      <c r="AP165" s="20">
        <v>5</v>
      </c>
    </row>
    <row r="166" spans="1:42" x14ac:dyDescent="0.25">
      <c r="A166" s="20" t="s">
        <v>90</v>
      </c>
      <c r="B166" s="20" t="s">
        <v>2191</v>
      </c>
      <c r="C166" s="20">
        <v>-144.1</v>
      </c>
      <c r="E166" s="20" t="s">
        <v>1081</v>
      </c>
      <c r="F166" s="20" t="s">
        <v>2191</v>
      </c>
      <c r="G166" s="20">
        <v>0</v>
      </c>
      <c r="I166" s="20" t="s">
        <v>1234</v>
      </c>
      <c r="J166" s="20">
        <v>46727.3</v>
      </c>
      <c r="L166" s="20" t="s">
        <v>872</v>
      </c>
      <c r="M166" s="20">
        <v>24221.759999999998</v>
      </c>
      <c r="U166" s="20" t="s">
        <v>3114</v>
      </c>
      <c r="V166" s="20">
        <v>1</v>
      </c>
      <c r="X166" s="20" t="s">
        <v>937</v>
      </c>
      <c r="Y166" s="20">
        <v>1</v>
      </c>
      <c r="AA166" s="20" t="s">
        <v>1568</v>
      </c>
      <c r="AB166" s="20">
        <v>33168.300000000003</v>
      </c>
      <c r="AC166" s="20">
        <v>87677.51</v>
      </c>
      <c r="AK166" s="20" t="s">
        <v>483</v>
      </c>
      <c r="AL166" s="20">
        <v>0</v>
      </c>
      <c r="AM166">
        <v>3</v>
      </c>
      <c r="AO166" s="20" t="s">
        <v>566</v>
      </c>
      <c r="AP166" s="20">
        <v>1</v>
      </c>
    </row>
    <row r="167" spans="1:42" x14ac:dyDescent="0.25">
      <c r="A167" s="20" t="s">
        <v>2215</v>
      </c>
      <c r="B167" s="20" t="s">
        <v>2191</v>
      </c>
      <c r="C167" s="20">
        <v>0</v>
      </c>
      <c r="E167" s="20" t="s">
        <v>1959</v>
      </c>
      <c r="F167" s="20" t="s">
        <v>2191</v>
      </c>
      <c r="G167" s="20">
        <v>0</v>
      </c>
      <c r="I167" s="20" t="s">
        <v>737</v>
      </c>
      <c r="J167" s="20">
        <v>57954.59</v>
      </c>
      <c r="L167" s="20" t="s">
        <v>158</v>
      </c>
      <c r="M167" s="20">
        <v>6793</v>
      </c>
      <c r="U167" s="20" t="s">
        <v>3122</v>
      </c>
      <c r="V167" s="20">
        <v>4</v>
      </c>
      <c r="X167" s="20" t="s">
        <v>562</v>
      </c>
      <c r="Y167" s="20">
        <v>3</v>
      </c>
      <c r="AA167" s="20" t="s">
        <v>2261</v>
      </c>
      <c r="AB167" s="20">
        <v>0</v>
      </c>
      <c r="AC167" s="20">
        <v>0</v>
      </c>
      <c r="AK167" s="20" t="s">
        <v>1690</v>
      </c>
      <c r="AL167" s="20"/>
      <c r="AM167">
        <v>1</v>
      </c>
      <c r="AO167" s="20" t="s">
        <v>1419</v>
      </c>
      <c r="AP167" s="20">
        <v>1</v>
      </c>
    </row>
    <row r="168" spans="1:42" x14ac:dyDescent="0.25">
      <c r="A168" s="20" t="s">
        <v>388</v>
      </c>
      <c r="B168" s="20" t="s">
        <v>2191</v>
      </c>
      <c r="C168" s="20">
        <v>0</v>
      </c>
      <c r="E168" s="20" t="s">
        <v>1004</v>
      </c>
      <c r="F168" s="20" t="s">
        <v>2191</v>
      </c>
      <c r="G168" s="20">
        <v>0</v>
      </c>
      <c r="I168" s="20" t="s">
        <v>934</v>
      </c>
      <c r="J168" s="20">
        <v>5498</v>
      </c>
      <c r="L168" s="20" t="s">
        <v>1164</v>
      </c>
      <c r="M168" s="20">
        <v>1101</v>
      </c>
      <c r="U168" s="20" t="s">
        <v>3132</v>
      </c>
      <c r="V168" s="20">
        <v>1</v>
      </c>
      <c r="X168" s="20" t="s">
        <v>1185</v>
      </c>
      <c r="Y168" s="20">
        <v>2</v>
      </c>
      <c r="AA168" s="20" t="s">
        <v>2263</v>
      </c>
      <c r="AB168" s="20">
        <v>0</v>
      </c>
      <c r="AC168" s="20">
        <v>0</v>
      </c>
      <c r="AK168" s="20" t="s">
        <v>1000</v>
      </c>
      <c r="AL168" s="20">
        <v>0</v>
      </c>
      <c r="AM168">
        <v>3</v>
      </c>
      <c r="AO168" s="20" t="s">
        <v>780</v>
      </c>
      <c r="AP168" s="20">
        <v>1</v>
      </c>
    </row>
    <row r="169" spans="1:42" x14ac:dyDescent="0.25">
      <c r="A169" s="20" t="s">
        <v>1902</v>
      </c>
      <c r="B169" s="20" t="s">
        <v>2191</v>
      </c>
      <c r="C169" s="20">
        <v>0</v>
      </c>
      <c r="E169" s="20" t="s">
        <v>1255</v>
      </c>
      <c r="F169" s="20" t="s">
        <v>2191</v>
      </c>
      <c r="G169" s="20">
        <v>0</v>
      </c>
      <c r="I169" s="20" t="s">
        <v>1140</v>
      </c>
      <c r="J169" s="20">
        <v>-945.57</v>
      </c>
      <c r="L169" s="20" t="s">
        <v>1238</v>
      </c>
      <c r="M169" s="20">
        <v>1448</v>
      </c>
      <c r="U169" s="20" t="s">
        <v>3129</v>
      </c>
      <c r="V169" s="20">
        <v>1</v>
      </c>
      <c r="X169" s="20" t="s">
        <v>97</v>
      </c>
      <c r="Y169" s="20">
        <v>1</v>
      </c>
      <c r="AA169" s="20" t="s">
        <v>2264</v>
      </c>
      <c r="AB169" s="20">
        <v>0</v>
      </c>
      <c r="AC169" s="20">
        <v>0</v>
      </c>
      <c r="AK169" s="20" t="s">
        <v>718</v>
      </c>
      <c r="AL169" s="20">
        <v>4</v>
      </c>
      <c r="AM169">
        <v>8</v>
      </c>
      <c r="AO169" s="20" t="s">
        <v>976</v>
      </c>
      <c r="AP169" s="20">
        <v>2</v>
      </c>
    </row>
    <row r="170" spans="1:42" x14ac:dyDescent="0.25">
      <c r="A170" s="20" t="s">
        <v>1363</v>
      </c>
      <c r="B170" s="20" t="s">
        <v>2191</v>
      </c>
      <c r="C170" s="20">
        <v>0</v>
      </c>
      <c r="E170" s="20" t="s">
        <v>401</v>
      </c>
      <c r="F170" s="20" t="s">
        <v>2191</v>
      </c>
      <c r="G170" s="20">
        <v>0</v>
      </c>
      <c r="I170" s="20" t="s">
        <v>524</v>
      </c>
      <c r="J170" s="20">
        <v>7972.02</v>
      </c>
      <c r="L170" s="20" t="s">
        <v>115</v>
      </c>
      <c r="M170" s="20">
        <v>-3245.81</v>
      </c>
      <c r="U170" s="20" t="s">
        <v>3145</v>
      </c>
      <c r="V170" s="20">
        <v>1</v>
      </c>
      <c r="X170" s="20" t="s">
        <v>774</v>
      </c>
      <c r="Y170" s="20">
        <v>1</v>
      </c>
      <c r="AA170" s="20" t="s">
        <v>1569</v>
      </c>
      <c r="AB170" s="20">
        <v>-39585.21</v>
      </c>
      <c r="AC170" s="20">
        <v>29804.84</v>
      </c>
      <c r="AK170" s="20" t="s">
        <v>118</v>
      </c>
      <c r="AL170" s="20"/>
      <c r="AM170">
        <v>1</v>
      </c>
      <c r="AO170" s="20" t="s">
        <v>1248</v>
      </c>
      <c r="AP170" s="20">
        <v>5</v>
      </c>
    </row>
    <row r="171" spans="1:42" x14ac:dyDescent="0.25">
      <c r="A171" s="20" t="s">
        <v>2216</v>
      </c>
      <c r="B171" s="20" t="s">
        <v>2191</v>
      </c>
      <c r="C171" s="20">
        <v>0</v>
      </c>
      <c r="E171" s="20" t="s">
        <v>1435</v>
      </c>
      <c r="F171" s="20" t="s">
        <v>2191</v>
      </c>
      <c r="G171" s="20">
        <v>0</v>
      </c>
      <c r="I171" s="20" t="s">
        <v>140</v>
      </c>
      <c r="J171" s="20">
        <v>16128</v>
      </c>
      <c r="L171" s="20" t="s">
        <v>160</v>
      </c>
      <c r="M171" s="20">
        <v>36735.06</v>
      </c>
      <c r="U171" s="20" t="s">
        <v>3138</v>
      </c>
      <c r="V171" s="20">
        <v>2</v>
      </c>
      <c r="X171" s="20" t="s">
        <v>967</v>
      </c>
      <c r="Y171" s="20">
        <v>2</v>
      </c>
      <c r="AA171" s="20" t="s">
        <v>693</v>
      </c>
      <c r="AB171" s="20">
        <v>10212.74</v>
      </c>
      <c r="AC171" s="20">
        <v>82556.83</v>
      </c>
      <c r="AK171" s="20" t="s">
        <v>296</v>
      </c>
      <c r="AL171" s="20">
        <v>1</v>
      </c>
      <c r="AM171">
        <v>1</v>
      </c>
      <c r="AO171" s="20" t="s">
        <v>188</v>
      </c>
      <c r="AP171" s="20">
        <v>1</v>
      </c>
    </row>
    <row r="172" spans="1:42" x14ac:dyDescent="0.25">
      <c r="A172" s="20" t="s">
        <v>1554</v>
      </c>
      <c r="B172" s="20" t="s">
        <v>2191</v>
      </c>
      <c r="C172" s="20">
        <v>0</v>
      </c>
      <c r="E172" s="20" t="s">
        <v>403</v>
      </c>
      <c r="F172" s="20" t="s">
        <v>2191</v>
      </c>
      <c r="G172" s="20">
        <v>13161</v>
      </c>
      <c r="I172" s="20" t="s">
        <v>1482</v>
      </c>
      <c r="J172" s="20">
        <v>10166</v>
      </c>
      <c r="L172" s="20" t="s">
        <v>943</v>
      </c>
      <c r="M172" s="20">
        <v>-4555.7</v>
      </c>
      <c r="U172" s="20" t="s">
        <v>3153</v>
      </c>
      <c r="V172" s="20">
        <v>2</v>
      </c>
      <c r="X172" s="20" t="s">
        <v>1051</v>
      </c>
      <c r="Y172" s="20">
        <v>1</v>
      </c>
      <c r="AA172" s="20" t="s">
        <v>2035</v>
      </c>
      <c r="AB172" s="20">
        <v>0</v>
      </c>
      <c r="AC172" s="20">
        <v>0</v>
      </c>
      <c r="AK172" s="20" t="s">
        <v>1199</v>
      </c>
      <c r="AL172" s="20">
        <v>4</v>
      </c>
      <c r="AM172">
        <v>27</v>
      </c>
      <c r="AO172" s="20" t="s">
        <v>667</v>
      </c>
      <c r="AP172" s="20">
        <v>5</v>
      </c>
    </row>
    <row r="173" spans="1:42" x14ac:dyDescent="0.25">
      <c r="A173" s="20" t="s">
        <v>2217</v>
      </c>
      <c r="B173" s="20" t="s">
        <v>2191</v>
      </c>
      <c r="C173" s="20">
        <v>0</v>
      </c>
      <c r="E173" s="20" t="s">
        <v>405</v>
      </c>
      <c r="F173" s="20" t="s">
        <v>2191</v>
      </c>
      <c r="G173" s="20">
        <v>0</v>
      </c>
      <c r="I173" s="20" t="s">
        <v>1385</v>
      </c>
      <c r="J173" s="20">
        <v>4249.6000000000004</v>
      </c>
      <c r="L173" s="20" t="s">
        <v>350</v>
      </c>
      <c r="M173" s="20">
        <v>5860</v>
      </c>
      <c r="U173" s="20" t="s">
        <v>3166</v>
      </c>
      <c r="V173" s="20">
        <v>2</v>
      </c>
      <c r="X173" s="20" t="s">
        <v>375</v>
      </c>
      <c r="Y173" s="20">
        <v>1</v>
      </c>
      <c r="AA173" s="20" t="s">
        <v>2265</v>
      </c>
      <c r="AB173" s="20">
        <v>0</v>
      </c>
      <c r="AC173" s="20">
        <v>0</v>
      </c>
      <c r="AK173" s="20" t="s">
        <v>668</v>
      </c>
      <c r="AL173" s="20">
        <v>6</v>
      </c>
      <c r="AM173">
        <v>19</v>
      </c>
      <c r="AO173" s="20" t="s">
        <v>194</v>
      </c>
      <c r="AP173" s="20">
        <v>3</v>
      </c>
    </row>
    <row r="174" spans="1:42" x14ac:dyDescent="0.25">
      <c r="A174" s="20" t="s">
        <v>2218</v>
      </c>
      <c r="B174" s="20" t="s">
        <v>2191</v>
      </c>
      <c r="C174" s="20">
        <v>0</v>
      </c>
      <c r="E174" s="20" t="s">
        <v>94</v>
      </c>
      <c r="F174" s="20" t="s">
        <v>2191</v>
      </c>
      <c r="G174" s="20">
        <v>0</v>
      </c>
      <c r="I174" s="20" t="s">
        <v>144</v>
      </c>
      <c r="J174" s="20">
        <v>5327</v>
      </c>
      <c r="L174" s="20" t="s">
        <v>167</v>
      </c>
      <c r="M174" s="20">
        <v>41133</v>
      </c>
      <c r="U174" s="20" t="s">
        <v>3181</v>
      </c>
      <c r="V174" s="20">
        <v>2</v>
      </c>
      <c r="X174" s="20" t="s">
        <v>1055</v>
      </c>
      <c r="Y174" s="20">
        <v>1</v>
      </c>
      <c r="AA174" s="20" t="s">
        <v>1571</v>
      </c>
      <c r="AB174" s="20">
        <v>-510.42</v>
      </c>
      <c r="AC174" s="20">
        <v>0</v>
      </c>
      <c r="AK174" s="20" t="s">
        <v>1125</v>
      </c>
      <c r="AL174" s="20">
        <v>0</v>
      </c>
      <c r="AM174">
        <v>2</v>
      </c>
      <c r="AO174" s="20" t="s">
        <v>1507</v>
      </c>
      <c r="AP174" s="20">
        <v>1</v>
      </c>
    </row>
    <row r="175" spans="1:42" x14ac:dyDescent="0.25">
      <c r="A175" s="20" t="s">
        <v>2219</v>
      </c>
      <c r="B175" s="20" t="s">
        <v>2191</v>
      </c>
      <c r="C175" s="20">
        <v>0</v>
      </c>
      <c r="E175" s="20" t="s">
        <v>1828</v>
      </c>
      <c r="F175" s="20" t="s">
        <v>2191</v>
      </c>
      <c r="G175" s="20">
        <v>0</v>
      </c>
      <c r="I175" s="20" t="s">
        <v>655</v>
      </c>
      <c r="J175" s="20">
        <v>25060</v>
      </c>
      <c r="L175" s="20" t="s">
        <v>352</v>
      </c>
      <c r="M175" s="20">
        <v>7397</v>
      </c>
      <c r="U175" s="20" t="s">
        <v>3176</v>
      </c>
      <c r="V175" s="20">
        <v>2</v>
      </c>
      <c r="X175" s="20" t="s">
        <v>1416</v>
      </c>
      <c r="Y175" s="20">
        <v>2</v>
      </c>
      <c r="AA175" s="20" t="s">
        <v>2267</v>
      </c>
      <c r="AB175" s="20">
        <v>0</v>
      </c>
      <c r="AC175" s="20">
        <v>0</v>
      </c>
      <c r="AK175" s="20" t="s">
        <v>1127</v>
      </c>
      <c r="AL175" s="20">
        <v>5</v>
      </c>
      <c r="AM175">
        <v>17</v>
      </c>
      <c r="AO175" s="20" t="s">
        <v>327</v>
      </c>
      <c r="AP175" s="20">
        <v>14</v>
      </c>
    </row>
    <row r="176" spans="1:42" x14ac:dyDescent="0.25">
      <c r="A176" s="20" t="s">
        <v>2220</v>
      </c>
      <c r="B176" s="20" t="s">
        <v>2191</v>
      </c>
      <c r="C176" s="20">
        <v>0</v>
      </c>
      <c r="E176" s="20" t="s">
        <v>595</v>
      </c>
      <c r="F176" s="20" t="s">
        <v>2191</v>
      </c>
      <c r="G176" s="20">
        <v>0</v>
      </c>
      <c r="I176" s="20" t="s">
        <v>146</v>
      </c>
      <c r="J176" s="20">
        <v>0</v>
      </c>
      <c r="L176" s="20" t="s">
        <v>1171</v>
      </c>
      <c r="M176" s="20">
        <v>1251</v>
      </c>
      <c r="U176" s="20" t="s">
        <v>3178</v>
      </c>
      <c r="V176" s="20">
        <v>3</v>
      </c>
      <c r="X176" s="20" t="s">
        <v>379</v>
      </c>
      <c r="Y176" s="20">
        <v>16</v>
      </c>
      <c r="AA176" s="20" t="s">
        <v>2268</v>
      </c>
      <c r="AB176" s="20">
        <v>0</v>
      </c>
      <c r="AC176" s="20">
        <v>0</v>
      </c>
      <c r="AK176" s="20" t="s">
        <v>298</v>
      </c>
      <c r="AL176" s="20">
        <v>2</v>
      </c>
      <c r="AM176">
        <v>3</v>
      </c>
      <c r="AO176" s="20" t="s">
        <v>500</v>
      </c>
      <c r="AP176" s="20">
        <v>1</v>
      </c>
    </row>
    <row r="177" spans="1:42" x14ac:dyDescent="0.25">
      <c r="A177" s="20" t="s">
        <v>1555</v>
      </c>
      <c r="B177" s="20" t="s">
        <v>2191</v>
      </c>
      <c r="C177" s="20">
        <v>0</v>
      </c>
      <c r="E177" s="20" t="s">
        <v>1874</v>
      </c>
      <c r="F177" s="20" t="s">
        <v>2191</v>
      </c>
      <c r="G177" s="20">
        <v>0</v>
      </c>
      <c r="I177" s="20" t="s">
        <v>218</v>
      </c>
      <c r="J177" s="20">
        <v>6095</v>
      </c>
      <c r="L177" s="20" t="s">
        <v>1172</v>
      </c>
      <c r="M177" s="20">
        <v>4550</v>
      </c>
      <c r="U177" s="20" t="s">
        <v>3164</v>
      </c>
      <c r="V177" s="20">
        <v>9</v>
      </c>
      <c r="X177" s="20" t="s">
        <v>1538</v>
      </c>
      <c r="Y177" s="20">
        <v>1</v>
      </c>
      <c r="AA177" s="20" t="s">
        <v>1572</v>
      </c>
      <c r="AB177" s="20">
        <v>-730.4</v>
      </c>
      <c r="AC177" s="20">
        <v>0</v>
      </c>
      <c r="AK177" s="20" t="s">
        <v>300</v>
      </c>
      <c r="AL177" s="20">
        <v>2</v>
      </c>
      <c r="AM177">
        <v>8</v>
      </c>
      <c r="AO177" s="20" t="s">
        <v>198</v>
      </c>
      <c r="AP177" s="20">
        <v>1</v>
      </c>
    </row>
    <row r="178" spans="1:42" x14ac:dyDescent="0.25">
      <c r="A178" s="20" t="s">
        <v>2221</v>
      </c>
      <c r="B178" s="20" t="s">
        <v>2191</v>
      </c>
      <c r="C178" s="20">
        <v>0</v>
      </c>
      <c r="E178" s="20" t="s">
        <v>1875</v>
      </c>
      <c r="F178" s="20" t="s">
        <v>2191</v>
      </c>
      <c r="G178" s="20">
        <v>0</v>
      </c>
      <c r="I178" s="20" t="s">
        <v>1156</v>
      </c>
      <c r="J178" s="20">
        <v>2487</v>
      </c>
      <c r="L178" s="20" t="s">
        <v>761</v>
      </c>
      <c r="M178" s="20">
        <v>37595</v>
      </c>
      <c r="U178" s="20" t="s">
        <v>3193</v>
      </c>
      <c r="V178" s="20">
        <v>1</v>
      </c>
      <c r="X178" s="20" t="s">
        <v>1418</v>
      </c>
      <c r="Y178" s="20">
        <v>1</v>
      </c>
      <c r="AA178" s="20" t="s">
        <v>1959</v>
      </c>
      <c r="AB178" s="20">
        <v>0</v>
      </c>
      <c r="AC178" s="20">
        <v>0</v>
      </c>
      <c r="AK178" s="20" t="s">
        <v>487</v>
      </c>
      <c r="AL178" s="20">
        <v>1</v>
      </c>
      <c r="AM178">
        <v>1</v>
      </c>
      <c r="AO178" s="20" t="s">
        <v>1510</v>
      </c>
      <c r="AP178" s="20">
        <v>4</v>
      </c>
    </row>
    <row r="179" spans="1:42" x14ac:dyDescent="0.25">
      <c r="A179" s="20" t="s">
        <v>93</v>
      </c>
      <c r="B179" s="20" t="s">
        <v>2191</v>
      </c>
      <c r="C179" s="20">
        <v>0</v>
      </c>
      <c r="E179" s="20" t="s">
        <v>1960</v>
      </c>
      <c r="F179" s="20" t="s">
        <v>2191</v>
      </c>
      <c r="G179" s="20">
        <v>0</v>
      </c>
      <c r="I179" s="20" t="s">
        <v>743</v>
      </c>
      <c r="J179" s="20">
        <v>0</v>
      </c>
      <c r="L179" s="20" t="s">
        <v>408</v>
      </c>
      <c r="M179" s="20">
        <v>15447</v>
      </c>
      <c r="U179" s="20" t="s">
        <v>3205</v>
      </c>
      <c r="V179" s="20">
        <v>1</v>
      </c>
      <c r="X179" s="20" t="s">
        <v>1419</v>
      </c>
      <c r="Y179" s="20">
        <v>2</v>
      </c>
      <c r="AA179" s="20" t="s">
        <v>2270</v>
      </c>
      <c r="AB179" s="20">
        <v>0</v>
      </c>
      <c r="AC179" s="20">
        <v>0</v>
      </c>
      <c r="AK179" s="20" t="s">
        <v>1290</v>
      </c>
      <c r="AL179" s="20">
        <v>1</v>
      </c>
      <c r="AM179">
        <v>2</v>
      </c>
      <c r="AO179" s="20" t="s">
        <v>796</v>
      </c>
      <c r="AP179" s="20">
        <v>2</v>
      </c>
    </row>
    <row r="180" spans="1:42" x14ac:dyDescent="0.25">
      <c r="A180" s="20" t="s">
        <v>2151</v>
      </c>
      <c r="B180" s="20" t="s">
        <v>2191</v>
      </c>
      <c r="C180" s="20">
        <v>0</v>
      </c>
      <c r="E180" s="20" t="s">
        <v>2002</v>
      </c>
      <c r="F180" s="20" t="s">
        <v>2191</v>
      </c>
      <c r="G180" s="20">
        <v>0</v>
      </c>
      <c r="I180" s="20" t="s">
        <v>745</v>
      </c>
      <c r="J180" s="20">
        <v>3413</v>
      </c>
      <c r="L180" s="20" t="s">
        <v>1241</v>
      </c>
      <c r="M180" s="20">
        <v>22274</v>
      </c>
      <c r="U180" s="20" t="s">
        <v>3220</v>
      </c>
      <c r="V180" s="20">
        <v>1</v>
      </c>
      <c r="X180" s="20" t="s">
        <v>836</v>
      </c>
      <c r="Y180" s="20">
        <v>1</v>
      </c>
      <c r="AA180" s="20" t="s">
        <v>401</v>
      </c>
      <c r="AB180" s="20">
        <v>-519.6</v>
      </c>
      <c r="AC180" s="20">
        <v>31769.119999999999</v>
      </c>
      <c r="AK180" s="20" t="s">
        <v>303</v>
      </c>
      <c r="AL180" s="20">
        <v>2</v>
      </c>
      <c r="AM180">
        <v>7</v>
      </c>
      <c r="AO180" s="20" t="s">
        <v>980</v>
      </c>
      <c r="AP180" s="20">
        <v>2</v>
      </c>
    </row>
    <row r="181" spans="1:42" x14ac:dyDescent="0.25">
      <c r="A181" s="20" t="s">
        <v>2222</v>
      </c>
      <c r="B181" s="20" t="s">
        <v>2191</v>
      </c>
      <c r="C181" s="20">
        <v>0</v>
      </c>
      <c r="E181" s="20" t="s">
        <v>1368</v>
      </c>
      <c r="F181" s="20" t="s">
        <v>2191</v>
      </c>
      <c r="G181" s="20">
        <v>0</v>
      </c>
      <c r="I181" s="20" t="s">
        <v>1390</v>
      </c>
      <c r="J181" s="20">
        <v>4561</v>
      </c>
      <c r="L181" s="20" t="s">
        <v>1179</v>
      </c>
      <c r="M181" s="20">
        <v>3000</v>
      </c>
      <c r="U181" s="20" t="s">
        <v>3230</v>
      </c>
      <c r="V181" s="20">
        <v>2</v>
      </c>
      <c r="X181" s="20" t="s">
        <v>1191</v>
      </c>
      <c r="Y181" s="20">
        <v>1</v>
      </c>
      <c r="AA181" s="20" t="s">
        <v>403</v>
      </c>
      <c r="AB181" s="20">
        <v>19425.75</v>
      </c>
      <c r="AC181" s="20">
        <v>290390.2</v>
      </c>
      <c r="AK181" s="20" t="s">
        <v>1293</v>
      </c>
      <c r="AL181" s="20"/>
      <c r="AM181">
        <v>1</v>
      </c>
      <c r="AO181" s="20" t="s">
        <v>384</v>
      </c>
      <c r="AP181" s="20">
        <v>1</v>
      </c>
    </row>
    <row r="182" spans="1:42" x14ac:dyDescent="0.25">
      <c r="A182" s="20" t="s">
        <v>1556</v>
      </c>
      <c r="B182" s="20" t="s">
        <v>2191</v>
      </c>
      <c r="C182" s="20">
        <v>0</v>
      </c>
      <c r="E182" s="20" t="s">
        <v>596</v>
      </c>
      <c r="F182" s="20" t="s">
        <v>2191</v>
      </c>
      <c r="G182" s="20">
        <v>1351</v>
      </c>
      <c r="I182" s="20" t="s">
        <v>1158</v>
      </c>
      <c r="J182" s="20">
        <v>9204</v>
      </c>
      <c r="L182" s="20" t="s">
        <v>354</v>
      </c>
      <c r="M182" s="20">
        <v>0</v>
      </c>
      <c r="U182" s="20" t="s">
        <v>3241</v>
      </c>
      <c r="V182" s="20">
        <v>3</v>
      </c>
      <c r="X182" s="20" t="s">
        <v>976</v>
      </c>
      <c r="Y182" s="20">
        <v>4</v>
      </c>
      <c r="AA182" s="20" t="s">
        <v>2271</v>
      </c>
      <c r="AB182" s="20">
        <v>0</v>
      </c>
      <c r="AC182" s="20">
        <v>0</v>
      </c>
      <c r="AK182" s="20" t="s">
        <v>492</v>
      </c>
      <c r="AL182" s="20">
        <v>0</v>
      </c>
      <c r="AM182">
        <v>3</v>
      </c>
      <c r="AO182" s="20" t="s">
        <v>385</v>
      </c>
      <c r="AP182" s="20">
        <v>2</v>
      </c>
    </row>
    <row r="183" spans="1:42" x14ac:dyDescent="0.25">
      <c r="A183" s="20" t="s">
        <v>1071</v>
      </c>
      <c r="B183" s="20" t="s">
        <v>2191</v>
      </c>
      <c r="C183" s="20">
        <v>0</v>
      </c>
      <c r="E183" s="20" t="s">
        <v>1256</v>
      </c>
      <c r="F183" s="20" t="s">
        <v>2191</v>
      </c>
      <c r="G183" s="20">
        <v>0</v>
      </c>
      <c r="I183" s="20" t="s">
        <v>407</v>
      </c>
      <c r="J183" s="20">
        <v>15800.25</v>
      </c>
      <c r="L183" s="20" t="s">
        <v>996</v>
      </c>
      <c r="M183" s="20">
        <v>2107</v>
      </c>
      <c r="U183" s="20" t="s">
        <v>3243</v>
      </c>
      <c r="V183" s="20">
        <v>1</v>
      </c>
      <c r="X183" s="20" t="s">
        <v>1248</v>
      </c>
      <c r="Y183" s="20">
        <v>2</v>
      </c>
      <c r="AA183" s="20" t="s">
        <v>2272</v>
      </c>
      <c r="AB183" s="20">
        <v>0</v>
      </c>
      <c r="AC183" s="20">
        <v>0</v>
      </c>
      <c r="AK183" s="20" t="s">
        <v>305</v>
      </c>
      <c r="AL183" s="20">
        <v>1</v>
      </c>
      <c r="AM183">
        <v>5</v>
      </c>
      <c r="AO183" s="20" t="s">
        <v>671</v>
      </c>
      <c r="AP183" s="20">
        <v>1</v>
      </c>
    </row>
    <row r="184" spans="1:42" x14ac:dyDescent="0.25">
      <c r="A184" s="20" t="s">
        <v>2223</v>
      </c>
      <c r="B184" s="20" t="s">
        <v>2191</v>
      </c>
      <c r="C184" s="20">
        <v>0</v>
      </c>
      <c r="E184" s="20" t="s">
        <v>598</v>
      </c>
      <c r="F184" s="20" t="s">
        <v>2191</v>
      </c>
      <c r="G184" s="20">
        <v>0</v>
      </c>
      <c r="I184" s="20" t="s">
        <v>532</v>
      </c>
      <c r="J184" s="20">
        <v>4581</v>
      </c>
      <c r="L184" s="20" t="s">
        <v>1402</v>
      </c>
      <c r="M184" s="20">
        <v>1985</v>
      </c>
      <c r="U184" s="20" t="s">
        <v>3235</v>
      </c>
      <c r="V184" s="20">
        <v>1</v>
      </c>
      <c r="X184" s="20" t="s">
        <v>667</v>
      </c>
      <c r="Y184" s="20">
        <v>2</v>
      </c>
      <c r="AA184" s="20" t="s">
        <v>2273</v>
      </c>
      <c r="AB184" s="20">
        <v>0</v>
      </c>
      <c r="AC184" s="20">
        <v>0</v>
      </c>
      <c r="AK184" s="20" t="s">
        <v>307</v>
      </c>
      <c r="AL184" s="20"/>
      <c r="AM184">
        <v>1</v>
      </c>
      <c r="AO184" s="20" t="s">
        <v>672</v>
      </c>
      <c r="AP184" s="20">
        <v>1</v>
      </c>
    </row>
    <row r="185" spans="1:42" x14ac:dyDescent="0.25">
      <c r="A185" s="20" t="s">
        <v>1365</v>
      </c>
      <c r="B185" s="20" t="s">
        <v>2191</v>
      </c>
      <c r="C185" s="20">
        <v>-8585</v>
      </c>
      <c r="E185" s="20" t="s">
        <v>410</v>
      </c>
      <c r="F185" s="20" t="s">
        <v>2191</v>
      </c>
      <c r="G185" s="20">
        <v>756</v>
      </c>
      <c r="I185" s="20" t="s">
        <v>430</v>
      </c>
      <c r="J185" s="20">
        <v>130.03</v>
      </c>
      <c r="L185" s="20" t="s">
        <v>1404</v>
      </c>
      <c r="M185" s="20">
        <v>41.1</v>
      </c>
      <c r="U185" s="20" t="s">
        <v>3251</v>
      </c>
      <c r="V185" s="20">
        <v>1</v>
      </c>
      <c r="X185" s="20" t="s">
        <v>194</v>
      </c>
      <c r="Y185" s="20">
        <v>1</v>
      </c>
      <c r="AA185" s="20" t="s">
        <v>1828</v>
      </c>
      <c r="AB185" s="20">
        <v>0</v>
      </c>
      <c r="AC185" s="20">
        <v>0</v>
      </c>
      <c r="AK185" s="20" t="s">
        <v>1227</v>
      </c>
      <c r="AL185" s="20"/>
      <c r="AM185">
        <v>1</v>
      </c>
      <c r="AO185" s="20" t="s">
        <v>2988</v>
      </c>
      <c r="AP185" s="20">
        <v>3</v>
      </c>
    </row>
    <row r="186" spans="1:42" x14ac:dyDescent="0.25">
      <c r="A186" s="20" t="s">
        <v>691</v>
      </c>
      <c r="B186" s="20" t="s">
        <v>2191</v>
      </c>
      <c r="C186" s="20">
        <v>50793</v>
      </c>
      <c r="E186" s="20" t="s">
        <v>2283</v>
      </c>
      <c r="F186" s="20" t="s">
        <v>2191</v>
      </c>
      <c r="G186" s="20">
        <v>17679</v>
      </c>
      <c r="I186" s="20" t="s">
        <v>152</v>
      </c>
      <c r="J186" s="20">
        <v>2799</v>
      </c>
      <c r="L186" s="20" t="s">
        <v>1769</v>
      </c>
      <c r="M186" s="20">
        <v>10635.34</v>
      </c>
      <c r="U186" s="20" t="s">
        <v>3244</v>
      </c>
      <c r="V186" s="20">
        <v>2</v>
      </c>
      <c r="X186" s="20" t="s">
        <v>751</v>
      </c>
      <c r="Y186" s="20">
        <v>2</v>
      </c>
      <c r="AA186" s="20" t="s">
        <v>595</v>
      </c>
      <c r="AB186" s="20">
        <v>7419.65</v>
      </c>
      <c r="AC186" s="20">
        <v>24630.21</v>
      </c>
      <c r="AK186" s="20" t="s">
        <v>493</v>
      </c>
      <c r="AL186" s="20">
        <v>1</v>
      </c>
      <c r="AM186">
        <v>2</v>
      </c>
      <c r="AO186" s="20" t="s">
        <v>2989</v>
      </c>
      <c r="AP186" s="20">
        <v>3</v>
      </c>
    </row>
    <row r="187" spans="1:42" x14ac:dyDescent="0.25">
      <c r="A187" s="20" t="s">
        <v>2067</v>
      </c>
      <c r="B187" s="20" t="s">
        <v>2191</v>
      </c>
      <c r="C187" s="20">
        <v>0</v>
      </c>
      <c r="E187" s="20" t="s">
        <v>1082</v>
      </c>
      <c r="F187" s="20" t="s">
        <v>2191</v>
      </c>
      <c r="G187" s="20">
        <v>0</v>
      </c>
      <c r="I187" s="20" t="s">
        <v>1316</v>
      </c>
      <c r="J187" s="20">
        <v>17328.98</v>
      </c>
      <c r="L187" s="20" t="s">
        <v>1244</v>
      </c>
      <c r="M187" s="20">
        <v>0</v>
      </c>
      <c r="U187" s="20" t="s">
        <v>3254</v>
      </c>
      <c r="V187" s="20">
        <v>1</v>
      </c>
      <c r="X187" s="20" t="s">
        <v>1396</v>
      </c>
      <c r="Y187" s="20">
        <v>3</v>
      </c>
      <c r="AA187" s="20" t="s">
        <v>2274</v>
      </c>
      <c r="AB187" s="20">
        <v>0</v>
      </c>
      <c r="AC187" s="20">
        <v>0</v>
      </c>
      <c r="AK187" s="20" t="s">
        <v>309</v>
      </c>
      <c r="AL187" s="20">
        <v>2</v>
      </c>
      <c r="AM187">
        <v>3</v>
      </c>
      <c r="AO187" s="20" t="s">
        <v>3013</v>
      </c>
      <c r="AP187" s="20">
        <v>2</v>
      </c>
    </row>
    <row r="188" spans="1:42" x14ac:dyDescent="0.25">
      <c r="A188" s="20" t="s">
        <v>591</v>
      </c>
      <c r="B188" s="20" t="s">
        <v>2191</v>
      </c>
      <c r="C188" s="20">
        <v>0</v>
      </c>
      <c r="E188" s="20" t="s">
        <v>2037</v>
      </c>
      <c r="F188" s="20" t="s">
        <v>2191</v>
      </c>
      <c r="G188" s="20">
        <v>0</v>
      </c>
      <c r="I188" s="20" t="s">
        <v>1392</v>
      </c>
      <c r="J188" s="20">
        <v>38344.93</v>
      </c>
      <c r="L188" s="20" t="s">
        <v>178</v>
      </c>
      <c r="M188" s="20">
        <v>20159</v>
      </c>
      <c r="U188" s="20" t="s">
        <v>3252</v>
      </c>
      <c r="V188" s="20">
        <v>1</v>
      </c>
      <c r="X188" s="20" t="s">
        <v>327</v>
      </c>
      <c r="Y188" s="20">
        <v>4</v>
      </c>
      <c r="AA188" s="20" t="s">
        <v>1960</v>
      </c>
      <c r="AB188" s="20">
        <v>0</v>
      </c>
      <c r="AC188" s="20">
        <v>0</v>
      </c>
      <c r="AK188" s="20" t="s">
        <v>633</v>
      </c>
      <c r="AL188" s="20"/>
      <c r="AM188">
        <v>1</v>
      </c>
      <c r="AO188" s="20" t="s">
        <v>3017</v>
      </c>
      <c r="AP188" s="20">
        <v>1</v>
      </c>
    </row>
    <row r="189" spans="1:42" x14ac:dyDescent="0.25">
      <c r="A189" s="20" t="s">
        <v>724</v>
      </c>
      <c r="B189" s="20" t="s">
        <v>2191</v>
      </c>
      <c r="C189" s="20">
        <v>0</v>
      </c>
      <c r="E189" s="20" t="s">
        <v>696</v>
      </c>
      <c r="F189" s="20" t="s">
        <v>2191</v>
      </c>
      <c r="G189" s="20">
        <v>5171</v>
      </c>
      <c r="I189" s="20" t="s">
        <v>341</v>
      </c>
      <c r="J189" s="20">
        <v>11199</v>
      </c>
      <c r="L189" s="20" t="s">
        <v>1407</v>
      </c>
      <c r="M189" s="20">
        <v>-929.39</v>
      </c>
      <c r="U189" s="20" t="s">
        <v>3266</v>
      </c>
      <c r="V189" s="20">
        <v>2</v>
      </c>
      <c r="X189" s="20" t="s">
        <v>500</v>
      </c>
      <c r="Y189" s="20">
        <v>1</v>
      </c>
      <c r="AA189" s="20" t="s">
        <v>2002</v>
      </c>
      <c r="AB189" s="20">
        <v>0</v>
      </c>
      <c r="AC189" s="20">
        <v>0</v>
      </c>
      <c r="AK189" s="20" t="s">
        <v>311</v>
      </c>
      <c r="AL189" s="20">
        <v>1</v>
      </c>
      <c r="AM189">
        <v>1</v>
      </c>
      <c r="AO189" s="20" t="s">
        <v>3033</v>
      </c>
      <c r="AP189" s="20">
        <v>3</v>
      </c>
    </row>
    <row r="190" spans="1:42" x14ac:dyDescent="0.25">
      <c r="A190" s="20" t="s">
        <v>2121</v>
      </c>
      <c r="B190" s="20" t="s">
        <v>2191</v>
      </c>
      <c r="C190" s="20">
        <v>0</v>
      </c>
      <c r="E190" s="20" t="s">
        <v>2286</v>
      </c>
      <c r="F190" s="20" t="s">
        <v>2191</v>
      </c>
      <c r="G190" s="20">
        <v>0</v>
      </c>
      <c r="I190" s="20" t="s">
        <v>533</v>
      </c>
      <c r="J190" s="20">
        <v>11993</v>
      </c>
      <c r="L190" s="20" t="s">
        <v>768</v>
      </c>
      <c r="M190" s="20">
        <v>5404.15</v>
      </c>
      <c r="U190" s="20" t="s">
        <v>3260</v>
      </c>
      <c r="V190" s="20">
        <v>2</v>
      </c>
      <c r="X190" s="20" t="s">
        <v>196</v>
      </c>
      <c r="Y190" s="20">
        <v>1</v>
      </c>
      <c r="AA190" s="20" t="s">
        <v>2003</v>
      </c>
      <c r="AB190" s="20">
        <v>0</v>
      </c>
      <c r="AC190" s="20">
        <v>0</v>
      </c>
      <c r="AK190" s="20" t="s">
        <v>1296</v>
      </c>
      <c r="AL190" s="20">
        <v>5</v>
      </c>
      <c r="AM190">
        <v>8</v>
      </c>
      <c r="AO190" s="20" t="s">
        <v>3044</v>
      </c>
      <c r="AP190" s="20">
        <v>7</v>
      </c>
    </row>
    <row r="191" spans="1:42" x14ac:dyDescent="0.25">
      <c r="A191" s="20" t="s">
        <v>2224</v>
      </c>
      <c r="B191" s="20" t="s">
        <v>2191</v>
      </c>
      <c r="C191" s="20">
        <v>0</v>
      </c>
      <c r="E191" s="20" t="s">
        <v>698</v>
      </c>
      <c r="F191" s="20" t="s">
        <v>2191</v>
      </c>
      <c r="G191" s="20">
        <v>0</v>
      </c>
      <c r="I191" s="20" t="s">
        <v>872</v>
      </c>
      <c r="J191" s="20">
        <v>20049.919999999998</v>
      </c>
      <c r="L191" s="20" t="s">
        <v>1499</v>
      </c>
      <c r="M191" s="20">
        <v>23531.09</v>
      </c>
      <c r="U191" s="20" t="s">
        <v>3278</v>
      </c>
      <c r="V191" s="20">
        <v>1</v>
      </c>
      <c r="X191" s="20" t="s">
        <v>1195</v>
      </c>
      <c r="Y191" s="20">
        <v>1</v>
      </c>
      <c r="AA191" s="20" t="s">
        <v>2275</v>
      </c>
      <c r="AB191" s="20">
        <v>0</v>
      </c>
      <c r="AC191" s="20">
        <v>0</v>
      </c>
      <c r="AK191" s="20" t="s">
        <v>495</v>
      </c>
      <c r="AL191" s="20">
        <v>1</v>
      </c>
      <c r="AM191">
        <v>2</v>
      </c>
      <c r="AO191" s="20" t="s">
        <v>3054</v>
      </c>
      <c r="AP191" s="20">
        <v>2</v>
      </c>
    </row>
    <row r="192" spans="1:42" x14ac:dyDescent="0.25">
      <c r="A192" s="20" t="s">
        <v>2225</v>
      </c>
      <c r="B192" s="20" t="s">
        <v>2191</v>
      </c>
      <c r="C192" s="20">
        <v>0</v>
      </c>
      <c r="E192" s="20" t="s">
        <v>1251</v>
      </c>
      <c r="F192" s="20" t="s">
        <v>2191</v>
      </c>
      <c r="G192" s="20">
        <v>6656</v>
      </c>
      <c r="I192" s="20" t="s">
        <v>814</v>
      </c>
      <c r="J192" s="20">
        <v>1349</v>
      </c>
      <c r="L192" s="20" t="s">
        <v>561</v>
      </c>
      <c r="M192" s="20">
        <v>6404.33</v>
      </c>
      <c r="U192" s="20" t="s">
        <v>3285</v>
      </c>
      <c r="V192" s="20">
        <v>2</v>
      </c>
      <c r="X192" s="20" t="s">
        <v>198</v>
      </c>
      <c r="Y192" s="20">
        <v>9</v>
      </c>
      <c r="AA192" s="20" t="s">
        <v>596</v>
      </c>
      <c r="AB192" s="20">
        <v>6234.8</v>
      </c>
      <c r="AC192" s="20">
        <v>70581.63</v>
      </c>
      <c r="AK192" s="20" t="s">
        <v>723</v>
      </c>
      <c r="AL192" s="20">
        <v>8</v>
      </c>
      <c r="AM192">
        <v>18</v>
      </c>
      <c r="AO192" s="20" t="s">
        <v>3056</v>
      </c>
      <c r="AP192" s="20">
        <v>14</v>
      </c>
    </row>
    <row r="193" spans="1:42" x14ac:dyDescent="0.25">
      <c r="A193" s="20" t="s">
        <v>1557</v>
      </c>
      <c r="B193" s="20" t="s">
        <v>2191</v>
      </c>
      <c r="C193" s="20">
        <v>0</v>
      </c>
      <c r="E193" s="20" t="s">
        <v>600</v>
      </c>
      <c r="F193" s="20" t="s">
        <v>2191</v>
      </c>
      <c r="G193" s="20">
        <v>0</v>
      </c>
      <c r="I193" s="20" t="s">
        <v>1468</v>
      </c>
      <c r="J193" s="20">
        <v>274.55</v>
      </c>
      <c r="L193" s="20" t="s">
        <v>368</v>
      </c>
      <c r="M193" s="20">
        <v>501</v>
      </c>
      <c r="U193" s="20" t="s">
        <v>3299</v>
      </c>
      <c r="V193" s="20">
        <v>2</v>
      </c>
      <c r="X193" s="20" t="s">
        <v>839</v>
      </c>
      <c r="Y193" s="20">
        <v>1</v>
      </c>
      <c r="AA193" s="20" t="s">
        <v>2276</v>
      </c>
      <c r="AB193" s="20">
        <v>0</v>
      </c>
      <c r="AC193" s="20">
        <v>0</v>
      </c>
      <c r="AK193" s="20" t="s">
        <v>1459</v>
      </c>
      <c r="AL193" s="20">
        <v>6</v>
      </c>
      <c r="AM193">
        <v>10</v>
      </c>
      <c r="AO193" s="20" t="s">
        <v>3062</v>
      </c>
      <c r="AP193" s="20">
        <v>6</v>
      </c>
    </row>
    <row r="194" spans="1:42" x14ac:dyDescent="0.25">
      <c r="A194" s="20" t="s">
        <v>2226</v>
      </c>
      <c r="B194" s="20" t="s">
        <v>2191</v>
      </c>
      <c r="C194" s="20">
        <v>0</v>
      </c>
      <c r="E194" s="20" t="s">
        <v>1961</v>
      </c>
      <c r="F194" s="20" t="s">
        <v>2191</v>
      </c>
      <c r="G194" s="20">
        <v>0</v>
      </c>
      <c r="I194" s="20" t="s">
        <v>1164</v>
      </c>
      <c r="J194" s="20">
        <v>8673</v>
      </c>
      <c r="L194" s="20" t="s">
        <v>1049</v>
      </c>
      <c r="M194" s="20">
        <v>0</v>
      </c>
      <c r="U194" s="20" t="s">
        <v>3315</v>
      </c>
      <c r="V194" s="20">
        <v>2</v>
      </c>
      <c r="X194" s="20" t="s">
        <v>1510</v>
      </c>
      <c r="Y194" s="20">
        <v>12</v>
      </c>
      <c r="AA194" s="20" t="s">
        <v>1573</v>
      </c>
      <c r="AB194" s="20">
        <v>-453.99</v>
      </c>
      <c r="AC194" s="20">
        <v>0</v>
      </c>
      <c r="AK194" s="20" t="s">
        <v>1018</v>
      </c>
      <c r="AL194" s="20">
        <v>1</v>
      </c>
      <c r="AM194">
        <v>5</v>
      </c>
      <c r="AO194" s="20" t="s">
        <v>3080</v>
      </c>
      <c r="AP194" s="20">
        <v>1</v>
      </c>
    </row>
    <row r="195" spans="1:42" x14ac:dyDescent="0.25">
      <c r="A195" s="20" t="s">
        <v>2227</v>
      </c>
      <c r="B195" s="20" t="s">
        <v>2191</v>
      </c>
      <c r="C195" s="20">
        <v>0</v>
      </c>
      <c r="E195" s="20" t="s">
        <v>1005</v>
      </c>
      <c r="F195" s="20" t="s">
        <v>2191</v>
      </c>
      <c r="G195" s="20">
        <v>0</v>
      </c>
      <c r="I195" s="20" t="s">
        <v>818</v>
      </c>
      <c r="J195" s="20">
        <v>4477</v>
      </c>
      <c r="L195" s="20" t="s">
        <v>562</v>
      </c>
      <c r="M195" s="20">
        <v>21495.91</v>
      </c>
      <c r="U195" s="20" t="s">
        <v>3289</v>
      </c>
      <c r="V195" s="20">
        <v>2</v>
      </c>
      <c r="X195" s="20" t="s">
        <v>796</v>
      </c>
      <c r="Y195" s="20">
        <v>1</v>
      </c>
      <c r="AA195" s="20" t="s">
        <v>2277</v>
      </c>
      <c r="AB195" s="20">
        <v>0</v>
      </c>
      <c r="AC195" s="20">
        <v>0</v>
      </c>
      <c r="AK195" s="20" t="s">
        <v>503</v>
      </c>
      <c r="AL195" s="20">
        <v>17</v>
      </c>
      <c r="AM195">
        <v>63</v>
      </c>
      <c r="AO195" s="20" t="s">
        <v>3091</v>
      </c>
      <c r="AP195" s="20">
        <v>2</v>
      </c>
    </row>
    <row r="196" spans="1:42" x14ac:dyDescent="0.25">
      <c r="A196" s="20" t="s">
        <v>2228</v>
      </c>
      <c r="B196" s="20" t="s">
        <v>2191</v>
      </c>
      <c r="C196" s="20">
        <v>0</v>
      </c>
      <c r="E196" s="20" t="s">
        <v>412</v>
      </c>
      <c r="F196" s="20" t="s">
        <v>2191</v>
      </c>
      <c r="G196" s="20">
        <v>39311</v>
      </c>
      <c r="I196" s="20" t="s">
        <v>755</v>
      </c>
      <c r="J196" s="20">
        <v>5583.38</v>
      </c>
      <c r="L196" s="20" t="s">
        <v>1185</v>
      </c>
      <c r="M196" s="20">
        <v>3669</v>
      </c>
      <c r="U196" s="20" t="s">
        <v>3346</v>
      </c>
      <c r="V196" s="20">
        <v>2</v>
      </c>
      <c r="X196" s="20" t="s">
        <v>200</v>
      </c>
      <c r="Y196" s="20">
        <v>3</v>
      </c>
      <c r="AA196" s="20" t="s">
        <v>1256</v>
      </c>
      <c r="AB196" s="20">
        <v>-4262.6099999999997</v>
      </c>
      <c r="AC196" s="20">
        <v>306751.42</v>
      </c>
      <c r="AK196" s="20" t="s">
        <v>81</v>
      </c>
      <c r="AL196" s="20">
        <v>0</v>
      </c>
      <c r="AM196">
        <v>3</v>
      </c>
      <c r="AO196" s="20" t="s">
        <v>3111</v>
      </c>
      <c r="AP196" s="20">
        <v>1</v>
      </c>
    </row>
    <row r="197" spans="1:42" x14ac:dyDescent="0.25">
      <c r="A197" s="20" t="s">
        <v>1558</v>
      </c>
      <c r="B197" s="20" t="s">
        <v>2191</v>
      </c>
      <c r="C197" s="20">
        <v>0</v>
      </c>
      <c r="E197" s="20" t="s">
        <v>244</v>
      </c>
      <c r="F197" s="20" t="s">
        <v>2191</v>
      </c>
      <c r="G197" s="20">
        <v>0</v>
      </c>
      <c r="I197" s="20" t="s">
        <v>160</v>
      </c>
      <c r="J197" s="20">
        <v>25093.47</v>
      </c>
      <c r="L197" s="20" t="s">
        <v>921</v>
      </c>
      <c r="M197" s="20">
        <v>11003</v>
      </c>
      <c r="U197" s="20" t="s">
        <v>3332</v>
      </c>
      <c r="V197" s="20">
        <v>1</v>
      </c>
      <c r="X197" s="20" t="s">
        <v>980</v>
      </c>
      <c r="Y197" s="20">
        <v>8</v>
      </c>
      <c r="AA197" s="20" t="s">
        <v>2278</v>
      </c>
      <c r="AB197" s="20">
        <v>0</v>
      </c>
      <c r="AC197" s="20">
        <v>0</v>
      </c>
      <c r="AK197" s="20" t="s">
        <v>648</v>
      </c>
      <c r="AL197" s="20">
        <v>3</v>
      </c>
      <c r="AM197">
        <v>3</v>
      </c>
      <c r="AO197" s="20" t="s">
        <v>3087</v>
      </c>
      <c r="AP197" s="20">
        <v>1</v>
      </c>
    </row>
    <row r="198" spans="1:42" x14ac:dyDescent="0.25">
      <c r="A198" s="20" t="s">
        <v>91</v>
      </c>
      <c r="B198" s="20" t="s">
        <v>2191</v>
      </c>
      <c r="C198" s="20">
        <v>0</v>
      </c>
      <c r="E198" s="20" t="s">
        <v>2039</v>
      </c>
      <c r="F198" s="20" t="s">
        <v>2191</v>
      </c>
      <c r="G198" s="20">
        <v>0</v>
      </c>
      <c r="I198" s="20" t="s">
        <v>519</v>
      </c>
      <c r="J198" s="20">
        <v>6305</v>
      </c>
      <c r="L198" s="20" t="s">
        <v>967</v>
      </c>
      <c r="M198" s="20">
        <v>10520</v>
      </c>
      <c r="U198" s="20" t="s">
        <v>3343</v>
      </c>
      <c r="V198" s="20">
        <v>1</v>
      </c>
      <c r="X198" s="20" t="s">
        <v>1428</v>
      </c>
      <c r="Y198" s="20">
        <v>1</v>
      </c>
      <c r="AA198" s="20" t="s">
        <v>2279</v>
      </c>
      <c r="AB198" s="20">
        <v>0</v>
      </c>
      <c r="AC198" s="20">
        <v>0</v>
      </c>
      <c r="AK198" s="20" t="s">
        <v>926</v>
      </c>
      <c r="AL198" s="20">
        <v>1</v>
      </c>
      <c r="AM198">
        <v>1</v>
      </c>
      <c r="AO198" s="20" t="s">
        <v>3078</v>
      </c>
      <c r="AP198" s="20">
        <v>1</v>
      </c>
    </row>
    <row r="199" spans="1:42" x14ac:dyDescent="0.25">
      <c r="A199" s="20" t="s">
        <v>2090</v>
      </c>
      <c r="B199" s="20" t="s">
        <v>2191</v>
      </c>
      <c r="C199" s="20">
        <v>0</v>
      </c>
      <c r="E199" s="20" t="s">
        <v>701</v>
      </c>
      <c r="F199" s="20" t="s">
        <v>2191</v>
      </c>
      <c r="G199" s="20">
        <v>0</v>
      </c>
      <c r="I199" s="20" t="s">
        <v>943</v>
      </c>
      <c r="J199" s="20">
        <v>-260</v>
      </c>
      <c r="L199" s="20" t="s">
        <v>1415</v>
      </c>
      <c r="M199" s="20">
        <v>11395</v>
      </c>
      <c r="U199" s="20" t="s">
        <v>3342</v>
      </c>
      <c r="V199" s="20">
        <v>8</v>
      </c>
      <c r="X199" s="20" t="s">
        <v>578</v>
      </c>
      <c r="Y199" s="20">
        <v>1</v>
      </c>
      <c r="AA199" s="20" t="s">
        <v>2036</v>
      </c>
      <c r="AB199" s="20">
        <v>0</v>
      </c>
      <c r="AC199" s="20">
        <v>0</v>
      </c>
      <c r="AK199" s="20" t="s">
        <v>1229</v>
      </c>
      <c r="AL199" s="20"/>
      <c r="AM199">
        <v>1</v>
      </c>
      <c r="AO199" s="20" t="s">
        <v>3116</v>
      </c>
      <c r="AP199" s="20">
        <v>4</v>
      </c>
    </row>
    <row r="200" spans="1:42" x14ac:dyDescent="0.25">
      <c r="A200" s="20" t="s">
        <v>1002</v>
      </c>
      <c r="B200" s="20" t="s">
        <v>2191</v>
      </c>
      <c r="C200" s="20">
        <v>2994.74</v>
      </c>
      <c r="E200" s="20" t="s">
        <v>1369</v>
      </c>
      <c r="F200" s="20" t="s">
        <v>2191</v>
      </c>
      <c r="G200" s="20">
        <v>0</v>
      </c>
      <c r="I200" s="20" t="s">
        <v>345</v>
      </c>
      <c r="J200" s="20">
        <v>0</v>
      </c>
      <c r="L200" s="20" t="s">
        <v>1416</v>
      </c>
      <c r="M200" s="20">
        <v>0</v>
      </c>
      <c r="U200" s="20" t="s">
        <v>3353</v>
      </c>
      <c r="V200" s="20">
        <v>1</v>
      </c>
      <c r="X200" s="20" t="s">
        <v>582</v>
      </c>
      <c r="Y200" s="20">
        <v>1</v>
      </c>
      <c r="AA200" s="20" t="s">
        <v>2280</v>
      </c>
      <c r="AB200" s="20">
        <v>0</v>
      </c>
      <c r="AC200" s="20">
        <v>0</v>
      </c>
      <c r="AK200" s="20" t="s">
        <v>725</v>
      </c>
      <c r="AL200" s="20">
        <v>1</v>
      </c>
      <c r="AO200" s="20" t="s">
        <v>3117</v>
      </c>
      <c r="AP200" s="20">
        <v>1</v>
      </c>
    </row>
    <row r="201" spans="1:42" x14ac:dyDescent="0.25">
      <c r="A201" s="20" t="s">
        <v>2229</v>
      </c>
      <c r="B201" s="20" t="s">
        <v>2191</v>
      </c>
      <c r="C201" s="20">
        <v>0</v>
      </c>
      <c r="E201" s="20" t="s">
        <v>95</v>
      </c>
      <c r="F201" s="20" t="s">
        <v>2191</v>
      </c>
      <c r="G201" s="20">
        <v>0</v>
      </c>
      <c r="I201" s="20" t="s">
        <v>166</v>
      </c>
      <c r="J201" s="20">
        <v>23424</v>
      </c>
      <c r="L201" s="20" t="s">
        <v>1504</v>
      </c>
      <c r="M201" s="20">
        <v>6767</v>
      </c>
      <c r="U201" s="20" t="s">
        <v>3349</v>
      </c>
      <c r="V201" s="20">
        <v>1</v>
      </c>
      <c r="X201" s="20" t="s">
        <v>385</v>
      </c>
      <c r="Y201" s="20">
        <v>3</v>
      </c>
      <c r="AA201" s="20" t="s">
        <v>598</v>
      </c>
      <c r="AB201" s="20">
        <v>-372.89</v>
      </c>
      <c r="AC201" s="20">
        <v>12156.76</v>
      </c>
      <c r="AK201" s="20" t="s">
        <v>650</v>
      </c>
      <c r="AL201" s="20">
        <v>0</v>
      </c>
      <c r="AM201">
        <v>3</v>
      </c>
      <c r="AO201" s="20" t="s">
        <v>3122</v>
      </c>
      <c r="AP201" s="20">
        <v>1</v>
      </c>
    </row>
    <row r="202" spans="1:42" x14ac:dyDescent="0.25">
      <c r="A202" s="20" t="s">
        <v>2230</v>
      </c>
      <c r="B202" s="20" t="s">
        <v>2191</v>
      </c>
      <c r="C202" s="20">
        <v>0</v>
      </c>
      <c r="E202" s="20" t="s">
        <v>602</v>
      </c>
      <c r="F202" s="20" t="s">
        <v>2191</v>
      </c>
      <c r="G202" s="20">
        <v>0</v>
      </c>
      <c r="I202" s="20" t="s">
        <v>542</v>
      </c>
      <c r="J202" s="20">
        <v>9625.01</v>
      </c>
      <c r="L202" s="20" t="s">
        <v>379</v>
      </c>
      <c r="M202" s="20">
        <v>64287.61</v>
      </c>
      <c r="U202" s="20" t="s">
        <v>3364</v>
      </c>
      <c r="V202" s="20">
        <v>3</v>
      </c>
      <c r="X202" s="20" t="s">
        <v>671</v>
      </c>
      <c r="Y202" s="20">
        <v>2</v>
      </c>
      <c r="AA202" s="20" t="s">
        <v>2281</v>
      </c>
      <c r="AB202" s="20">
        <v>0</v>
      </c>
      <c r="AC202" s="20">
        <v>0</v>
      </c>
      <c r="AK202" s="20" t="s">
        <v>129</v>
      </c>
      <c r="AL202" s="20">
        <v>5</v>
      </c>
      <c r="AM202">
        <v>14</v>
      </c>
      <c r="AO202" s="20" t="s">
        <v>3125</v>
      </c>
      <c r="AP202" s="20">
        <v>3</v>
      </c>
    </row>
    <row r="203" spans="1:42" x14ac:dyDescent="0.25">
      <c r="A203" s="20" t="s">
        <v>1559</v>
      </c>
      <c r="B203" s="20" t="s">
        <v>2191</v>
      </c>
      <c r="C203" s="20">
        <v>0</v>
      </c>
      <c r="E203" s="20" t="s">
        <v>414</v>
      </c>
      <c r="F203" s="20" t="s">
        <v>2191</v>
      </c>
      <c r="G203" s="20">
        <v>0</v>
      </c>
      <c r="I203" s="20" t="s">
        <v>352</v>
      </c>
      <c r="J203" s="20">
        <v>7036</v>
      </c>
      <c r="L203" s="20" t="s">
        <v>1538</v>
      </c>
      <c r="M203" s="20">
        <v>2546</v>
      </c>
      <c r="U203" s="20" t="s">
        <v>3396</v>
      </c>
      <c r="V203" s="20">
        <v>1</v>
      </c>
      <c r="X203" s="20" t="s">
        <v>2991</v>
      </c>
      <c r="Y203" s="20">
        <v>2</v>
      </c>
      <c r="AA203" s="20" t="s">
        <v>410</v>
      </c>
      <c r="AB203" s="20">
        <v>4536.04</v>
      </c>
      <c r="AC203" s="20">
        <v>68764</v>
      </c>
      <c r="AK203" s="20" t="s">
        <v>1705</v>
      </c>
      <c r="AL203" s="20">
        <v>2</v>
      </c>
      <c r="AM203">
        <v>2</v>
      </c>
      <c r="AO203" s="20" t="s">
        <v>3129</v>
      </c>
      <c r="AP203" s="20">
        <v>3</v>
      </c>
    </row>
    <row r="204" spans="1:42" x14ac:dyDescent="0.25">
      <c r="A204" s="20" t="s">
        <v>2231</v>
      </c>
      <c r="B204" s="20" t="s">
        <v>2191</v>
      </c>
      <c r="C204" s="20">
        <v>0</v>
      </c>
      <c r="E204" s="20" t="s">
        <v>247</v>
      </c>
      <c r="F204" s="20" t="s">
        <v>2191</v>
      </c>
      <c r="G204" s="20">
        <v>50093</v>
      </c>
      <c r="I204" s="20" t="s">
        <v>1171</v>
      </c>
      <c r="J204" s="20">
        <v>480</v>
      </c>
      <c r="L204" s="20" t="s">
        <v>1418</v>
      </c>
      <c r="M204" s="20">
        <v>967</v>
      </c>
      <c r="U204" s="20" t="s">
        <v>3403</v>
      </c>
      <c r="V204" s="20">
        <v>1</v>
      </c>
      <c r="X204" s="20" t="s">
        <v>3002</v>
      </c>
      <c r="Y204" s="20">
        <v>1</v>
      </c>
      <c r="AA204" s="20" t="s">
        <v>2283</v>
      </c>
      <c r="AB204" s="20">
        <v>2132.25</v>
      </c>
      <c r="AC204" s="20">
        <v>253262.53</v>
      </c>
      <c r="AK204" s="20" t="s">
        <v>928</v>
      </c>
      <c r="AL204" s="20">
        <v>1</v>
      </c>
      <c r="AM204">
        <v>1</v>
      </c>
      <c r="AO204" s="20" t="s">
        <v>3137</v>
      </c>
      <c r="AP204" s="20">
        <v>1</v>
      </c>
    </row>
    <row r="205" spans="1:42" x14ac:dyDescent="0.25">
      <c r="A205" s="20" t="s">
        <v>2232</v>
      </c>
      <c r="B205" s="20" t="s">
        <v>2191</v>
      </c>
      <c r="C205" s="20">
        <v>0</v>
      </c>
      <c r="E205" s="20" t="s">
        <v>2304</v>
      </c>
      <c r="F205" s="20" t="s">
        <v>2191</v>
      </c>
      <c r="G205" s="20">
        <v>0</v>
      </c>
      <c r="I205" s="20" t="s">
        <v>1172</v>
      </c>
      <c r="J205" s="20">
        <v>10961.05</v>
      </c>
      <c r="L205" s="20" t="s">
        <v>566</v>
      </c>
      <c r="M205" s="20">
        <v>4534</v>
      </c>
      <c r="U205" s="20" t="s">
        <v>3401</v>
      </c>
      <c r="V205" s="20">
        <v>1</v>
      </c>
      <c r="X205" s="20" t="s">
        <v>3009</v>
      </c>
      <c r="Y205" s="20">
        <v>1</v>
      </c>
      <c r="AA205" s="20" t="s">
        <v>2284</v>
      </c>
      <c r="AB205" s="20">
        <v>0</v>
      </c>
      <c r="AC205" s="20">
        <v>0</v>
      </c>
      <c r="AK205" s="20" t="s">
        <v>131</v>
      </c>
      <c r="AL205" s="20">
        <v>1</v>
      </c>
      <c r="AM205">
        <v>1</v>
      </c>
      <c r="AO205" s="20" t="s">
        <v>3138</v>
      </c>
      <c r="AP205" s="20">
        <v>1</v>
      </c>
    </row>
    <row r="206" spans="1:42" x14ac:dyDescent="0.25">
      <c r="A206" s="20" t="s">
        <v>2233</v>
      </c>
      <c r="B206" s="20" t="s">
        <v>2191</v>
      </c>
      <c r="C206" s="20">
        <v>0</v>
      </c>
      <c r="E206" s="20" t="s">
        <v>1007</v>
      </c>
      <c r="F206" s="20" t="s">
        <v>2191</v>
      </c>
      <c r="G206" s="20">
        <v>2047</v>
      </c>
      <c r="I206" s="20" t="s">
        <v>761</v>
      </c>
      <c r="J206" s="20">
        <v>666.89</v>
      </c>
      <c r="L206" s="20" t="s">
        <v>1419</v>
      </c>
      <c r="M206" s="20">
        <v>49964</v>
      </c>
      <c r="U206" s="20" t="s">
        <v>3398</v>
      </c>
      <c r="V206" s="20">
        <v>1</v>
      </c>
      <c r="X206" s="20" t="s">
        <v>3033</v>
      </c>
      <c r="Y206" s="20">
        <v>1</v>
      </c>
      <c r="AA206" s="20" t="s">
        <v>1082</v>
      </c>
      <c r="AB206" s="20">
        <v>-3350.9</v>
      </c>
      <c r="AC206" s="20">
        <v>70729.73</v>
      </c>
      <c r="AK206" s="20" t="s">
        <v>728</v>
      </c>
      <c r="AL206" s="20">
        <v>2</v>
      </c>
      <c r="AM206">
        <v>4</v>
      </c>
      <c r="AO206" s="20" t="s">
        <v>3166</v>
      </c>
      <c r="AP206" s="20">
        <v>1</v>
      </c>
    </row>
    <row r="207" spans="1:42" x14ac:dyDescent="0.25">
      <c r="A207" s="20" t="s">
        <v>236</v>
      </c>
      <c r="B207" s="20" t="s">
        <v>2191</v>
      </c>
      <c r="C207" s="20">
        <v>0</v>
      </c>
      <c r="E207" s="20" t="s">
        <v>702</v>
      </c>
      <c r="F207" s="20" t="s">
        <v>2191</v>
      </c>
      <c r="G207" s="20">
        <v>0</v>
      </c>
      <c r="I207" s="20" t="s">
        <v>408</v>
      </c>
      <c r="J207" s="20">
        <v>720</v>
      </c>
      <c r="L207" s="20" t="s">
        <v>789</v>
      </c>
      <c r="M207" s="20">
        <v>8218</v>
      </c>
      <c r="U207" s="20" t="s">
        <v>3418</v>
      </c>
      <c r="V207" s="20">
        <v>1</v>
      </c>
      <c r="X207" s="20" t="s">
        <v>3023</v>
      </c>
      <c r="Y207" s="20">
        <v>2</v>
      </c>
      <c r="AA207" s="20" t="s">
        <v>696</v>
      </c>
      <c r="AB207" s="20">
        <v>33009.040000000001</v>
      </c>
      <c r="AC207" s="20">
        <v>1093533.02</v>
      </c>
      <c r="AK207" s="20" t="s">
        <v>321</v>
      </c>
      <c r="AL207" s="20">
        <v>5</v>
      </c>
      <c r="AM207">
        <v>15</v>
      </c>
      <c r="AO207" s="20" t="s">
        <v>3167</v>
      </c>
      <c r="AP207" s="20">
        <v>1</v>
      </c>
    </row>
    <row r="208" spans="1:42" x14ac:dyDescent="0.25">
      <c r="A208" s="20" t="s">
        <v>2152</v>
      </c>
      <c r="B208" s="20" t="s">
        <v>2191</v>
      </c>
      <c r="C208" s="20">
        <v>0</v>
      </c>
      <c r="E208" s="20" t="s">
        <v>2167</v>
      </c>
      <c r="F208" s="20" t="s">
        <v>2191</v>
      </c>
      <c r="G208" s="20">
        <v>0</v>
      </c>
      <c r="I208" s="20" t="s">
        <v>1241</v>
      </c>
      <c r="J208" s="20">
        <v>15504</v>
      </c>
      <c r="L208" s="20" t="s">
        <v>1191</v>
      </c>
      <c r="M208" s="20">
        <v>5687.88</v>
      </c>
      <c r="U208" s="20" t="s">
        <v>3573</v>
      </c>
      <c r="V208" s="20">
        <v>1</v>
      </c>
      <c r="X208" s="20" t="s">
        <v>3054</v>
      </c>
      <c r="Y208" s="20">
        <v>7</v>
      </c>
      <c r="AA208" s="20" t="s">
        <v>2285</v>
      </c>
      <c r="AB208" s="20">
        <v>0</v>
      </c>
      <c r="AC208" s="20">
        <v>0</v>
      </c>
      <c r="AK208" s="20" t="s">
        <v>1135</v>
      </c>
      <c r="AL208" s="20">
        <v>0</v>
      </c>
      <c r="AM208">
        <v>2</v>
      </c>
      <c r="AO208" s="20" t="s">
        <v>3168</v>
      </c>
      <c r="AP208" s="20">
        <v>1</v>
      </c>
    </row>
    <row r="209" spans="1:42" x14ac:dyDescent="0.25">
      <c r="A209" s="20" t="s">
        <v>1074</v>
      </c>
      <c r="B209" s="20" t="s">
        <v>2191</v>
      </c>
      <c r="C209" s="20">
        <v>0</v>
      </c>
      <c r="E209" s="20" t="s">
        <v>604</v>
      </c>
      <c r="F209" s="20" t="s">
        <v>2191</v>
      </c>
      <c r="G209" s="20">
        <v>0</v>
      </c>
      <c r="I209" s="20" t="s">
        <v>387</v>
      </c>
      <c r="J209" s="20">
        <v>1483</v>
      </c>
      <c r="L209" s="20" t="s">
        <v>976</v>
      </c>
      <c r="M209" s="20">
        <v>13710.67</v>
      </c>
      <c r="U209" s="20" t="s">
        <v>3577</v>
      </c>
      <c r="V209" s="20">
        <v>1</v>
      </c>
      <c r="X209" s="20" t="s">
        <v>3056</v>
      </c>
      <c r="Y209" s="20">
        <v>6</v>
      </c>
      <c r="AA209" s="20" t="s">
        <v>2286</v>
      </c>
      <c r="AB209" s="20">
        <v>0</v>
      </c>
      <c r="AC209" s="20">
        <v>0</v>
      </c>
      <c r="AK209" s="20" t="s">
        <v>1478</v>
      </c>
      <c r="AL209" s="20">
        <v>0</v>
      </c>
      <c r="AM209">
        <v>2</v>
      </c>
      <c r="AO209" s="20" t="s">
        <v>3181</v>
      </c>
      <c r="AP209" s="20">
        <v>1</v>
      </c>
    </row>
    <row r="210" spans="1:42" x14ac:dyDescent="0.25">
      <c r="A210" s="20" t="s">
        <v>1560</v>
      </c>
      <c r="B210" s="20" t="s">
        <v>2191</v>
      </c>
      <c r="C210" s="20">
        <v>0</v>
      </c>
      <c r="E210" s="20" t="s">
        <v>1829</v>
      </c>
      <c r="F210" s="20" t="s">
        <v>2191</v>
      </c>
      <c r="G210" s="20">
        <v>0</v>
      </c>
      <c r="I210" s="20" t="s">
        <v>1179</v>
      </c>
      <c r="J210" s="20">
        <v>4036</v>
      </c>
      <c r="L210" s="20" t="s">
        <v>1248</v>
      </c>
      <c r="M210" s="20">
        <v>16864.41</v>
      </c>
      <c r="U210" s="20" t="s">
        <v>3576</v>
      </c>
      <c r="V210" s="20">
        <v>4</v>
      </c>
      <c r="X210" s="20" t="s">
        <v>3084</v>
      </c>
      <c r="Y210" s="20">
        <v>1</v>
      </c>
      <c r="AA210" s="20" t="s">
        <v>698</v>
      </c>
      <c r="AB210" s="20">
        <v>39193.03</v>
      </c>
      <c r="AC210" s="20">
        <v>583289.52</v>
      </c>
      <c r="AK210" s="20" t="s">
        <v>459</v>
      </c>
      <c r="AL210" s="20">
        <v>0</v>
      </c>
      <c r="AM210">
        <v>2</v>
      </c>
      <c r="AO210" s="20" t="s">
        <v>3176</v>
      </c>
      <c r="AP210" s="20">
        <v>3</v>
      </c>
    </row>
    <row r="211" spans="1:42" x14ac:dyDescent="0.25">
      <c r="A211" s="20" t="s">
        <v>392</v>
      </c>
      <c r="B211" s="20" t="s">
        <v>2191</v>
      </c>
      <c r="C211" s="20">
        <v>0</v>
      </c>
      <c r="E211" s="20" t="s">
        <v>2168</v>
      </c>
      <c r="F211" s="20" t="s">
        <v>2191</v>
      </c>
      <c r="G211" s="20">
        <v>0</v>
      </c>
      <c r="I211" s="20" t="s">
        <v>354</v>
      </c>
      <c r="J211" s="20">
        <v>37.86</v>
      </c>
      <c r="L211" s="20" t="s">
        <v>188</v>
      </c>
      <c r="M211" s="20">
        <v>10154</v>
      </c>
      <c r="U211" s="20" t="s">
        <v>3582</v>
      </c>
      <c r="V211" s="20">
        <v>2</v>
      </c>
      <c r="X211" s="20" t="s">
        <v>3091</v>
      </c>
      <c r="Y211" s="20">
        <v>5</v>
      </c>
      <c r="AA211" s="20" t="s">
        <v>1251</v>
      </c>
      <c r="AB211" s="20">
        <v>46734.01</v>
      </c>
      <c r="AC211" s="20">
        <v>271940.3</v>
      </c>
      <c r="AK211" s="20" t="s">
        <v>520</v>
      </c>
      <c r="AL211" s="20"/>
      <c r="AM211">
        <v>1</v>
      </c>
      <c r="AO211" s="20" t="s">
        <v>3178</v>
      </c>
      <c r="AP211" s="20">
        <v>2</v>
      </c>
    </row>
    <row r="212" spans="1:42" x14ac:dyDescent="0.25">
      <c r="A212" s="20" t="s">
        <v>1076</v>
      </c>
      <c r="B212" s="20" t="s">
        <v>2191</v>
      </c>
      <c r="C212" s="20">
        <v>1317.45</v>
      </c>
      <c r="E212" s="20" t="s">
        <v>249</v>
      </c>
      <c r="F212" s="20" t="s">
        <v>2191</v>
      </c>
      <c r="G212" s="20">
        <v>0</v>
      </c>
      <c r="I212" s="20" t="s">
        <v>498</v>
      </c>
      <c r="J212" s="20">
        <v>-830.61</v>
      </c>
      <c r="L212" s="20" t="s">
        <v>194</v>
      </c>
      <c r="M212" s="20">
        <v>65694</v>
      </c>
      <c r="U212" s="20" t="s">
        <v>3588</v>
      </c>
      <c r="V212" s="20">
        <v>2</v>
      </c>
      <c r="X212" s="20" t="s">
        <v>3111</v>
      </c>
      <c r="Y212" s="20">
        <v>1</v>
      </c>
      <c r="AA212" s="20" t="s">
        <v>2287</v>
      </c>
      <c r="AB212" s="20">
        <v>0</v>
      </c>
      <c r="AC212" s="20">
        <v>0</v>
      </c>
      <c r="AK212" s="20" t="s">
        <v>1232</v>
      </c>
      <c r="AL212" s="20">
        <v>1</v>
      </c>
      <c r="AM212">
        <v>1</v>
      </c>
      <c r="AO212" s="20" t="s">
        <v>3164</v>
      </c>
      <c r="AP212" s="20">
        <v>4</v>
      </c>
    </row>
    <row r="213" spans="1:42" x14ac:dyDescent="0.25">
      <c r="A213" s="20" t="s">
        <v>1827</v>
      </c>
      <c r="B213" s="20" t="s">
        <v>2191</v>
      </c>
      <c r="C213" s="20">
        <v>0</v>
      </c>
      <c r="E213" s="20" t="s">
        <v>416</v>
      </c>
      <c r="F213" s="20" t="s">
        <v>2191</v>
      </c>
      <c r="G213" s="20">
        <v>2092</v>
      </c>
      <c r="I213" s="20" t="s">
        <v>2955</v>
      </c>
      <c r="J213" s="20">
        <v>7424</v>
      </c>
      <c r="L213" s="20" t="s">
        <v>1343</v>
      </c>
      <c r="M213" s="20">
        <v>9322</v>
      </c>
      <c r="U213" s="20" t="s">
        <v>3596</v>
      </c>
      <c r="V213" s="20">
        <v>2</v>
      </c>
      <c r="X213" s="20" t="s">
        <v>3087</v>
      </c>
      <c r="Y213" s="20">
        <v>3</v>
      </c>
      <c r="AA213" s="20" t="s">
        <v>2289</v>
      </c>
      <c r="AB213" s="20">
        <v>0</v>
      </c>
      <c r="AC213" s="20">
        <v>0</v>
      </c>
      <c r="AK213" s="20" t="s">
        <v>75</v>
      </c>
      <c r="AL213" s="20">
        <v>10</v>
      </c>
      <c r="AM213">
        <v>13</v>
      </c>
      <c r="AO213" s="20" t="s">
        <v>3180</v>
      </c>
      <c r="AP213" s="20">
        <v>1</v>
      </c>
    </row>
    <row r="214" spans="1:42" x14ac:dyDescent="0.25">
      <c r="A214" s="20" t="s">
        <v>2234</v>
      </c>
      <c r="B214" s="20" t="s">
        <v>2191</v>
      </c>
      <c r="C214" s="20">
        <v>0</v>
      </c>
      <c r="E214" s="20" t="s">
        <v>894</v>
      </c>
      <c r="F214" s="20" t="s">
        <v>2191</v>
      </c>
      <c r="G214" s="20">
        <v>0</v>
      </c>
      <c r="I214" s="20" t="s">
        <v>1400</v>
      </c>
      <c r="J214" s="20">
        <v>4581</v>
      </c>
      <c r="L214" s="20" t="s">
        <v>327</v>
      </c>
      <c r="M214" s="20">
        <v>31892</v>
      </c>
      <c r="U214" s="20" t="s">
        <v>3593</v>
      </c>
      <c r="V214" s="20">
        <v>1</v>
      </c>
      <c r="X214" s="20" t="s">
        <v>3078</v>
      </c>
      <c r="Y214" s="20">
        <v>1</v>
      </c>
      <c r="AA214" s="20" t="s">
        <v>2290</v>
      </c>
      <c r="AB214" s="20">
        <v>0</v>
      </c>
      <c r="AC214" s="20">
        <v>0</v>
      </c>
      <c r="AK214" s="20" t="s">
        <v>1234</v>
      </c>
      <c r="AL214" s="20">
        <v>4</v>
      </c>
      <c r="AM214">
        <v>26</v>
      </c>
      <c r="AO214" s="20" t="s">
        <v>3174</v>
      </c>
      <c r="AP214" s="20">
        <v>1</v>
      </c>
    </row>
    <row r="215" spans="1:42" x14ac:dyDescent="0.25">
      <c r="A215" s="20" t="s">
        <v>2235</v>
      </c>
      <c r="B215" s="20" t="s">
        <v>2191</v>
      </c>
      <c r="C215" s="20">
        <v>0</v>
      </c>
      <c r="E215" s="20" t="s">
        <v>1903</v>
      </c>
      <c r="F215" s="20" t="s">
        <v>2191</v>
      </c>
      <c r="G215" s="20">
        <v>0</v>
      </c>
      <c r="I215" s="20" t="s">
        <v>1402</v>
      </c>
      <c r="J215" s="20">
        <v>30576</v>
      </c>
      <c r="L215" s="20" t="s">
        <v>500</v>
      </c>
      <c r="M215" s="20">
        <v>6398.5</v>
      </c>
      <c r="U215" s="20" t="s">
        <v>3605</v>
      </c>
      <c r="V215" s="20">
        <v>1</v>
      </c>
      <c r="X215" s="20" t="s">
        <v>3106</v>
      </c>
      <c r="Y215" s="20">
        <v>18</v>
      </c>
      <c r="AA215" s="20" t="s">
        <v>600</v>
      </c>
      <c r="AB215" s="20">
        <v>17394.27</v>
      </c>
      <c r="AC215" s="20">
        <v>54831.53</v>
      </c>
      <c r="AK215" s="20" t="s">
        <v>2931</v>
      </c>
      <c r="AL215" s="20">
        <v>1</v>
      </c>
      <c r="AM215">
        <v>1</v>
      </c>
      <c r="AO215" s="20" t="s">
        <v>3199</v>
      </c>
      <c r="AP215" s="20">
        <v>1</v>
      </c>
    </row>
    <row r="216" spans="1:42" x14ac:dyDescent="0.25">
      <c r="A216" s="20" t="s">
        <v>1078</v>
      </c>
      <c r="B216" s="20" t="s">
        <v>2191</v>
      </c>
      <c r="C216" s="20">
        <v>0</v>
      </c>
      <c r="E216" s="20" t="s">
        <v>1084</v>
      </c>
      <c r="F216" s="20" t="s">
        <v>2191</v>
      </c>
      <c r="G216" s="20">
        <v>2672.7</v>
      </c>
      <c r="I216" s="20" t="s">
        <v>506</v>
      </c>
      <c r="J216" s="20">
        <v>872</v>
      </c>
      <c r="L216" s="20" t="s">
        <v>196</v>
      </c>
      <c r="M216" s="20">
        <v>16944</v>
      </c>
      <c r="U216" s="20" t="s">
        <v>3626</v>
      </c>
      <c r="V216" s="20">
        <v>1</v>
      </c>
      <c r="X216" s="20" t="s">
        <v>3073</v>
      </c>
      <c r="Y216" s="20">
        <v>1</v>
      </c>
      <c r="AA216" s="20" t="s">
        <v>2291</v>
      </c>
      <c r="AB216" s="20">
        <v>0</v>
      </c>
      <c r="AC216" s="20">
        <v>0</v>
      </c>
      <c r="AK216" s="20" t="s">
        <v>737</v>
      </c>
      <c r="AL216" s="20">
        <v>9</v>
      </c>
      <c r="AM216">
        <v>27</v>
      </c>
      <c r="AO216" s="20" t="s">
        <v>3220</v>
      </c>
      <c r="AP216" s="20">
        <v>1</v>
      </c>
    </row>
    <row r="217" spans="1:42" x14ac:dyDescent="0.25">
      <c r="A217" s="20" t="s">
        <v>2236</v>
      </c>
      <c r="B217" s="20" t="s">
        <v>2191</v>
      </c>
      <c r="C217" s="20">
        <v>0</v>
      </c>
      <c r="E217" s="20" t="s">
        <v>1258</v>
      </c>
      <c r="F217" s="20" t="s">
        <v>2191</v>
      </c>
      <c r="G217" s="20">
        <v>25446</v>
      </c>
      <c r="I217" s="20" t="s">
        <v>766</v>
      </c>
      <c r="J217" s="20">
        <v>14851</v>
      </c>
      <c r="L217" s="20" t="s">
        <v>198</v>
      </c>
      <c r="M217" s="20">
        <v>31489.8</v>
      </c>
      <c r="U217" s="20" t="s">
        <v>3619</v>
      </c>
      <c r="V217" s="20">
        <v>2</v>
      </c>
      <c r="X217" s="20" t="s">
        <v>3116</v>
      </c>
      <c r="Y217" s="20">
        <v>3</v>
      </c>
      <c r="AA217" s="20" t="s">
        <v>2038</v>
      </c>
      <c r="AB217" s="20">
        <v>0</v>
      </c>
      <c r="AC217" s="20">
        <v>0</v>
      </c>
      <c r="AK217" s="20" t="s">
        <v>934</v>
      </c>
      <c r="AL217" s="20">
        <v>1</v>
      </c>
      <c r="AM217">
        <v>2</v>
      </c>
      <c r="AO217" s="20" t="s">
        <v>3230</v>
      </c>
      <c r="AP217" s="20">
        <v>2</v>
      </c>
    </row>
    <row r="218" spans="1:42" x14ac:dyDescent="0.25">
      <c r="A218" s="20" t="s">
        <v>2237</v>
      </c>
      <c r="B218" s="20" t="s">
        <v>2191</v>
      </c>
      <c r="C218" s="20">
        <v>0</v>
      </c>
      <c r="E218" s="20" t="s">
        <v>1830</v>
      </c>
      <c r="F218" s="20" t="s">
        <v>2191</v>
      </c>
      <c r="G218" s="20">
        <v>0</v>
      </c>
      <c r="I218" s="20" t="s">
        <v>1404</v>
      </c>
      <c r="J218" s="20">
        <v>6846</v>
      </c>
      <c r="L218" s="20" t="s">
        <v>839</v>
      </c>
      <c r="M218" s="20">
        <v>11404.5</v>
      </c>
      <c r="U218" s="20" t="s">
        <v>3671</v>
      </c>
      <c r="V218" s="20">
        <v>1</v>
      </c>
      <c r="X218" s="20" t="s">
        <v>3122</v>
      </c>
      <c r="Y218" s="20">
        <v>1</v>
      </c>
      <c r="AA218" s="20" t="s">
        <v>1005</v>
      </c>
      <c r="AB218" s="20">
        <v>29149.19</v>
      </c>
      <c r="AC218" s="20">
        <v>33649.919999999998</v>
      </c>
      <c r="AK218" s="20" t="s">
        <v>1146</v>
      </c>
      <c r="AL218" s="20">
        <v>0</v>
      </c>
      <c r="AM218">
        <v>5</v>
      </c>
      <c r="AO218" s="20" t="s">
        <v>3239</v>
      </c>
      <c r="AP218" s="20">
        <v>1</v>
      </c>
    </row>
    <row r="219" spans="1:42" x14ac:dyDescent="0.25">
      <c r="A219" s="20" t="s">
        <v>1561</v>
      </c>
      <c r="B219" s="20" t="s">
        <v>2191</v>
      </c>
      <c r="C219" s="20">
        <v>0</v>
      </c>
      <c r="E219" s="20" t="s">
        <v>1086</v>
      </c>
      <c r="F219" s="20" t="s">
        <v>2191</v>
      </c>
      <c r="G219" s="20">
        <v>0</v>
      </c>
      <c r="I219" s="20" t="s">
        <v>1405</v>
      </c>
      <c r="J219" s="20">
        <v>-2701.59</v>
      </c>
      <c r="L219" s="20" t="s">
        <v>574</v>
      </c>
      <c r="M219" s="20">
        <v>1054.79</v>
      </c>
      <c r="U219" s="20" t="s">
        <v>1430</v>
      </c>
      <c r="V219" s="20">
        <v>5</v>
      </c>
      <c r="X219" s="20" t="s">
        <v>3125</v>
      </c>
      <c r="Y219" s="20">
        <v>2</v>
      </c>
      <c r="AA219" s="20" t="s">
        <v>2292</v>
      </c>
      <c r="AB219" s="20">
        <v>0</v>
      </c>
      <c r="AC219" s="20">
        <v>0</v>
      </c>
      <c r="AK219" s="20" t="s">
        <v>522</v>
      </c>
      <c r="AL219" s="20">
        <v>3</v>
      </c>
      <c r="AM219">
        <v>2</v>
      </c>
      <c r="AO219" s="20" t="s">
        <v>3241</v>
      </c>
      <c r="AP219" s="20">
        <v>2</v>
      </c>
    </row>
    <row r="220" spans="1:42" x14ac:dyDescent="0.25">
      <c r="A220" s="20" t="s">
        <v>1562</v>
      </c>
      <c r="B220" s="20" t="s">
        <v>2191</v>
      </c>
      <c r="C220" s="20">
        <v>0</v>
      </c>
      <c r="E220" s="20" t="s">
        <v>418</v>
      </c>
      <c r="F220" s="20" t="s">
        <v>2191</v>
      </c>
      <c r="G220" s="20">
        <v>0</v>
      </c>
      <c r="I220" s="20" t="s">
        <v>1326</v>
      </c>
      <c r="J220" s="20">
        <v>9126.69</v>
      </c>
      <c r="L220" s="20" t="s">
        <v>1510</v>
      </c>
      <c r="M220" s="20">
        <v>35841.75</v>
      </c>
      <c r="U220" s="20" t="s">
        <v>988</v>
      </c>
      <c r="V220" s="20">
        <v>2</v>
      </c>
      <c r="X220" s="20" t="s">
        <v>3151</v>
      </c>
      <c r="Y220" s="20">
        <v>1</v>
      </c>
      <c r="AA220" s="20" t="s">
        <v>412</v>
      </c>
      <c r="AB220" s="20">
        <v>335794.66</v>
      </c>
      <c r="AC220" s="20">
        <v>692049.12</v>
      </c>
      <c r="AK220" s="20" t="s">
        <v>524</v>
      </c>
      <c r="AL220" s="20">
        <v>1</v>
      </c>
      <c r="AM220">
        <v>6</v>
      </c>
      <c r="AO220" s="20" t="s">
        <v>3256</v>
      </c>
      <c r="AP220" s="20">
        <v>1</v>
      </c>
    </row>
    <row r="221" spans="1:42" x14ac:dyDescent="0.25">
      <c r="A221" s="20" t="s">
        <v>1079</v>
      </c>
      <c r="B221" s="20" t="s">
        <v>2191</v>
      </c>
      <c r="C221" s="20">
        <v>1958.88</v>
      </c>
      <c r="E221" s="20" t="s">
        <v>2005</v>
      </c>
      <c r="F221" s="20" t="s">
        <v>2191</v>
      </c>
      <c r="G221" s="20">
        <v>0</v>
      </c>
      <c r="I221" s="20" t="s">
        <v>1327</v>
      </c>
      <c r="J221" s="20">
        <v>5874.75</v>
      </c>
      <c r="L221" s="20" t="s">
        <v>796</v>
      </c>
      <c r="M221" s="20">
        <v>8287.02</v>
      </c>
      <c r="U221" s="20" t="s">
        <v>1070</v>
      </c>
      <c r="V221" s="20">
        <v>1</v>
      </c>
      <c r="X221" s="20" t="s">
        <v>3153</v>
      </c>
      <c r="Y221" s="20">
        <v>2</v>
      </c>
      <c r="AA221" s="20" t="s">
        <v>244</v>
      </c>
      <c r="AB221" s="20">
        <v>-319.08</v>
      </c>
      <c r="AC221" s="20">
        <v>2041.41</v>
      </c>
      <c r="AK221" s="20" t="s">
        <v>912</v>
      </c>
      <c r="AL221" s="20">
        <v>2</v>
      </c>
      <c r="AM221">
        <v>2</v>
      </c>
      <c r="AO221" s="20" t="s">
        <v>3254</v>
      </c>
      <c r="AP221" s="20">
        <v>1</v>
      </c>
    </row>
    <row r="222" spans="1:42" x14ac:dyDescent="0.25">
      <c r="A222" s="20" t="s">
        <v>593</v>
      </c>
      <c r="B222" s="20" t="s">
        <v>2191</v>
      </c>
      <c r="C222" s="20">
        <v>2964</v>
      </c>
      <c r="E222" s="20" t="s">
        <v>1087</v>
      </c>
      <c r="F222" s="20" t="s">
        <v>2191</v>
      </c>
      <c r="G222" s="20">
        <v>0</v>
      </c>
      <c r="I222" s="20" t="s">
        <v>560</v>
      </c>
      <c r="J222" s="20">
        <v>23440.639999999999</v>
      </c>
      <c r="L222" s="20" t="s">
        <v>200</v>
      </c>
      <c r="M222" s="20">
        <v>8875</v>
      </c>
      <c r="X222" s="20" t="s">
        <v>3166</v>
      </c>
      <c r="Y222" s="20">
        <v>7</v>
      </c>
      <c r="AA222" s="20" t="s">
        <v>1574</v>
      </c>
      <c r="AB222" s="20">
        <v>-36.869999999999997</v>
      </c>
      <c r="AC222" s="20">
        <v>0</v>
      </c>
      <c r="AK222" s="20" t="s">
        <v>142</v>
      </c>
      <c r="AL222" s="20"/>
      <c r="AM222">
        <v>1</v>
      </c>
      <c r="AO222" s="20" t="s">
        <v>3252</v>
      </c>
      <c r="AP222" s="20">
        <v>2</v>
      </c>
    </row>
    <row r="223" spans="1:42" x14ac:dyDescent="0.25">
      <c r="A223" s="20" t="s">
        <v>2238</v>
      </c>
      <c r="B223" s="20" t="s">
        <v>2191</v>
      </c>
      <c r="C223" s="20">
        <v>0</v>
      </c>
      <c r="E223" s="20" t="s">
        <v>2068</v>
      </c>
      <c r="F223" s="20" t="s">
        <v>2191</v>
      </c>
      <c r="G223" s="20">
        <v>0</v>
      </c>
      <c r="I223" s="20" t="s">
        <v>1407</v>
      </c>
      <c r="J223" s="20">
        <v>73743.98</v>
      </c>
      <c r="L223" s="20" t="s">
        <v>205</v>
      </c>
      <c r="M223" s="20">
        <v>11627</v>
      </c>
      <c r="X223" s="20" t="s">
        <v>3181</v>
      </c>
      <c r="Y223" s="20">
        <v>7</v>
      </c>
      <c r="AA223" s="20" t="s">
        <v>2039</v>
      </c>
      <c r="AB223" s="20">
        <v>0</v>
      </c>
      <c r="AC223" s="20">
        <v>0</v>
      </c>
      <c r="AK223" s="20" t="s">
        <v>1482</v>
      </c>
      <c r="AL223" s="20">
        <v>18</v>
      </c>
      <c r="AM223">
        <v>29</v>
      </c>
      <c r="AO223" s="20" t="s">
        <v>3260</v>
      </c>
      <c r="AP223" s="20">
        <v>1</v>
      </c>
    </row>
    <row r="224" spans="1:42" x14ac:dyDescent="0.25">
      <c r="A224" s="20" t="s">
        <v>2239</v>
      </c>
      <c r="B224" s="20" t="s">
        <v>2191</v>
      </c>
      <c r="C224" s="20">
        <v>0</v>
      </c>
      <c r="E224" s="20" t="s">
        <v>1090</v>
      </c>
      <c r="F224" s="20" t="s">
        <v>2191</v>
      </c>
      <c r="G224" s="20">
        <v>0</v>
      </c>
      <c r="I224" s="20" t="s">
        <v>734</v>
      </c>
      <c r="J224" s="20">
        <v>7841</v>
      </c>
      <c r="L224" s="20" t="s">
        <v>1428</v>
      </c>
      <c r="M224" s="20">
        <v>19456</v>
      </c>
      <c r="X224" s="20" t="s">
        <v>3178</v>
      </c>
      <c r="Y224" s="20">
        <v>5</v>
      </c>
      <c r="AA224" s="20" t="s">
        <v>2295</v>
      </c>
      <c r="AB224" s="20">
        <v>0</v>
      </c>
      <c r="AC224" s="20">
        <v>0</v>
      </c>
      <c r="AK224" s="20" t="s">
        <v>1385</v>
      </c>
      <c r="AL224" s="20"/>
      <c r="AM224">
        <v>1</v>
      </c>
      <c r="AO224" s="20" t="s">
        <v>3280</v>
      </c>
      <c r="AP224" s="20">
        <v>1</v>
      </c>
    </row>
    <row r="225" spans="1:42" x14ac:dyDescent="0.25">
      <c r="A225" s="20" t="s">
        <v>2240</v>
      </c>
      <c r="B225" s="20" t="s">
        <v>2191</v>
      </c>
      <c r="C225" s="20">
        <v>0</v>
      </c>
      <c r="E225" s="20" t="s">
        <v>1832</v>
      </c>
      <c r="F225" s="20" t="s">
        <v>2191</v>
      </c>
      <c r="G225" s="20">
        <v>0</v>
      </c>
      <c r="I225" s="20" t="s">
        <v>364</v>
      </c>
      <c r="J225" s="20">
        <v>-1914.92</v>
      </c>
      <c r="L225" s="20" t="s">
        <v>578</v>
      </c>
      <c r="M225" s="20">
        <v>-1247.8399999999999</v>
      </c>
      <c r="X225" s="20" t="s">
        <v>3164</v>
      </c>
      <c r="Y225" s="20">
        <v>2</v>
      </c>
      <c r="AA225" s="20" t="s">
        <v>1369</v>
      </c>
      <c r="AB225" s="20">
        <v>17756.82</v>
      </c>
      <c r="AC225" s="20">
        <v>437171.39</v>
      </c>
      <c r="AK225" s="20" t="s">
        <v>144</v>
      </c>
      <c r="AL225" s="20">
        <v>2</v>
      </c>
      <c r="AM225">
        <v>4</v>
      </c>
      <c r="AO225" s="20" t="s">
        <v>3301</v>
      </c>
      <c r="AP225" s="20">
        <v>1</v>
      </c>
    </row>
    <row r="226" spans="1:42" x14ac:dyDescent="0.25">
      <c r="A226" s="20" t="s">
        <v>2153</v>
      </c>
      <c r="B226" s="20" t="s">
        <v>2191</v>
      </c>
      <c r="C226" s="20">
        <v>0</v>
      </c>
      <c r="E226" s="20" t="s">
        <v>420</v>
      </c>
      <c r="F226" s="20" t="s">
        <v>2191</v>
      </c>
      <c r="G226" s="20">
        <v>0</v>
      </c>
      <c r="I226" s="20" t="s">
        <v>1409</v>
      </c>
      <c r="J226" s="20">
        <v>14396</v>
      </c>
      <c r="L226" s="20" t="s">
        <v>799</v>
      </c>
      <c r="M226" s="20">
        <v>6980</v>
      </c>
      <c r="X226" s="20" t="s">
        <v>3154</v>
      </c>
      <c r="Y226" s="20">
        <v>2</v>
      </c>
      <c r="AA226" s="20" t="s">
        <v>2296</v>
      </c>
      <c r="AB226" s="20">
        <v>-540.6</v>
      </c>
      <c r="AC226" s="20">
        <v>31383.200000000001</v>
      </c>
      <c r="AK226" s="20" t="s">
        <v>146</v>
      </c>
      <c r="AL226" s="20"/>
      <c r="AM226">
        <v>1</v>
      </c>
      <c r="AO226" s="20" t="s">
        <v>3311</v>
      </c>
      <c r="AP226" s="20">
        <v>3</v>
      </c>
    </row>
    <row r="227" spans="1:42" x14ac:dyDescent="0.25">
      <c r="A227" s="20" t="s">
        <v>1563</v>
      </c>
      <c r="B227" s="20" t="s">
        <v>2191</v>
      </c>
      <c r="C227" s="20">
        <v>0</v>
      </c>
      <c r="E227" s="20" t="s">
        <v>1833</v>
      </c>
      <c r="F227" s="20" t="s">
        <v>2191</v>
      </c>
      <c r="G227" s="20">
        <v>0</v>
      </c>
      <c r="I227" s="20" t="s">
        <v>834</v>
      </c>
      <c r="J227" s="20">
        <v>34559</v>
      </c>
      <c r="L227" s="20" t="s">
        <v>100</v>
      </c>
      <c r="M227" s="20">
        <v>15794.5</v>
      </c>
      <c r="X227" s="20" t="s">
        <v>3180</v>
      </c>
      <c r="Y227" s="20">
        <v>1</v>
      </c>
      <c r="AA227" s="20" t="s">
        <v>2298</v>
      </c>
      <c r="AB227" s="20">
        <v>0</v>
      </c>
      <c r="AC227" s="20">
        <v>0</v>
      </c>
      <c r="AK227" s="20" t="s">
        <v>1154</v>
      </c>
      <c r="AL227" s="20"/>
      <c r="AM227">
        <v>1</v>
      </c>
      <c r="AO227" s="20" t="s">
        <v>3315</v>
      </c>
      <c r="AP227" s="20">
        <v>1</v>
      </c>
    </row>
    <row r="228" spans="1:42" x14ac:dyDescent="0.25">
      <c r="A228" s="20" t="s">
        <v>892</v>
      </c>
      <c r="B228" s="20" t="s">
        <v>2191</v>
      </c>
      <c r="C228" s="20">
        <v>5411.86</v>
      </c>
      <c r="E228" s="20" t="s">
        <v>2040</v>
      </c>
      <c r="F228" s="20" t="s">
        <v>2191</v>
      </c>
      <c r="G228" s="20">
        <v>0</v>
      </c>
      <c r="I228" s="20" t="s">
        <v>507</v>
      </c>
      <c r="J228" s="20">
        <v>999</v>
      </c>
      <c r="L228" s="20" t="s">
        <v>385</v>
      </c>
      <c r="M228" s="20">
        <v>2543</v>
      </c>
      <c r="X228" s="20" t="s">
        <v>3173</v>
      </c>
      <c r="Y228" s="20">
        <v>3</v>
      </c>
      <c r="AA228" s="20" t="s">
        <v>95</v>
      </c>
      <c r="AB228" s="20">
        <v>3060.55</v>
      </c>
      <c r="AC228" s="20">
        <v>13582</v>
      </c>
      <c r="AK228" s="20" t="s">
        <v>1484</v>
      </c>
      <c r="AL228" s="20">
        <v>1</v>
      </c>
      <c r="AM228">
        <v>1</v>
      </c>
      <c r="AO228" s="20" t="s">
        <v>3314</v>
      </c>
      <c r="AP228" s="20">
        <v>1</v>
      </c>
    </row>
    <row r="229" spans="1:42" x14ac:dyDescent="0.25">
      <c r="A229" s="20" t="s">
        <v>2241</v>
      </c>
      <c r="B229" s="20" t="s">
        <v>2191</v>
      </c>
      <c r="C229" s="20">
        <v>0</v>
      </c>
      <c r="E229" s="20" t="s">
        <v>1091</v>
      </c>
      <c r="F229" s="20" t="s">
        <v>2191</v>
      </c>
      <c r="G229" s="20">
        <v>0</v>
      </c>
      <c r="I229" s="20" t="s">
        <v>1148</v>
      </c>
      <c r="J229" s="20">
        <v>6272</v>
      </c>
      <c r="L229" s="20" t="s">
        <v>213</v>
      </c>
      <c r="M229" s="20">
        <v>7494</v>
      </c>
      <c r="X229" s="20" t="s">
        <v>3174</v>
      </c>
      <c r="Y229" s="20">
        <v>2</v>
      </c>
      <c r="AA229" s="20" t="s">
        <v>2299</v>
      </c>
      <c r="AB229" s="20">
        <v>0</v>
      </c>
      <c r="AC229" s="20">
        <v>0</v>
      </c>
      <c r="AK229" s="20" t="s">
        <v>218</v>
      </c>
      <c r="AL229" s="20">
        <v>0</v>
      </c>
      <c r="AM229">
        <v>2</v>
      </c>
      <c r="AO229" s="20" t="s">
        <v>3294</v>
      </c>
      <c r="AP229" s="20">
        <v>1</v>
      </c>
    </row>
    <row r="230" spans="1:42" x14ac:dyDescent="0.25">
      <c r="A230" s="20" t="s">
        <v>2242</v>
      </c>
      <c r="B230" s="20" t="s">
        <v>2191</v>
      </c>
      <c r="C230" s="20">
        <v>0</v>
      </c>
      <c r="E230" s="20" t="s">
        <v>422</v>
      </c>
      <c r="F230" s="20" t="s">
        <v>2191</v>
      </c>
      <c r="G230" s="20">
        <v>18519.939999999999</v>
      </c>
      <c r="I230" s="20" t="s">
        <v>1499</v>
      </c>
      <c r="J230" s="20">
        <v>19589</v>
      </c>
      <c r="L230" s="20" t="s">
        <v>671</v>
      </c>
      <c r="M230" s="20">
        <v>6676</v>
      </c>
      <c r="X230" s="20" t="s">
        <v>3205</v>
      </c>
      <c r="Y230" s="20">
        <v>1</v>
      </c>
      <c r="AA230" s="20" t="s">
        <v>2300</v>
      </c>
      <c r="AB230" s="20">
        <v>0</v>
      </c>
      <c r="AC230" s="20">
        <v>0</v>
      </c>
      <c r="AK230" s="20" t="s">
        <v>1156</v>
      </c>
      <c r="AL230" s="20"/>
      <c r="AM230">
        <v>1</v>
      </c>
      <c r="AO230" s="20" t="s">
        <v>3313</v>
      </c>
      <c r="AP230" s="20">
        <v>2</v>
      </c>
    </row>
    <row r="231" spans="1:42" x14ac:dyDescent="0.25">
      <c r="A231" s="20" t="s">
        <v>1564</v>
      </c>
      <c r="B231" s="20" t="s">
        <v>2191</v>
      </c>
      <c r="C231" s="20">
        <v>0</v>
      </c>
      <c r="E231" s="20" t="s">
        <v>1834</v>
      </c>
      <c r="F231" s="20" t="s">
        <v>2191</v>
      </c>
      <c r="G231" s="20">
        <v>0</v>
      </c>
      <c r="I231" s="20" t="s">
        <v>1096</v>
      </c>
      <c r="J231" s="20">
        <v>14614</v>
      </c>
      <c r="L231" s="20" t="s">
        <v>984</v>
      </c>
      <c r="M231" s="20">
        <v>3652</v>
      </c>
      <c r="X231" s="20" t="s">
        <v>3220</v>
      </c>
      <c r="Y231" s="20">
        <v>2</v>
      </c>
      <c r="AA231" s="20" t="s">
        <v>602</v>
      </c>
      <c r="AB231" s="20">
        <v>-1575.05</v>
      </c>
      <c r="AC231" s="20">
        <v>14921.34</v>
      </c>
      <c r="AK231" s="20" t="s">
        <v>741</v>
      </c>
      <c r="AL231" s="20">
        <v>0</v>
      </c>
      <c r="AM231">
        <v>2</v>
      </c>
      <c r="AO231" s="20" t="s">
        <v>3343</v>
      </c>
      <c r="AP231" s="20">
        <v>1</v>
      </c>
    </row>
    <row r="232" spans="1:42" x14ac:dyDescent="0.25">
      <c r="A232" s="20" t="s">
        <v>238</v>
      </c>
      <c r="B232" s="20" t="s">
        <v>2191</v>
      </c>
      <c r="C232" s="20">
        <v>11018</v>
      </c>
      <c r="E232" s="20" t="s">
        <v>703</v>
      </c>
      <c r="F232" s="20" t="s">
        <v>2191</v>
      </c>
      <c r="G232" s="20">
        <v>0</v>
      </c>
      <c r="I232" s="20" t="s">
        <v>937</v>
      </c>
      <c r="J232" s="20">
        <v>13622</v>
      </c>
      <c r="L232" s="20" t="s">
        <v>1814</v>
      </c>
      <c r="M232" s="20">
        <v>-773.76</v>
      </c>
      <c r="X232" s="20" t="s">
        <v>3230</v>
      </c>
      <c r="Y232" s="20">
        <v>3</v>
      </c>
      <c r="AA232" s="20" t="s">
        <v>414</v>
      </c>
      <c r="AB232" s="20">
        <v>-30.98</v>
      </c>
      <c r="AC232" s="20">
        <v>80304.62</v>
      </c>
      <c r="AK232" s="20" t="s">
        <v>743</v>
      </c>
      <c r="AL232" s="20"/>
      <c r="AM232">
        <v>1</v>
      </c>
      <c r="AO232" s="20" t="s">
        <v>3342</v>
      </c>
      <c r="AP232" s="20">
        <v>3</v>
      </c>
    </row>
    <row r="233" spans="1:42" x14ac:dyDescent="0.25">
      <c r="A233" s="20" t="s">
        <v>240</v>
      </c>
      <c r="B233" s="20" t="s">
        <v>2191</v>
      </c>
      <c r="C233" s="20">
        <v>0</v>
      </c>
      <c r="E233" s="20" t="s">
        <v>1963</v>
      </c>
      <c r="F233" s="20" t="s">
        <v>2191</v>
      </c>
      <c r="G233" s="20">
        <v>0</v>
      </c>
      <c r="I233" s="20" t="s">
        <v>562</v>
      </c>
      <c r="J233" s="20">
        <v>0</v>
      </c>
      <c r="L233" s="20" t="s">
        <v>2097</v>
      </c>
      <c r="M233" s="20">
        <v>11487</v>
      </c>
      <c r="X233" s="20" t="s">
        <v>3241</v>
      </c>
      <c r="Y233" s="20">
        <v>2</v>
      </c>
      <c r="AA233" s="20" t="s">
        <v>247</v>
      </c>
      <c r="AB233" s="20">
        <v>61753.3</v>
      </c>
      <c r="AC233" s="20">
        <v>360584.09</v>
      </c>
      <c r="AK233" s="20" t="s">
        <v>1034</v>
      </c>
      <c r="AL233" s="20">
        <v>0</v>
      </c>
      <c r="AM233">
        <v>3</v>
      </c>
      <c r="AO233" s="20" t="s">
        <v>3364</v>
      </c>
      <c r="AP233" s="20">
        <v>2</v>
      </c>
    </row>
    <row r="234" spans="1:42" x14ac:dyDescent="0.25">
      <c r="A234" s="20" t="s">
        <v>2033</v>
      </c>
      <c r="B234" s="20" t="s">
        <v>2191</v>
      </c>
      <c r="C234" s="20">
        <v>0</v>
      </c>
      <c r="E234" s="20" t="s">
        <v>2047</v>
      </c>
      <c r="F234" s="20" t="s">
        <v>2191</v>
      </c>
      <c r="G234" s="20">
        <v>0</v>
      </c>
      <c r="I234" s="20" t="s">
        <v>965</v>
      </c>
      <c r="J234" s="20">
        <v>29372.89</v>
      </c>
      <c r="L234" s="20" t="s">
        <v>2024</v>
      </c>
      <c r="M234" s="20">
        <v>24407</v>
      </c>
      <c r="X234" s="20" t="s">
        <v>3243</v>
      </c>
      <c r="Y234" s="20">
        <v>1</v>
      </c>
      <c r="AA234" s="20" t="s">
        <v>2301</v>
      </c>
      <c r="AB234" s="20">
        <v>0</v>
      </c>
      <c r="AC234" s="20">
        <v>0</v>
      </c>
      <c r="AK234" s="20" t="s">
        <v>744</v>
      </c>
      <c r="AL234" s="20"/>
      <c r="AM234">
        <v>1</v>
      </c>
      <c r="AO234" s="20" t="s">
        <v>3377</v>
      </c>
      <c r="AP234" s="20">
        <v>4</v>
      </c>
    </row>
    <row r="235" spans="1:42" x14ac:dyDescent="0.25">
      <c r="A235" s="20" t="s">
        <v>2243</v>
      </c>
      <c r="B235" s="20" t="s">
        <v>2191</v>
      </c>
      <c r="C235" s="20">
        <v>0</v>
      </c>
      <c r="E235" s="20" t="s">
        <v>251</v>
      </c>
      <c r="F235" s="20" t="s">
        <v>2191</v>
      </c>
      <c r="G235" s="20">
        <v>24999</v>
      </c>
      <c r="I235" s="20" t="s">
        <v>1410</v>
      </c>
      <c r="J235" s="20">
        <v>4275</v>
      </c>
      <c r="L235" s="20" t="s">
        <v>2988</v>
      </c>
      <c r="M235" s="20">
        <v>3329</v>
      </c>
      <c r="X235" s="20" t="s">
        <v>3235</v>
      </c>
      <c r="Y235" s="20">
        <v>1</v>
      </c>
      <c r="AA235" s="20" t="s">
        <v>2302</v>
      </c>
      <c r="AB235" s="20">
        <v>0</v>
      </c>
      <c r="AC235" s="20">
        <v>0</v>
      </c>
      <c r="AK235" s="20" t="s">
        <v>1388</v>
      </c>
      <c r="AL235" s="20">
        <v>0</v>
      </c>
      <c r="AM235">
        <v>6</v>
      </c>
      <c r="AO235" s="20" t="s">
        <v>3384</v>
      </c>
      <c r="AP235" s="20">
        <v>1</v>
      </c>
    </row>
    <row r="236" spans="1:42" x14ac:dyDescent="0.25">
      <c r="A236" s="20" t="s">
        <v>1565</v>
      </c>
      <c r="B236" s="20" t="s">
        <v>2191</v>
      </c>
      <c r="C236" s="20">
        <v>0</v>
      </c>
      <c r="E236" s="20" t="s">
        <v>2069</v>
      </c>
      <c r="F236" s="20" t="s">
        <v>2191</v>
      </c>
      <c r="G236" s="20">
        <v>0</v>
      </c>
      <c r="I236" s="20" t="s">
        <v>97</v>
      </c>
      <c r="J236" s="20">
        <v>9840</v>
      </c>
      <c r="L236" s="20" t="s">
        <v>3002</v>
      </c>
      <c r="M236" s="20">
        <v>1895.5</v>
      </c>
      <c r="X236" s="20" t="s">
        <v>3248</v>
      </c>
      <c r="Y236" s="20">
        <v>1</v>
      </c>
      <c r="AA236" s="20" t="s">
        <v>1575</v>
      </c>
      <c r="AB236" s="20">
        <v>-524.62</v>
      </c>
      <c r="AC236" s="20">
        <v>0</v>
      </c>
      <c r="AK236" s="20" t="s">
        <v>745</v>
      </c>
      <c r="AL236" s="20">
        <v>6</v>
      </c>
      <c r="AM236">
        <v>9</v>
      </c>
      <c r="AO236" s="20" t="s">
        <v>3396</v>
      </c>
      <c r="AP236" s="20">
        <v>1</v>
      </c>
    </row>
    <row r="237" spans="1:42" x14ac:dyDescent="0.25">
      <c r="A237" s="20" t="s">
        <v>2244</v>
      </c>
      <c r="B237" s="20" t="s">
        <v>2191</v>
      </c>
      <c r="C237" s="20">
        <v>0</v>
      </c>
      <c r="E237" s="20" t="s">
        <v>99</v>
      </c>
      <c r="F237" s="20" t="s">
        <v>2191</v>
      </c>
      <c r="G237" s="20">
        <v>0</v>
      </c>
      <c r="I237" s="20" t="s">
        <v>348</v>
      </c>
      <c r="J237" s="20">
        <v>4844</v>
      </c>
      <c r="L237" s="20" t="s">
        <v>3033</v>
      </c>
      <c r="M237" s="20">
        <v>96582</v>
      </c>
      <c r="X237" s="20" t="s">
        <v>3244</v>
      </c>
      <c r="Y237" s="20">
        <v>2</v>
      </c>
      <c r="AA237" s="20" t="s">
        <v>2304</v>
      </c>
      <c r="AB237" s="20">
        <v>0</v>
      </c>
      <c r="AC237" s="20">
        <v>0</v>
      </c>
      <c r="AK237" s="20" t="s">
        <v>1390</v>
      </c>
      <c r="AL237" s="20">
        <v>4</v>
      </c>
      <c r="AM237">
        <v>6</v>
      </c>
      <c r="AO237" s="20" t="s">
        <v>3401</v>
      </c>
      <c r="AP237" s="20">
        <v>2</v>
      </c>
    </row>
    <row r="238" spans="1:42" x14ac:dyDescent="0.25">
      <c r="A238" s="20" t="s">
        <v>2245</v>
      </c>
      <c r="B238" s="20" t="s">
        <v>2191</v>
      </c>
      <c r="C238" s="20">
        <v>0</v>
      </c>
      <c r="E238" s="20" t="s">
        <v>605</v>
      </c>
      <c r="F238" s="20" t="s">
        <v>2191</v>
      </c>
      <c r="G238" s="20">
        <v>0</v>
      </c>
      <c r="I238" s="20" t="s">
        <v>921</v>
      </c>
      <c r="J238" s="20">
        <v>-6558.88</v>
      </c>
      <c r="L238" s="20" t="s">
        <v>3023</v>
      </c>
      <c r="M238" s="20">
        <v>317.56</v>
      </c>
      <c r="X238" s="20" t="s">
        <v>3252</v>
      </c>
      <c r="Y238" s="20">
        <v>2</v>
      </c>
      <c r="AA238" s="20" t="s">
        <v>2305</v>
      </c>
      <c r="AB238" s="20">
        <v>0</v>
      </c>
      <c r="AC238" s="20">
        <v>0</v>
      </c>
      <c r="AK238" s="20" t="s">
        <v>1313</v>
      </c>
      <c r="AL238" s="20">
        <v>0</v>
      </c>
      <c r="AM238">
        <v>2</v>
      </c>
      <c r="AO238" s="20" t="s">
        <v>3415</v>
      </c>
      <c r="AP238" s="20">
        <v>1</v>
      </c>
    </row>
    <row r="239" spans="1:42" x14ac:dyDescent="0.25">
      <c r="A239" s="20" t="s">
        <v>2246</v>
      </c>
      <c r="B239" s="20" t="s">
        <v>2191</v>
      </c>
      <c r="C239" s="20">
        <v>0</v>
      </c>
      <c r="E239" s="20" t="s">
        <v>1093</v>
      </c>
      <c r="F239" s="20" t="s">
        <v>2191</v>
      </c>
      <c r="G239" s="20">
        <v>0</v>
      </c>
      <c r="I239" s="20" t="s">
        <v>371</v>
      </c>
      <c r="J239" s="20">
        <v>1753</v>
      </c>
      <c r="L239" s="20" t="s">
        <v>3041</v>
      </c>
      <c r="M239" s="20">
        <v>-720.5</v>
      </c>
      <c r="X239" s="20" t="s">
        <v>3260</v>
      </c>
      <c r="Y239" s="20">
        <v>5</v>
      </c>
      <c r="AA239" s="20" t="s">
        <v>2306</v>
      </c>
      <c r="AB239" s="20">
        <v>0</v>
      </c>
      <c r="AC239" s="20">
        <v>0</v>
      </c>
      <c r="AK239" s="20" t="s">
        <v>1158</v>
      </c>
      <c r="AL239" s="20">
        <v>4</v>
      </c>
      <c r="AM239">
        <v>13</v>
      </c>
      <c r="AO239" s="20" t="s">
        <v>3572</v>
      </c>
      <c r="AP239" s="20">
        <v>4</v>
      </c>
    </row>
    <row r="240" spans="1:42" x14ac:dyDescent="0.25">
      <c r="A240" s="20" t="s">
        <v>2247</v>
      </c>
      <c r="B240" s="20" t="s">
        <v>2191</v>
      </c>
      <c r="C240" s="20">
        <v>0</v>
      </c>
      <c r="E240" s="20" t="s">
        <v>101</v>
      </c>
      <c r="F240" s="20" t="s">
        <v>2191</v>
      </c>
      <c r="G240" s="20">
        <v>0</v>
      </c>
      <c r="I240" s="20" t="s">
        <v>967</v>
      </c>
      <c r="J240" s="20">
        <v>5989</v>
      </c>
      <c r="L240" s="20" t="s">
        <v>3035</v>
      </c>
      <c r="M240" s="20">
        <v>28672</v>
      </c>
      <c r="X240" s="20" t="s">
        <v>3278</v>
      </c>
      <c r="Y240" s="20">
        <v>1</v>
      </c>
      <c r="AA240" s="20" t="s">
        <v>2307</v>
      </c>
      <c r="AB240" s="20">
        <v>0</v>
      </c>
      <c r="AC240" s="20">
        <v>0</v>
      </c>
      <c r="AK240" s="20" t="s">
        <v>407</v>
      </c>
      <c r="AL240" s="20">
        <v>2</v>
      </c>
      <c r="AM240">
        <v>1</v>
      </c>
      <c r="AO240" s="20" t="s">
        <v>3577</v>
      </c>
      <c r="AP240" s="20">
        <v>6</v>
      </c>
    </row>
    <row r="241" spans="1:42" x14ac:dyDescent="0.25">
      <c r="A241" s="20" t="s">
        <v>393</v>
      </c>
      <c r="B241" s="20" t="s">
        <v>2191</v>
      </c>
      <c r="C241" s="20">
        <v>0</v>
      </c>
      <c r="E241" s="20" t="s">
        <v>1904</v>
      </c>
      <c r="F241" s="20" t="s">
        <v>2191</v>
      </c>
      <c r="G241" s="20">
        <v>0</v>
      </c>
      <c r="I241" s="20" t="s">
        <v>1415</v>
      </c>
      <c r="J241" s="20">
        <v>56565</v>
      </c>
      <c r="L241" s="20" t="s">
        <v>3054</v>
      </c>
      <c r="M241" s="20">
        <v>35472.5</v>
      </c>
      <c r="X241" s="20" t="s">
        <v>3280</v>
      </c>
      <c r="Y241" s="20">
        <v>1</v>
      </c>
      <c r="AA241" s="20" t="s">
        <v>1007</v>
      </c>
      <c r="AB241" s="20">
        <v>444389.74</v>
      </c>
      <c r="AC241" s="20">
        <v>250245.98</v>
      </c>
      <c r="AK241" s="20" t="s">
        <v>150</v>
      </c>
      <c r="AL241" s="20">
        <v>0</v>
      </c>
      <c r="AM241">
        <v>2</v>
      </c>
      <c r="AO241" s="20" t="s">
        <v>3582</v>
      </c>
      <c r="AP241" s="20">
        <v>3</v>
      </c>
    </row>
    <row r="242" spans="1:42" x14ac:dyDescent="0.25">
      <c r="A242" s="20" t="s">
        <v>2091</v>
      </c>
      <c r="B242" s="20" t="s">
        <v>2191</v>
      </c>
      <c r="C242" s="20">
        <v>0</v>
      </c>
      <c r="E242" s="20" t="s">
        <v>2170</v>
      </c>
      <c r="F242" s="20" t="s">
        <v>2191</v>
      </c>
      <c r="G242" s="20">
        <v>0</v>
      </c>
      <c r="I242" s="20" t="s">
        <v>1188</v>
      </c>
      <c r="J242" s="20">
        <v>38728.46</v>
      </c>
      <c r="L242" s="20" t="s">
        <v>3056</v>
      </c>
      <c r="M242" s="20">
        <v>56820</v>
      </c>
      <c r="X242" s="20" t="s">
        <v>3285</v>
      </c>
      <c r="Y242" s="20">
        <v>1</v>
      </c>
      <c r="AA242" s="20" t="s">
        <v>1576</v>
      </c>
      <c r="AB242" s="20">
        <v>-102.01</v>
      </c>
      <c r="AC242" s="20">
        <v>0</v>
      </c>
      <c r="AK242" s="20" t="s">
        <v>532</v>
      </c>
      <c r="AL242" s="20">
        <v>1</v>
      </c>
      <c r="AM242">
        <v>5</v>
      </c>
      <c r="AO242" s="20" t="s">
        <v>3605</v>
      </c>
      <c r="AP242" s="20">
        <v>1</v>
      </c>
    </row>
    <row r="243" spans="1:42" x14ac:dyDescent="0.25">
      <c r="A243" s="20" t="s">
        <v>2248</v>
      </c>
      <c r="B243" s="20" t="s">
        <v>2191</v>
      </c>
      <c r="C243" s="20">
        <v>0</v>
      </c>
      <c r="E243" s="20" t="s">
        <v>896</v>
      </c>
      <c r="F243" s="20" t="s">
        <v>2191</v>
      </c>
      <c r="G243" s="20">
        <v>0</v>
      </c>
      <c r="I243" s="20" t="s">
        <v>777</v>
      </c>
      <c r="J243" s="20">
        <v>6740</v>
      </c>
      <c r="L243" s="20" t="s">
        <v>3051</v>
      </c>
      <c r="M243" s="20">
        <v>1550</v>
      </c>
      <c r="X243" s="20" t="s">
        <v>3299</v>
      </c>
      <c r="Y243" s="20">
        <v>3</v>
      </c>
      <c r="AA243" s="20" t="s">
        <v>2308</v>
      </c>
      <c r="AB243" s="20">
        <v>0</v>
      </c>
      <c r="AC243" s="20">
        <v>0</v>
      </c>
      <c r="AK243" s="20" t="s">
        <v>430</v>
      </c>
      <c r="AL243" s="20">
        <v>8</v>
      </c>
      <c r="AM243">
        <v>21</v>
      </c>
      <c r="AO243" s="20" t="s">
        <v>584</v>
      </c>
      <c r="AP243" s="20">
        <v>1</v>
      </c>
    </row>
    <row r="244" spans="1:42" x14ac:dyDescent="0.25">
      <c r="A244" s="20" t="s">
        <v>1566</v>
      </c>
      <c r="B244" s="20" t="s">
        <v>2191</v>
      </c>
      <c r="C244" s="20">
        <v>0</v>
      </c>
      <c r="E244" s="20" t="s">
        <v>898</v>
      </c>
      <c r="F244" s="20" t="s">
        <v>2191</v>
      </c>
      <c r="G244" s="20">
        <v>0</v>
      </c>
      <c r="I244" s="20" t="s">
        <v>1416</v>
      </c>
      <c r="J244" s="20">
        <v>-7226.72</v>
      </c>
      <c r="L244" s="20" t="s">
        <v>3060</v>
      </c>
      <c r="M244" s="20">
        <v>17098</v>
      </c>
      <c r="X244" s="20" t="s">
        <v>3311</v>
      </c>
      <c r="Y244" s="20">
        <v>3</v>
      </c>
      <c r="AA244" s="20" t="s">
        <v>2309</v>
      </c>
      <c r="AB244" s="20">
        <v>0</v>
      </c>
      <c r="AC244" s="20">
        <v>0</v>
      </c>
      <c r="AK244" s="20" t="s">
        <v>152</v>
      </c>
      <c r="AL244" s="20"/>
      <c r="AM244">
        <v>1</v>
      </c>
      <c r="AO244" s="20" t="s">
        <v>1430</v>
      </c>
      <c r="AP244" s="20">
        <v>4</v>
      </c>
    </row>
    <row r="245" spans="1:42" x14ac:dyDescent="0.25">
      <c r="A245" s="20" t="s">
        <v>2249</v>
      </c>
      <c r="B245" s="20" t="s">
        <v>2191</v>
      </c>
      <c r="C245" s="20">
        <v>0</v>
      </c>
      <c r="E245" s="20" t="s">
        <v>1094</v>
      </c>
      <c r="F245" s="20" t="s">
        <v>2191</v>
      </c>
      <c r="G245" s="20">
        <v>0</v>
      </c>
      <c r="I245" s="20" t="s">
        <v>379</v>
      </c>
      <c r="J245" s="20">
        <v>30622.68</v>
      </c>
      <c r="L245" s="20" t="s">
        <v>3062</v>
      </c>
      <c r="M245" s="20">
        <v>9707.5</v>
      </c>
      <c r="X245" s="20" t="s">
        <v>3304</v>
      </c>
      <c r="Y245" s="20">
        <v>4</v>
      </c>
      <c r="AA245" s="20" t="s">
        <v>2310</v>
      </c>
      <c r="AB245" s="20">
        <v>0</v>
      </c>
      <c r="AC245" s="20">
        <v>0</v>
      </c>
      <c r="AK245" s="20" t="s">
        <v>1392</v>
      </c>
      <c r="AL245" s="20">
        <v>7</v>
      </c>
      <c r="AM245">
        <v>10</v>
      </c>
      <c r="AO245" s="20" t="s">
        <v>1070</v>
      </c>
      <c r="AP245" s="20">
        <v>1</v>
      </c>
    </row>
    <row r="246" spans="1:42" x14ac:dyDescent="0.25">
      <c r="A246" s="20" t="s">
        <v>2250</v>
      </c>
      <c r="B246" s="20" t="s">
        <v>2191</v>
      </c>
      <c r="C246" s="20">
        <v>0</v>
      </c>
      <c r="E246" s="20" t="s">
        <v>1437</v>
      </c>
      <c r="F246" s="20" t="s">
        <v>2191</v>
      </c>
      <c r="G246" s="20">
        <v>0</v>
      </c>
      <c r="I246" s="20" t="s">
        <v>1418</v>
      </c>
      <c r="J246" s="20">
        <v>5141</v>
      </c>
      <c r="L246" s="20" t="s">
        <v>3061</v>
      </c>
      <c r="M246" s="20">
        <v>-1894.64</v>
      </c>
      <c r="X246" s="20" t="s">
        <v>3310</v>
      </c>
      <c r="Y246" s="20">
        <v>1</v>
      </c>
      <c r="AA246" s="20" t="s">
        <v>2311</v>
      </c>
      <c r="AB246" s="20">
        <v>0</v>
      </c>
      <c r="AC246" s="20">
        <v>0</v>
      </c>
      <c r="AK246" s="20" t="s">
        <v>1161</v>
      </c>
      <c r="AL246" s="20"/>
      <c r="AM246">
        <v>1</v>
      </c>
    </row>
    <row r="247" spans="1:42" x14ac:dyDescent="0.25">
      <c r="A247" s="20" t="s">
        <v>2251</v>
      </c>
      <c r="B247" s="20" t="s">
        <v>2191</v>
      </c>
      <c r="C247" s="20">
        <v>0</v>
      </c>
      <c r="E247" s="20" t="s">
        <v>900</v>
      </c>
      <c r="F247" s="20" t="s">
        <v>2191</v>
      </c>
      <c r="G247" s="20">
        <v>0</v>
      </c>
      <c r="I247" s="20" t="s">
        <v>185</v>
      </c>
      <c r="J247" s="20">
        <v>250</v>
      </c>
      <c r="L247" s="20" t="s">
        <v>3084</v>
      </c>
      <c r="M247" s="20">
        <v>751</v>
      </c>
      <c r="X247" s="20" t="s">
        <v>3292</v>
      </c>
      <c r="Y247" s="20">
        <v>3</v>
      </c>
      <c r="AA247" s="20" t="s">
        <v>2312</v>
      </c>
      <c r="AB247" s="20">
        <v>0</v>
      </c>
      <c r="AC247" s="20">
        <v>0</v>
      </c>
      <c r="AK247" s="20" t="s">
        <v>237</v>
      </c>
      <c r="AL247" s="20">
        <v>0</v>
      </c>
      <c r="AM247">
        <v>2</v>
      </c>
    </row>
    <row r="248" spans="1:42" x14ac:dyDescent="0.25">
      <c r="A248" s="20" t="s">
        <v>2252</v>
      </c>
      <c r="B248" s="20" t="s">
        <v>2191</v>
      </c>
      <c r="C248" s="20">
        <v>0</v>
      </c>
      <c r="E248" s="20" t="s">
        <v>254</v>
      </c>
      <c r="F248" s="20" t="s">
        <v>2191</v>
      </c>
      <c r="G248" s="20">
        <v>0</v>
      </c>
      <c r="I248" s="20" t="s">
        <v>666</v>
      </c>
      <c r="J248" s="20">
        <v>2032</v>
      </c>
      <c r="L248" s="20" t="s">
        <v>3091</v>
      </c>
      <c r="M248" s="20">
        <v>17826</v>
      </c>
      <c r="X248" s="20" t="s">
        <v>3315</v>
      </c>
      <c r="Y248" s="20">
        <v>1</v>
      </c>
      <c r="AA248" s="20" t="s">
        <v>249</v>
      </c>
      <c r="AB248" s="20">
        <v>1911.56</v>
      </c>
      <c r="AC248" s="20">
        <v>67723.92</v>
      </c>
      <c r="AK248" s="20" t="s">
        <v>341</v>
      </c>
      <c r="AL248" s="20">
        <v>3</v>
      </c>
      <c r="AM248">
        <v>13</v>
      </c>
    </row>
    <row r="249" spans="1:42" x14ac:dyDescent="0.25">
      <c r="A249" s="20" t="s">
        <v>1567</v>
      </c>
      <c r="B249" s="20" t="s">
        <v>2191</v>
      </c>
      <c r="C249" s="20">
        <v>0</v>
      </c>
      <c r="E249" s="20" t="s">
        <v>1095</v>
      </c>
      <c r="F249" s="20" t="s">
        <v>2191</v>
      </c>
      <c r="G249" s="20">
        <v>0</v>
      </c>
      <c r="I249" s="20" t="s">
        <v>566</v>
      </c>
      <c r="J249" s="20">
        <v>17030</v>
      </c>
      <c r="L249" s="20" t="s">
        <v>3078</v>
      </c>
      <c r="M249" s="20">
        <v>9506</v>
      </c>
      <c r="X249" s="20" t="s">
        <v>3302</v>
      </c>
      <c r="Y249" s="20">
        <v>4</v>
      </c>
      <c r="AA249" s="20" t="s">
        <v>416</v>
      </c>
      <c r="AB249" s="20">
        <v>41897.410000000003</v>
      </c>
      <c r="AC249" s="20">
        <v>555668.01</v>
      </c>
      <c r="AK249" s="20" t="s">
        <v>1320</v>
      </c>
      <c r="AL249" s="20">
        <v>0</v>
      </c>
      <c r="AM249">
        <v>3</v>
      </c>
    </row>
    <row r="250" spans="1:42" x14ac:dyDescent="0.25">
      <c r="A250" s="20" t="s">
        <v>2253</v>
      </c>
      <c r="B250" s="20" t="s">
        <v>2191</v>
      </c>
      <c r="C250" s="20">
        <v>0</v>
      </c>
      <c r="E250" s="20" t="s">
        <v>1371</v>
      </c>
      <c r="F250" s="20" t="s">
        <v>2191</v>
      </c>
      <c r="G250" s="20">
        <v>0</v>
      </c>
      <c r="I250" s="20" t="s">
        <v>1419</v>
      </c>
      <c r="J250" s="20">
        <v>36115</v>
      </c>
      <c r="L250" s="20" t="s">
        <v>3106</v>
      </c>
      <c r="M250" s="20">
        <v>33416.129999999997</v>
      </c>
      <c r="X250" s="20" t="s">
        <v>3336</v>
      </c>
      <c r="Y250" s="20">
        <v>1</v>
      </c>
      <c r="AA250" s="20" t="s">
        <v>894</v>
      </c>
      <c r="AB250" s="20">
        <v>37295.81</v>
      </c>
      <c r="AC250" s="20">
        <v>487021.74</v>
      </c>
      <c r="AK250" s="20" t="s">
        <v>154</v>
      </c>
      <c r="AL250" s="20"/>
      <c r="AM250">
        <v>1</v>
      </c>
    </row>
    <row r="251" spans="1:42" x14ac:dyDescent="0.25">
      <c r="A251" s="20" t="s">
        <v>2254</v>
      </c>
      <c r="B251" s="20" t="s">
        <v>2191</v>
      </c>
      <c r="C251" s="20">
        <v>0</v>
      </c>
      <c r="E251" s="20" t="s">
        <v>103</v>
      </c>
      <c r="F251" s="20" t="s">
        <v>2191</v>
      </c>
      <c r="G251" s="20">
        <v>12515.14</v>
      </c>
      <c r="I251" s="20" t="s">
        <v>1420</v>
      </c>
      <c r="J251" s="20">
        <v>9166</v>
      </c>
      <c r="L251" s="20" t="s">
        <v>3073</v>
      </c>
      <c r="M251" s="20">
        <v>6527.75</v>
      </c>
      <c r="X251" s="20" t="s">
        <v>3343</v>
      </c>
      <c r="Y251" s="20">
        <v>4</v>
      </c>
      <c r="AA251" s="20" t="s">
        <v>2313</v>
      </c>
      <c r="AB251" s="20">
        <v>0</v>
      </c>
      <c r="AC251" s="20">
        <v>0</v>
      </c>
      <c r="AK251" s="20" t="s">
        <v>872</v>
      </c>
      <c r="AL251" s="20">
        <v>1</v>
      </c>
      <c r="AM251">
        <v>2</v>
      </c>
    </row>
    <row r="252" spans="1:42" x14ac:dyDescent="0.25">
      <c r="A252" s="20" t="s">
        <v>2034</v>
      </c>
      <c r="B252" s="20" t="s">
        <v>2191</v>
      </c>
      <c r="C252" s="20">
        <v>0</v>
      </c>
      <c r="E252" s="20" t="s">
        <v>2124</v>
      </c>
      <c r="F252" s="20" t="s">
        <v>2191</v>
      </c>
      <c r="G252" s="20">
        <v>0</v>
      </c>
      <c r="I252" s="20" t="s">
        <v>976</v>
      </c>
      <c r="J252" s="20">
        <v>21380.91</v>
      </c>
      <c r="L252" s="20" t="s">
        <v>3116</v>
      </c>
      <c r="M252" s="20">
        <v>78302</v>
      </c>
      <c r="X252" s="20" t="s">
        <v>3335</v>
      </c>
      <c r="Y252" s="20">
        <v>1</v>
      </c>
      <c r="AA252" s="20" t="s">
        <v>2314</v>
      </c>
      <c r="AB252" s="20">
        <v>0</v>
      </c>
      <c r="AC252" s="20">
        <v>0</v>
      </c>
      <c r="AK252" s="20" t="s">
        <v>814</v>
      </c>
      <c r="AL252" s="20">
        <v>0</v>
      </c>
      <c r="AM252">
        <v>17</v>
      </c>
    </row>
    <row r="253" spans="1:42" x14ac:dyDescent="0.25">
      <c r="A253" s="20" t="s">
        <v>395</v>
      </c>
      <c r="B253" s="20" t="s">
        <v>2191</v>
      </c>
      <c r="C253" s="20">
        <v>5762</v>
      </c>
      <c r="E253" s="20" t="s">
        <v>706</v>
      </c>
      <c r="F253" s="20" t="s">
        <v>2191</v>
      </c>
      <c r="G253" s="20">
        <v>12986</v>
      </c>
      <c r="I253" s="20" t="s">
        <v>1248</v>
      </c>
      <c r="J253" s="20">
        <v>1033</v>
      </c>
      <c r="L253" s="20" t="s">
        <v>3132</v>
      </c>
      <c r="M253" s="20">
        <v>8915</v>
      </c>
      <c r="X253" s="20" t="s">
        <v>3342</v>
      </c>
      <c r="Y253" s="20">
        <v>4</v>
      </c>
      <c r="AA253" s="20" t="s">
        <v>1577</v>
      </c>
      <c r="AB253" s="20">
        <v>-1583.06</v>
      </c>
      <c r="AC253" s="20">
        <v>0</v>
      </c>
      <c r="AK253" s="20" t="s">
        <v>158</v>
      </c>
      <c r="AL253" s="20"/>
      <c r="AM253">
        <v>1</v>
      </c>
    </row>
    <row r="254" spans="1:42" x14ac:dyDescent="0.25">
      <c r="A254" s="20" t="s">
        <v>2255</v>
      </c>
      <c r="B254" s="20" t="s">
        <v>2191</v>
      </c>
      <c r="C254" s="20">
        <v>0</v>
      </c>
      <c r="E254" s="20" t="s">
        <v>1262</v>
      </c>
      <c r="F254" s="20" t="s">
        <v>2191</v>
      </c>
      <c r="G254" s="20">
        <v>0</v>
      </c>
      <c r="I254" s="20" t="s">
        <v>193</v>
      </c>
      <c r="J254" s="20">
        <v>4531.53</v>
      </c>
      <c r="L254" s="20" t="s">
        <v>3125</v>
      </c>
      <c r="M254" s="20">
        <v>74178</v>
      </c>
      <c r="X254" s="20" t="s">
        <v>3372</v>
      </c>
      <c r="Y254" s="20">
        <v>21</v>
      </c>
      <c r="AA254" s="20" t="s">
        <v>2315</v>
      </c>
      <c r="AB254" s="20">
        <v>0</v>
      </c>
      <c r="AC254" s="20">
        <v>0</v>
      </c>
      <c r="AK254" s="20" t="s">
        <v>1468</v>
      </c>
      <c r="AL254" s="20">
        <v>0</v>
      </c>
      <c r="AM254">
        <v>3</v>
      </c>
    </row>
    <row r="255" spans="1:42" x14ac:dyDescent="0.25">
      <c r="A255" s="20" t="s">
        <v>397</v>
      </c>
      <c r="B255" s="20" t="s">
        <v>2191</v>
      </c>
      <c r="C255" s="20">
        <v>0</v>
      </c>
      <c r="E255" s="20" t="s">
        <v>1876</v>
      </c>
      <c r="F255" s="20" t="s">
        <v>2191</v>
      </c>
      <c r="G255" s="20">
        <v>0</v>
      </c>
      <c r="I255" s="20" t="s">
        <v>194</v>
      </c>
      <c r="J255" s="20">
        <v>12678.71</v>
      </c>
      <c r="L255" s="20" t="s">
        <v>3146</v>
      </c>
      <c r="M255" s="20">
        <v>-621.70000000000005</v>
      </c>
      <c r="X255" s="20" t="s">
        <v>3368</v>
      </c>
      <c r="Y255" s="20">
        <v>1</v>
      </c>
      <c r="AA255" s="20" t="s">
        <v>2316</v>
      </c>
      <c r="AB255" s="20">
        <v>0</v>
      </c>
      <c r="AC255" s="20">
        <v>0</v>
      </c>
      <c r="AK255" s="20" t="s">
        <v>1164</v>
      </c>
      <c r="AL255" s="20">
        <v>1</v>
      </c>
      <c r="AM255">
        <v>4</v>
      </c>
    </row>
    <row r="256" spans="1:42" x14ac:dyDescent="0.25">
      <c r="A256" s="20" t="s">
        <v>398</v>
      </c>
      <c r="B256" s="20" t="s">
        <v>2191</v>
      </c>
      <c r="C256" s="20">
        <v>0</v>
      </c>
      <c r="E256" s="20" t="s">
        <v>2070</v>
      </c>
      <c r="F256" s="20" t="s">
        <v>2191</v>
      </c>
      <c r="G256" s="20">
        <v>0</v>
      </c>
      <c r="I256" s="20" t="s">
        <v>977</v>
      </c>
      <c r="J256" s="20">
        <v>1656</v>
      </c>
      <c r="L256" s="20" t="s">
        <v>3150</v>
      </c>
      <c r="M256" s="20">
        <v>2150</v>
      </c>
      <c r="X256" s="20" t="s">
        <v>3377</v>
      </c>
      <c r="Y256" s="20">
        <v>2</v>
      </c>
      <c r="AA256" s="20" t="s">
        <v>2317</v>
      </c>
      <c r="AB256" s="20">
        <v>-1385.63</v>
      </c>
      <c r="AC256" s="20">
        <v>0</v>
      </c>
      <c r="AK256" s="20" t="s">
        <v>1166</v>
      </c>
      <c r="AL256" s="20">
        <v>6</v>
      </c>
      <c r="AM256">
        <v>10</v>
      </c>
    </row>
    <row r="257" spans="1:39" x14ac:dyDescent="0.25">
      <c r="A257" s="20" t="s">
        <v>2256</v>
      </c>
      <c r="B257" s="20" t="s">
        <v>2191</v>
      </c>
      <c r="C257" s="20">
        <v>0</v>
      </c>
      <c r="E257" s="20" t="s">
        <v>1438</v>
      </c>
      <c r="F257" s="20" t="s">
        <v>2191</v>
      </c>
      <c r="G257" s="20">
        <v>26722.37</v>
      </c>
      <c r="I257" s="20" t="s">
        <v>1422</v>
      </c>
      <c r="J257" s="20">
        <v>2011.59</v>
      </c>
      <c r="L257" s="20" t="s">
        <v>3151</v>
      </c>
      <c r="M257" s="20">
        <v>8366</v>
      </c>
      <c r="X257" s="20" t="s">
        <v>3380</v>
      </c>
      <c r="Y257" s="20">
        <v>4</v>
      </c>
      <c r="AA257" s="20" t="s">
        <v>1084</v>
      </c>
      <c r="AB257" s="20">
        <v>31167.38</v>
      </c>
      <c r="AC257" s="20">
        <v>365985.53</v>
      </c>
      <c r="AK257" s="20" t="s">
        <v>1238</v>
      </c>
      <c r="AL257" s="20">
        <v>0</v>
      </c>
      <c r="AM257">
        <v>3</v>
      </c>
    </row>
    <row r="258" spans="1:39" x14ac:dyDescent="0.25">
      <c r="A258" s="20" t="s">
        <v>2257</v>
      </c>
      <c r="B258" s="20" t="s">
        <v>2191</v>
      </c>
      <c r="C258" s="20">
        <v>0</v>
      </c>
      <c r="E258" s="20" t="s">
        <v>708</v>
      </c>
      <c r="F258" s="20" t="s">
        <v>2191</v>
      </c>
      <c r="G258" s="20">
        <v>0</v>
      </c>
      <c r="I258" s="20" t="s">
        <v>1343</v>
      </c>
      <c r="J258" s="20">
        <v>8313</v>
      </c>
      <c r="L258" s="20" t="s">
        <v>3153</v>
      </c>
      <c r="M258" s="20">
        <v>9275</v>
      </c>
      <c r="X258" s="20" t="s">
        <v>3388</v>
      </c>
      <c r="Y258" s="20">
        <v>6</v>
      </c>
      <c r="AA258" s="20" t="s">
        <v>1258</v>
      </c>
      <c r="AB258" s="20">
        <v>25741.279999999999</v>
      </c>
      <c r="AC258" s="20">
        <v>329219.77</v>
      </c>
      <c r="AK258" s="20" t="s">
        <v>115</v>
      </c>
      <c r="AL258" s="20">
        <v>0</v>
      </c>
      <c r="AM258">
        <v>2</v>
      </c>
    </row>
    <row r="259" spans="1:39" x14ac:dyDescent="0.25">
      <c r="A259" s="20" t="s">
        <v>2258</v>
      </c>
      <c r="B259" s="20" t="s">
        <v>2191</v>
      </c>
      <c r="C259" s="20">
        <v>0</v>
      </c>
      <c r="E259" s="20" t="s">
        <v>1905</v>
      </c>
      <c r="F259" s="20" t="s">
        <v>2191</v>
      </c>
      <c r="G259" s="20">
        <v>0</v>
      </c>
      <c r="I259" s="20" t="s">
        <v>1396</v>
      </c>
      <c r="J259" s="20">
        <v>15674</v>
      </c>
      <c r="L259" s="20" t="s">
        <v>3166</v>
      </c>
      <c r="M259" s="20">
        <v>91307.5</v>
      </c>
      <c r="X259" s="20" t="s">
        <v>3396</v>
      </c>
      <c r="Y259" s="20">
        <v>1</v>
      </c>
      <c r="AA259" s="20" t="s">
        <v>2318</v>
      </c>
      <c r="AB259" s="20">
        <v>0</v>
      </c>
      <c r="AC259" s="20">
        <v>0</v>
      </c>
      <c r="AK259" s="20" t="s">
        <v>755</v>
      </c>
      <c r="AL259" s="20"/>
      <c r="AM259">
        <v>1</v>
      </c>
    </row>
    <row r="260" spans="1:39" x14ac:dyDescent="0.25">
      <c r="A260" s="20" t="s">
        <v>2259</v>
      </c>
      <c r="B260" s="20" t="s">
        <v>2191</v>
      </c>
      <c r="C260" s="20">
        <v>0</v>
      </c>
      <c r="E260" s="20" t="s">
        <v>256</v>
      </c>
      <c r="F260" s="20" t="s">
        <v>2191</v>
      </c>
      <c r="G260" s="20">
        <v>0</v>
      </c>
      <c r="I260" s="20" t="s">
        <v>327</v>
      </c>
      <c r="J260" s="20">
        <v>67242.2</v>
      </c>
      <c r="L260" s="20" t="s">
        <v>3181</v>
      </c>
      <c r="M260" s="20">
        <v>18581</v>
      </c>
      <c r="X260" s="20" t="s">
        <v>3390</v>
      </c>
      <c r="Y260" s="20">
        <v>2</v>
      </c>
      <c r="AA260" s="20" t="s">
        <v>2319</v>
      </c>
      <c r="AB260" s="20">
        <v>0</v>
      </c>
      <c r="AC260" s="20">
        <v>0</v>
      </c>
      <c r="AK260" s="20" t="s">
        <v>160</v>
      </c>
      <c r="AL260" s="20">
        <v>9</v>
      </c>
      <c r="AM260">
        <v>12</v>
      </c>
    </row>
    <row r="261" spans="1:39" x14ac:dyDescent="0.25">
      <c r="A261" s="20" t="s">
        <v>2260</v>
      </c>
      <c r="B261" s="20" t="s">
        <v>2191</v>
      </c>
      <c r="C261" s="20">
        <v>0</v>
      </c>
      <c r="E261" s="20" t="s">
        <v>3356</v>
      </c>
      <c r="F261" s="20" t="s">
        <v>2191</v>
      </c>
      <c r="G261" s="20">
        <v>0</v>
      </c>
      <c r="I261" s="20" t="s">
        <v>500</v>
      </c>
      <c r="J261" s="20">
        <v>13707.91</v>
      </c>
      <c r="L261" s="20" t="s">
        <v>3154</v>
      </c>
      <c r="M261" s="20">
        <v>-4715.18</v>
      </c>
      <c r="X261" s="20" t="s">
        <v>3403</v>
      </c>
      <c r="Y261" s="20">
        <v>10</v>
      </c>
      <c r="AA261" s="20" t="s">
        <v>2320</v>
      </c>
      <c r="AB261" s="20">
        <v>0</v>
      </c>
      <c r="AC261" s="20">
        <v>0</v>
      </c>
      <c r="AK261" s="20" t="s">
        <v>535</v>
      </c>
      <c r="AL261" s="20"/>
      <c r="AM261">
        <v>1</v>
      </c>
    </row>
    <row r="262" spans="1:39" x14ac:dyDescent="0.25">
      <c r="A262" s="20" t="s">
        <v>1856</v>
      </c>
      <c r="B262" s="20" t="s">
        <v>2191</v>
      </c>
      <c r="C262" s="20">
        <v>0</v>
      </c>
      <c r="E262" s="20" t="s">
        <v>901</v>
      </c>
      <c r="F262" s="20" t="s">
        <v>2191</v>
      </c>
      <c r="G262" s="20">
        <v>894.5</v>
      </c>
      <c r="I262" s="20" t="s">
        <v>1195</v>
      </c>
      <c r="J262" s="20">
        <v>2121</v>
      </c>
      <c r="L262" s="20" t="s">
        <v>3180</v>
      </c>
      <c r="M262" s="20">
        <v>-2700</v>
      </c>
      <c r="X262" s="20" t="s">
        <v>3400</v>
      </c>
      <c r="Y262" s="20">
        <v>1</v>
      </c>
      <c r="AA262" s="20" t="s">
        <v>1962</v>
      </c>
      <c r="AB262" s="20">
        <v>0</v>
      </c>
      <c r="AC262" s="20">
        <v>0</v>
      </c>
      <c r="AK262" s="20" t="s">
        <v>519</v>
      </c>
      <c r="AL262" s="20">
        <v>1</v>
      </c>
      <c r="AM262">
        <v>4</v>
      </c>
    </row>
    <row r="263" spans="1:39" x14ac:dyDescent="0.25">
      <c r="A263" s="20" t="s">
        <v>1568</v>
      </c>
      <c r="B263" s="20" t="s">
        <v>2191</v>
      </c>
      <c r="C263" s="20">
        <v>0</v>
      </c>
      <c r="E263" s="20" t="s">
        <v>606</v>
      </c>
      <c r="F263" s="20" t="s">
        <v>2191</v>
      </c>
      <c r="G263" s="20">
        <v>0</v>
      </c>
      <c r="I263" s="20" t="s">
        <v>1508</v>
      </c>
      <c r="J263" s="20">
        <v>4389</v>
      </c>
      <c r="L263" s="20" t="s">
        <v>3174</v>
      </c>
      <c r="M263" s="20">
        <v>5629</v>
      </c>
      <c r="X263" s="20" t="s">
        <v>3573</v>
      </c>
      <c r="Y263" s="20">
        <v>1</v>
      </c>
      <c r="AA263" s="20" t="s">
        <v>2321</v>
      </c>
      <c r="AB263" s="20">
        <v>0</v>
      </c>
      <c r="AC263" s="20">
        <v>0</v>
      </c>
      <c r="AK263" s="20" t="s">
        <v>537</v>
      </c>
      <c r="AL263" s="20"/>
      <c r="AM263">
        <v>1</v>
      </c>
    </row>
    <row r="264" spans="1:39" x14ac:dyDescent="0.25">
      <c r="A264" s="20" t="s">
        <v>2261</v>
      </c>
      <c r="B264" s="20" t="s">
        <v>2191</v>
      </c>
      <c r="C264" s="20">
        <v>0</v>
      </c>
      <c r="E264" s="20" t="s">
        <v>1906</v>
      </c>
      <c r="F264" s="20" t="s">
        <v>2191</v>
      </c>
      <c r="G264" s="20">
        <v>0</v>
      </c>
      <c r="I264" s="20" t="s">
        <v>198</v>
      </c>
      <c r="J264" s="20">
        <v>2952</v>
      </c>
      <c r="L264" s="20" t="s">
        <v>3199</v>
      </c>
      <c r="M264" s="20">
        <v>8871</v>
      </c>
      <c r="X264" s="20" t="s">
        <v>3572</v>
      </c>
      <c r="Y264" s="20">
        <v>1</v>
      </c>
      <c r="AA264" s="20" t="s">
        <v>2322</v>
      </c>
      <c r="AB264" s="20">
        <v>0</v>
      </c>
      <c r="AC264" s="20">
        <v>0</v>
      </c>
      <c r="AK264" s="20" t="s">
        <v>345</v>
      </c>
      <c r="AL264" s="20">
        <v>2</v>
      </c>
      <c r="AM264">
        <v>5</v>
      </c>
    </row>
    <row r="265" spans="1:39" x14ac:dyDescent="0.25">
      <c r="A265" s="20" t="s">
        <v>400</v>
      </c>
      <c r="B265" s="20" t="s">
        <v>2191</v>
      </c>
      <c r="C265" s="20">
        <v>0</v>
      </c>
      <c r="E265" s="20" t="s">
        <v>1590</v>
      </c>
      <c r="F265" s="20" t="s">
        <v>2191</v>
      </c>
      <c r="G265" s="20">
        <v>114939.4</v>
      </c>
      <c r="I265" s="20" t="s">
        <v>1510</v>
      </c>
      <c r="J265" s="20">
        <v>17631.57</v>
      </c>
      <c r="L265" s="20" t="s">
        <v>3214</v>
      </c>
      <c r="M265" s="20">
        <v>7208.5</v>
      </c>
      <c r="X265" s="20" t="s">
        <v>3575</v>
      </c>
      <c r="Y265" s="20">
        <v>1</v>
      </c>
      <c r="AA265" s="20" t="s">
        <v>2005</v>
      </c>
      <c r="AB265" s="20">
        <v>0</v>
      </c>
      <c r="AC265" s="20">
        <v>0</v>
      </c>
      <c r="AK265" s="20" t="s">
        <v>166</v>
      </c>
      <c r="AL265" s="20">
        <v>2</v>
      </c>
      <c r="AM265">
        <v>2</v>
      </c>
    </row>
    <row r="266" spans="1:39" x14ac:dyDescent="0.25">
      <c r="A266" s="20" t="s">
        <v>2166</v>
      </c>
      <c r="B266" s="20" t="s">
        <v>2191</v>
      </c>
      <c r="C266" s="20">
        <v>0</v>
      </c>
      <c r="E266" s="20" t="s">
        <v>2041</v>
      </c>
      <c r="F266" s="20" t="s">
        <v>2191</v>
      </c>
      <c r="G266" s="20">
        <v>0</v>
      </c>
      <c r="I266" s="20" t="s">
        <v>796</v>
      </c>
      <c r="J266" s="20">
        <v>30102</v>
      </c>
      <c r="L266" s="20" t="s">
        <v>3220</v>
      </c>
      <c r="M266" s="20">
        <v>1035</v>
      </c>
      <c r="X266" s="20" t="s">
        <v>3576</v>
      </c>
      <c r="Y266" s="20">
        <v>2</v>
      </c>
      <c r="AA266" s="20" t="s">
        <v>1087</v>
      </c>
      <c r="AB266" s="20">
        <v>-3538.24</v>
      </c>
      <c r="AC266" s="20">
        <v>17340.849999999999</v>
      </c>
      <c r="AK266" s="20" t="s">
        <v>350</v>
      </c>
      <c r="AL266" s="20">
        <v>6</v>
      </c>
      <c r="AM266">
        <v>6</v>
      </c>
    </row>
    <row r="267" spans="1:39" x14ac:dyDescent="0.25">
      <c r="A267" s="20" t="s">
        <v>2262</v>
      </c>
      <c r="B267" s="20" t="s">
        <v>2191</v>
      </c>
      <c r="C267" s="20">
        <v>0</v>
      </c>
      <c r="E267" s="20" t="s">
        <v>1964</v>
      </c>
      <c r="F267" s="20" t="s">
        <v>2191</v>
      </c>
      <c r="G267" s="20">
        <v>0</v>
      </c>
      <c r="I267" s="20" t="s">
        <v>2963</v>
      </c>
      <c r="J267" s="20">
        <v>5724.16</v>
      </c>
      <c r="L267" s="20" t="s">
        <v>3230</v>
      </c>
      <c r="M267" s="20">
        <v>95221</v>
      </c>
      <c r="X267" s="20" t="s">
        <v>3582</v>
      </c>
      <c r="Y267" s="20">
        <v>4</v>
      </c>
      <c r="AA267" s="20" t="s">
        <v>2323</v>
      </c>
      <c r="AB267" s="20">
        <v>0</v>
      </c>
      <c r="AC267" s="20">
        <v>0</v>
      </c>
      <c r="AK267" s="20" t="s">
        <v>167</v>
      </c>
      <c r="AL267" s="20">
        <v>4</v>
      </c>
      <c r="AM267">
        <v>10</v>
      </c>
    </row>
    <row r="268" spans="1:39" x14ac:dyDescent="0.25">
      <c r="A268" s="20" t="s">
        <v>2263</v>
      </c>
      <c r="B268" s="20" t="s">
        <v>2191</v>
      </c>
      <c r="C268" s="20">
        <v>0</v>
      </c>
      <c r="E268" s="20" t="s">
        <v>2154</v>
      </c>
      <c r="F268" s="20" t="s">
        <v>2191</v>
      </c>
      <c r="G268" s="20">
        <v>0</v>
      </c>
      <c r="I268" s="20" t="s">
        <v>442</v>
      </c>
      <c r="J268" s="20">
        <v>20729.29</v>
      </c>
      <c r="L268" s="20" t="s">
        <v>3243</v>
      </c>
      <c r="M268" s="20">
        <v>8927.27</v>
      </c>
      <c r="X268" s="20" t="s">
        <v>3588</v>
      </c>
      <c r="Y268" s="20">
        <v>9</v>
      </c>
      <c r="AA268" s="20" t="s">
        <v>1578</v>
      </c>
      <c r="AB268" s="20">
        <v>-779.16</v>
      </c>
      <c r="AC268" s="20">
        <v>0</v>
      </c>
      <c r="AK268" s="20" t="s">
        <v>542</v>
      </c>
      <c r="AL268" s="20">
        <v>2</v>
      </c>
      <c r="AM268">
        <v>3</v>
      </c>
    </row>
    <row r="269" spans="1:39" x14ac:dyDescent="0.25">
      <c r="A269" s="20" t="s">
        <v>2264</v>
      </c>
      <c r="B269" s="20" t="s">
        <v>2191</v>
      </c>
      <c r="C269" s="20">
        <v>0</v>
      </c>
      <c r="E269" s="20" t="s">
        <v>106</v>
      </c>
      <c r="F269" s="20" t="s">
        <v>2191</v>
      </c>
      <c r="G269" s="20">
        <v>9595</v>
      </c>
      <c r="I269" s="20" t="s">
        <v>1345</v>
      </c>
      <c r="J269" s="20">
        <v>0</v>
      </c>
      <c r="L269" s="20" t="s">
        <v>3244</v>
      </c>
      <c r="M269" s="20">
        <v>26964.06</v>
      </c>
      <c r="X269" s="20" t="s">
        <v>3596</v>
      </c>
      <c r="Y269" s="20">
        <v>1</v>
      </c>
      <c r="AA269" s="20" t="s">
        <v>1579</v>
      </c>
      <c r="AB269" s="20">
        <v>-2665.46</v>
      </c>
      <c r="AC269" s="20">
        <v>245047.52</v>
      </c>
      <c r="AK269" s="20" t="s">
        <v>352</v>
      </c>
      <c r="AL269" s="20">
        <v>2</v>
      </c>
      <c r="AM269">
        <v>2</v>
      </c>
    </row>
    <row r="270" spans="1:39" x14ac:dyDescent="0.25">
      <c r="A270" s="20" t="s">
        <v>1569</v>
      </c>
      <c r="B270" s="20" t="s">
        <v>2191</v>
      </c>
      <c r="C270" s="20">
        <v>0</v>
      </c>
      <c r="E270" s="20" t="s">
        <v>108</v>
      </c>
      <c r="F270" s="20" t="s">
        <v>2191</v>
      </c>
      <c r="G270" s="20">
        <v>0</v>
      </c>
      <c r="I270" s="20" t="s">
        <v>980</v>
      </c>
      <c r="J270" s="20">
        <v>113510</v>
      </c>
      <c r="L270" s="20" t="s">
        <v>3266</v>
      </c>
      <c r="M270" s="20">
        <v>11583</v>
      </c>
      <c r="X270" s="20" t="s">
        <v>3666</v>
      </c>
      <c r="Y270" s="20">
        <v>1</v>
      </c>
      <c r="AA270" s="20" t="s">
        <v>2325</v>
      </c>
      <c r="AB270" s="20">
        <v>0</v>
      </c>
      <c r="AC270" s="20">
        <v>0</v>
      </c>
      <c r="AK270" s="20" t="s">
        <v>759</v>
      </c>
      <c r="AL270" s="20">
        <v>0</v>
      </c>
      <c r="AM270">
        <v>2</v>
      </c>
    </row>
    <row r="271" spans="1:39" x14ac:dyDescent="0.25">
      <c r="A271" s="20" t="s">
        <v>1570</v>
      </c>
      <c r="B271" s="20" t="s">
        <v>2191</v>
      </c>
      <c r="C271" s="20">
        <v>0</v>
      </c>
      <c r="E271" s="20" t="s">
        <v>2042</v>
      </c>
      <c r="F271" s="20" t="s">
        <v>2191</v>
      </c>
      <c r="G271" s="20">
        <v>0</v>
      </c>
      <c r="I271" s="20" t="s">
        <v>582</v>
      </c>
      <c r="J271" s="20">
        <v>2336</v>
      </c>
      <c r="L271" s="20" t="s">
        <v>3260</v>
      </c>
      <c r="M271" s="20">
        <v>27584.28</v>
      </c>
      <c r="X271" s="20" t="s">
        <v>1430</v>
      </c>
      <c r="Y271" s="20">
        <v>4</v>
      </c>
      <c r="AA271" s="20" t="s">
        <v>1580</v>
      </c>
      <c r="AB271" s="20">
        <v>-2427.7800000000002</v>
      </c>
      <c r="AC271" s="20">
        <v>2456.59</v>
      </c>
      <c r="AK271" s="20" t="s">
        <v>169</v>
      </c>
      <c r="AL271" s="20"/>
      <c r="AM271">
        <v>1</v>
      </c>
    </row>
    <row r="272" spans="1:39" x14ac:dyDescent="0.25">
      <c r="A272" s="20" t="s">
        <v>693</v>
      </c>
      <c r="B272" s="20" t="s">
        <v>2191</v>
      </c>
      <c r="C272" s="20">
        <v>11131</v>
      </c>
      <c r="E272" s="20" t="s">
        <v>903</v>
      </c>
      <c r="F272" s="20" t="s">
        <v>2191</v>
      </c>
      <c r="G272" s="20">
        <v>0</v>
      </c>
      <c r="I272" s="20" t="s">
        <v>1793</v>
      </c>
      <c r="J272" s="20">
        <v>605</v>
      </c>
      <c r="L272" s="20" t="s">
        <v>3275</v>
      </c>
      <c r="M272" s="20">
        <v>2214</v>
      </c>
      <c r="X272" s="20" t="s">
        <v>988</v>
      </c>
      <c r="Y272" s="20">
        <v>1</v>
      </c>
      <c r="AA272" s="20" t="s">
        <v>2326</v>
      </c>
      <c r="AB272" s="20">
        <v>0</v>
      </c>
      <c r="AC272" s="20">
        <v>0</v>
      </c>
      <c r="AK272" s="20" t="s">
        <v>1171</v>
      </c>
      <c r="AL272" s="20">
        <v>3</v>
      </c>
      <c r="AM272">
        <v>4</v>
      </c>
    </row>
    <row r="273" spans="1:39" x14ac:dyDescent="0.25">
      <c r="A273" s="20" t="s">
        <v>2035</v>
      </c>
      <c r="B273" s="20" t="s">
        <v>2191</v>
      </c>
      <c r="C273" s="20">
        <v>0</v>
      </c>
      <c r="E273" s="20" t="s">
        <v>1264</v>
      </c>
      <c r="F273" s="20" t="s">
        <v>2191</v>
      </c>
      <c r="G273" s="20">
        <v>20894</v>
      </c>
      <c r="I273" s="20" t="s">
        <v>100</v>
      </c>
      <c r="J273" s="20">
        <v>23373.82</v>
      </c>
      <c r="L273" s="20" t="s">
        <v>3278</v>
      </c>
      <c r="M273" s="20">
        <v>8521</v>
      </c>
      <c r="X273" s="20" t="s">
        <v>1070</v>
      </c>
      <c r="Y273" s="20">
        <v>3</v>
      </c>
      <c r="AA273" s="20" t="s">
        <v>2092</v>
      </c>
      <c r="AB273" s="20">
        <v>0</v>
      </c>
      <c r="AC273" s="20">
        <v>0</v>
      </c>
      <c r="AK273" s="20" t="s">
        <v>1172</v>
      </c>
      <c r="AL273" s="20">
        <v>4</v>
      </c>
      <c r="AM273">
        <v>2</v>
      </c>
    </row>
    <row r="274" spans="1:39" x14ac:dyDescent="0.25">
      <c r="A274" s="20" t="s">
        <v>2265</v>
      </c>
      <c r="B274" s="20" t="s">
        <v>2191</v>
      </c>
      <c r="C274" s="20">
        <v>0</v>
      </c>
      <c r="E274" s="20" t="s">
        <v>905</v>
      </c>
      <c r="F274" s="20" t="s">
        <v>2191</v>
      </c>
      <c r="G274" s="20">
        <v>0</v>
      </c>
      <c r="I274" s="20" t="s">
        <v>385</v>
      </c>
      <c r="J274" s="20">
        <v>4354.63</v>
      </c>
      <c r="L274" s="20" t="s">
        <v>3280</v>
      </c>
      <c r="M274" s="20">
        <v>7564</v>
      </c>
      <c r="AA274" s="20" t="s">
        <v>2327</v>
      </c>
      <c r="AB274" s="20">
        <v>0</v>
      </c>
      <c r="AC274" s="20">
        <v>0</v>
      </c>
      <c r="AK274" s="20" t="s">
        <v>1043</v>
      </c>
      <c r="AL274" s="20">
        <v>1</v>
      </c>
      <c r="AM274">
        <v>1</v>
      </c>
    </row>
    <row r="275" spans="1:39" x14ac:dyDescent="0.25">
      <c r="A275" s="20" t="s">
        <v>1571</v>
      </c>
      <c r="B275" s="20" t="s">
        <v>2191</v>
      </c>
      <c r="C275" s="20">
        <v>0</v>
      </c>
      <c r="E275" s="20" t="s">
        <v>1265</v>
      </c>
      <c r="F275" s="20" t="s">
        <v>2191</v>
      </c>
      <c r="G275" s="20">
        <v>0</v>
      </c>
      <c r="I275" s="20" t="s">
        <v>671</v>
      </c>
      <c r="J275" s="20">
        <v>4600.6000000000004</v>
      </c>
      <c r="L275" s="20" t="s">
        <v>3285</v>
      </c>
      <c r="M275" s="20">
        <v>35894</v>
      </c>
      <c r="AA275" s="20" t="s">
        <v>2328</v>
      </c>
      <c r="AB275" s="20">
        <v>0</v>
      </c>
      <c r="AC275" s="20">
        <v>0</v>
      </c>
      <c r="AK275" s="20" t="s">
        <v>408</v>
      </c>
      <c r="AL275" s="20">
        <v>8</v>
      </c>
      <c r="AM275">
        <v>12</v>
      </c>
    </row>
    <row r="276" spans="1:39" x14ac:dyDescent="0.25">
      <c r="A276" s="20" t="s">
        <v>2266</v>
      </c>
      <c r="B276" s="20" t="s">
        <v>2191</v>
      </c>
      <c r="C276" s="20">
        <v>0</v>
      </c>
      <c r="E276" s="20" t="s">
        <v>710</v>
      </c>
      <c r="F276" s="20" t="s">
        <v>2191</v>
      </c>
      <c r="G276" s="20">
        <v>0</v>
      </c>
      <c r="I276" s="20" t="s">
        <v>1062</v>
      </c>
      <c r="J276" s="20">
        <v>1566.74</v>
      </c>
      <c r="L276" s="20" t="s">
        <v>3287</v>
      </c>
      <c r="M276" s="20">
        <v>751</v>
      </c>
      <c r="AA276" s="20" t="s">
        <v>1581</v>
      </c>
      <c r="AB276" s="20">
        <v>-519.09</v>
      </c>
      <c r="AC276" s="20">
        <v>0</v>
      </c>
      <c r="AK276" s="20" t="s">
        <v>1241</v>
      </c>
      <c r="AL276" s="20">
        <v>1</v>
      </c>
      <c r="AM276">
        <v>5</v>
      </c>
    </row>
    <row r="277" spans="1:39" x14ac:dyDescent="0.25">
      <c r="A277" s="20" t="s">
        <v>2267</v>
      </c>
      <c r="B277" s="20" t="s">
        <v>2191</v>
      </c>
      <c r="C277" s="20">
        <v>0</v>
      </c>
      <c r="E277" s="20" t="s">
        <v>1200</v>
      </c>
      <c r="F277" s="20" t="s">
        <v>2191</v>
      </c>
      <c r="G277" s="20">
        <v>5835</v>
      </c>
      <c r="I277" s="20" t="s">
        <v>1814</v>
      </c>
      <c r="J277" s="20">
        <v>5461</v>
      </c>
      <c r="L277" s="20" t="s">
        <v>3299</v>
      </c>
      <c r="M277" s="20">
        <v>9638</v>
      </c>
      <c r="AA277" s="20" t="s">
        <v>1831</v>
      </c>
      <c r="AB277" s="20">
        <v>0</v>
      </c>
      <c r="AC277" s="20">
        <v>0</v>
      </c>
      <c r="AK277" s="20" t="s">
        <v>387</v>
      </c>
      <c r="AL277" s="20">
        <v>1</v>
      </c>
    </row>
    <row r="278" spans="1:39" x14ac:dyDescent="0.25">
      <c r="A278" s="20" t="s">
        <v>1081</v>
      </c>
      <c r="B278" s="20" t="s">
        <v>2191</v>
      </c>
      <c r="C278" s="20">
        <v>0</v>
      </c>
      <c r="E278" s="20" t="s">
        <v>1202</v>
      </c>
      <c r="F278" s="20" t="s">
        <v>2191</v>
      </c>
      <c r="G278" s="20">
        <v>0</v>
      </c>
      <c r="I278" s="20" t="s">
        <v>2097</v>
      </c>
      <c r="J278" s="20">
        <v>11980</v>
      </c>
      <c r="L278" s="20" t="s">
        <v>3311</v>
      </c>
      <c r="M278" s="20">
        <v>11980</v>
      </c>
      <c r="AA278" s="20" t="s">
        <v>1832</v>
      </c>
      <c r="AB278" s="20">
        <v>0</v>
      </c>
      <c r="AC278" s="20">
        <v>0</v>
      </c>
      <c r="AK278" s="20" t="s">
        <v>354</v>
      </c>
      <c r="AL278" s="20">
        <v>1</v>
      </c>
      <c r="AM278">
        <v>2</v>
      </c>
    </row>
    <row r="279" spans="1:39" x14ac:dyDescent="0.25">
      <c r="A279" s="20" t="s">
        <v>2268</v>
      </c>
      <c r="B279" s="20" t="s">
        <v>2191</v>
      </c>
      <c r="C279" s="20">
        <v>0</v>
      </c>
      <c r="E279" s="20" t="s">
        <v>1098</v>
      </c>
      <c r="F279" s="20" t="s">
        <v>2191</v>
      </c>
      <c r="G279" s="20">
        <v>3728.35</v>
      </c>
      <c r="I279" s="20" t="s">
        <v>2989</v>
      </c>
      <c r="J279" s="20">
        <v>5981</v>
      </c>
      <c r="L279" s="20" t="s">
        <v>3304</v>
      </c>
      <c r="M279" s="20">
        <v>78730.17</v>
      </c>
      <c r="AA279" s="20" t="s">
        <v>1582</v>
      </c>
      <c r="AB279" s="20">
        <v>-1930.97</v>
      </c>
      <c r="AC279" s="20">
        <v>0</v>
      </c>
      <c r="AK279" s="20" t="s">
        <v>498</v>
      </c>
      <c r="AL279" s="20">
        <v>1</v>
      </c>
      <c r="AM279">
        <v>1</v>
      </c>
    </row>
    <row r="280" spans="1:39" x14ac:dyDescent="0.25">
      <c r="A280" s="20" t="s">
        <v>1572</v>
      </c>
      <c r="B280" s="20" t="s">
        <v>2191</v>
      </c>
      <c r="C280" s="20">
        <v>0</v>
      </c>
      <c r="E280" s="20" t="s">
        <v>608</v>
      </c>
      <c r="F280" s="20" t="s">
        <v>2191</v>
      </c>
      <c r="G280" s="20">
        <v>0</v>
      </c>
      <c r="I280" s="20" t="s">
        <v>3002</v>
      </c>
      <c r="J280" s="20">
        <v>2977.69</v>
      </c>
      <c r="L280" s="20" t="s">
        <v>3309</v>
      </c>
      <c r="M280" s="20">
        <v>11487</v>
      </c>
      <c r="AA280" s="20" t="s">
        <v>2329</v>
      </c>
      <c r="AB280" s="20">
        <v>0</v>
      </c>
      <c r="AC280" s="20">
        <v>0</v>
      </c>
      <c r="AK280" s="20" t="s">
        <v>1176</v>
      </c>
      <c r="AL280" s="20"/>
      <c r="AM280">
        <v>1</v>
      </c>
    </row>
    <row r="281" spans="1:39" x14ac:dyDescent="0.25">
      <c r="A281" s="20" t="s">
        <v>2269</v>
      </c>
      <c r="B281" s="20" t="s">
        <v>2191</v>
      </c>
      <c r="C281" s="20">
        <v>0</v>
      </c>
      <c r="E281" s="20" t="s">
        <v>1965</v>
      </c>
      <c r="F281" s="20" t="s">
        <v>2191</v>
      </c>
      <c r="G281" s="20">
        <v>0</v>
      </c>
      <c r="I281" s="20" t="s">
        <v>3005</v>
      </c>
      <c r="J281" s="20">
        <v>5017</v>
      </c>
      <c r="L281" s="20" t="s">
        <v>3310</v>
      </c>
      <c r="M281" s="20">
        <v>6847</v>
      </c>
      <c r="AA281" s="20" t="s">
        <v>2330</v>
      </c>
      <c r="AB281" s="20">
        <v>0</v>
      </c>
      <c r="AC281" s="20">
        <v>0</v>
      </c>
      <c r="AK281" s="20" t="s">
        <v>1400</v>
      </c>
      <c r="AL281" s="20">
        <v>0</v>
      </c>
      <c r="AM281">
        <v>4</v>
      </c>
    </row>
    <row r="282" spans="1:39" x14ac:dyDescent="0.25">
      <c r="A282" s="20" t="s">
        <v>1004</v>
      </c>
      <c r="B282" s="20" t="s">
        <v>2191</v>
      </c>
      <c r="C282" s="20">
        <v>0</v>
      </c>
      <c r="E282" s="20" t="s">
        <v>1596</v>
      </c>
      <c r="F282" s="20" t="s">
        <v>2191</v>
      </c>
      <c r="G282" s="20">
        <v>0</v>
      </c>
      <c r="I282" s="20" t="s">
        <v>3017</v>
      </c>
      <c r="J282" s="20">
        <v>15699</v>
      </c>
      <c r="L282" s="20" t="s">
        <v>3288</v>
      </c>
      <c r="M282" s="20">
        <v>1467</v>
      </c>
      <c r="AA282" s="20" t="s">
        <v>420</v>
      </c>
      <c r="AB282" s="20">
        <v>49083.63</v>
      </c>
      <c r="AC282" s="20">
        <v>78315.66</v>
      </c>
      <c r="AK282" s="20" t="s">
        <v>175</v>
      </c>
      <c r="AL282" s="20"/>
      <c r="AM282">
        <v>1</v>
      </c>
    </row>
    <row r="283" spans="1:39" x14ac:dyDescent="0.25">
      <c r="A283" s="20" t="s">
        <v>1255</v>
      </c>
      <c r="B283" s="20" t="s">
        <v>2191</v>
      </c>
      <c r="C283" s="20">
        <v>0</v>
      </c>
      <c r="E283" s="20" t="s">
        <v>109</v>
      </c>
      <c r="F283" s="20" t="s">
        <v>2191</v>
      </c>
      <c r="G283" s="20">
        <v>0</v>
      </c>
      <c r="I283" s="20" t="s">
        <v>3033</v>
      </c>
      <c r="J283" s="20">
        <v>133514.78</v>
      </c>
      <c r="L283" s="20" t="s">
        <v>3292</v>
      </c>
      <c r="M283" s="20">
        <v>42153</v>
      </c>
      <c r="AA283" s="20" t="s">
        <v>1833</v>
      </c>
      <c r="AB283" s="20">
        <v>0</v>
      </c>
      <c r="AC283" s="20">
        <v>0</v>
      </c>
      <c r="AK283" s="20" t="s">
        <v>996</v>
      </c>
      <c r="AL283" s="20">
        <v>6</v>
      </c>
      <c r="AM283">
        <v>9</v>
      </c>
    </row>
    <row r="284" spans="1:39" x14ac:dyDescent="0.25">
      <c r="A284" s="20" t="s">
        <v>2270</v>
      </c>
      <c r="B284" s="20" t="s">
        <v>2191</v>
      </c>
      <c r="C284" s="20">
        <v>0</v>
      </c>
      <c r="E284" s="20" t="s">
        <v>110</v>
      </c>
      <c r="F284" s="20" t="s">
        <v>2191</v>
      </c>
      <c r="G284" s="20">
        <v>0</v>
      </c>
      <c r="I284" s="20" t="s">
        <v>3023</v>
      </c>
      <c r="J284" s="20">
        <v>28292</v>
      </c>
      <c r="L284" s="20" t="s">
        <v>3315</v>
      </c>
      <c r="M284" s="20">
        <v>2021</v>
      </c>
      <c r="AA284" s="20" t="s">
        <v>2123</v>
      </c>
      <c r="AB284" s="20">
        <v>0</v>
      </c>
      <c r="AC284" s="20">
        <v>0</v>
      </c>
      <c r="AK284" s="20" t="s">
        <v>360</v>
      </c>
      <c r="AL284" s="20">
        <v>0</v>
      </c>
      <c r="AM284">
        <v>2</v>
      </c>
    </row>
    <row r="285" spans="1:39" x14ac:dyDescent="0.25">
      <c r="A285" s="20" t="s">
        <v>401</v>
      </c>
      <c r="B285" s="20" t="s">
        <v>2191</v>
      </c>
      <c r="C285" s="20">
        <v>652</v>
      </c>
      <c r="E285" s="20" t="s">
        <v>2380</v>
      </c>
      <c r="F285" s="20" t="s">
        <v>2191</v>
      </c>
      <c r="G285" s="20">
        <v>0</v>
      </c>
      <c r="I285" s="20" t="s">
        <v>3037</v>
      </c>
      <c r="J285" s="20">
        <v>11848</v>
      </c>
      <c r="L285" s="20" t="s">
        <v>3302</v>
      </c>
      <c r="M285" s="20">
        <v>45148</v>
      </c>
      <c r="AA285" s="20" t="s">
        <v>2331</v>
      </c>
      <c r="AB285" s="20">
        <v>0</v>
      </c>
      <c r="AC285" s="20">
        <v>0</v>
      </c>
      <c r="AK285" s="20" t="s">
        <v>1532</v>
      </c>
      <c r="AL285" s="20"/>
      <c r="AM285">
        <v>1</v>
      </c>
    </row>
    <row r="286" spans="1:39" x14ac:dyDescent="0.25">
      <c r="A286" s="20" t="s">
        <v>1435</v>
      </c>
      <c r="B286" s="20" t="s">
        <v>2191</v>
      </c>
      <c r="C286" s="20">
        <v>0</v>
      </c>
      <c r="E286" s="20" t="s">
        <v>2384</v>
      </c>
      <c r="F286" s="20" t="s">
        <v>2191</v>
      </c>
      <c r="G286" s="20">
        <v>0</v>
      </c>
      <c r="I286" s="20" t="s">
        <v>3041</v>
      </c>
      <c r="J286" s="20">
        <v>4414.99</v>
      </c>
      <c r="L286" s="20" t="s">
        <v>3303</v>
      </c>
      <c r="M286" s="20">
        <v>9756</v>
      </c>
      <c r="AA286" s="20" t="s">
        <v>2332</v>
      </c>
      <c r="AB286" s="20">
        <v>-205.72</v>
      </c>
      <c r="AC286" s="20">
        <v>25469.51</v>
      </c>
      <c r="AK286" s="20" t="s">
        <v>1402</v>
      </c>
      <c r="AL286" s="20">
        <v>10</v>
      </c>
      <c r="AM286">
        <v>17</v>
      </c>
    </row>
    <row r="287" spans="1:39" x14ac:dyDescent="0.25">
      <c r="A287" s="20" t="s">
        <v>403</v>
      </c>
      <c r="B287" s="20" t="s">
        <v>2191</v>
      </c>
      <c r="C287" s="20">
        <v>8661</v>
      </c>
      <c r="E287" s="20" t="s">
        <v>1440</v>
      </c>
      <c r="F287" s="20" t="s">
        <v>2191</v>
      </c>
      <c r="G287" s="20">
        <v>0</v>
      </c>
      <c r="I287" s="20" t="s">
        <v>3054</v>
      </c>
      <c r="J287" s="20">
        <v>34962</v>
      </c>
      <c r="L287" s="20" t="s">
        <v>3313</v>
      </c>
      <c r="M287" s="20">
        <v>0</v>
      </c>
      <c r="AA287" s="20" t="s">
        <v>1091</v>
      </c>
      <c r="AB287" s="20">
        <v>-5635.02</v>
      </c>
      <c r="AC287" s="20">
        <v>164094.93</v>
      </c>
      <c r="AK287" s="20" t="s">
        <v>506</v>
      </c>
      <c r="AL287" s="20">
        <v>0</v>
      </c>
      <c r="AM287">
        <v>2</v>
      </c>
    </row>
    <row r="288" spans="1:39" x14ac:dyDescent="0.25">
      <c r="A288" s="20" t="s">
        <v>405</v>
      </c>
      <c r="B288" s="20" t="s">
        <v>2191</v>
      </c>
      <c r="C288" s="20">
        <v>0</v>
      </c>
      <c r="E288" s="20" t="s">
        <v>1373</v>
      </c>
      <c r="F288" s="20" t="s">
        <v>2191</v>
      </c>
      <c r="G288" s="20">
        <v>0</v>
      </c>
      <c r="I288" s="20" t="s">
        <v>3056</v>
      </c>
      <c r="J288" s="20">
        <v>47680.99</v>
      </c>
      <c r="L288" s="20" t="s">
        <v>3346</v>
      </c>
      <c r="M288" s="20">
        <v>3393.5</v>
      </c>
      <c r="AA288" s="20" t="s">
        <v>422</v>
      </c>
      <c r="AB288" s="20">
        <v>-12243.3</v>
      </c>
      <c r="AC288" s="20">
        <v>460889.63</v>
      </c>
      <c r="AK288" s="20" t="s">
        <v>1178</v>
      </c>
      <c r="AL288" s="20">
        <v>2</v>
      </c>
      <c r="AM288">
        <v>1</v>
      </c>
    </row>
    <row r="289" spans="1:39" x14ac:dyDescent="0.25">
      <c r="A289" s="20" t="s">
        <v>2271</v>
      </c>
      <c r="B289" s="20" t="s">
        <v>2191</v>
      </c>
      <c r="C289" s="20">
        <v>0</v>
      </c>
      <c r="E289" s="20" t="s">
        <v>1204</v>
      </c>
      <c r="F289" s="20" t="s">
        <v>2191</v>
      </c>
      <c r="G289" s="20">
        <v>0</v>
      </c>
      <c r="I289" s="20" t="s">
        <v>3062</v>
      </c>
      <c r="J289" s="20">
        <v>31623.55</v>
      </c>
      <c r="L289" s="20" t="s">
        <v>3343</v>
      </c>
      <c r="M289" s="20">
        <v>13898.3</v>
      </c>
      <c r="AA289" s="20" t="s">
        <v>2333</v>
      </c>
      <c r="AB289" s="20">
        <v>0</v>
      </c>
      <c r="AC289" s="20">
        <v>0</v>
      </c>
      <c r="AK289" s="20" t="s">
        <v>1404</v>
      </c>
      <c r="AL289" s="20">
        <v>2</v>
      </c>
      <c r="AM289">
        <v>9</v>
      </c>
    </row>
    <row r="290" spans="1:39" x14ac:dyDescent="0.25">
      <c r="A290" s="20" t="s">
        <v>2272</v>
      </c>
      <c r="B290" s="20" t="s">
        <v>2191</v>
      </c>
      <c r="C290" s="20">
        <v>0</v>
      </c>
      <c r="E290" s="20" t="s">
        <v>260</v>
      </c>
      <c r="F290" s="20" t="s">
        <v>2191</v>
      </c>
      <c r="G290" s="20">
        <v>1242</v>
      </c>
      <c r="I290" s="20" t="s">
        <v>3061</v>
      </c>
      <c r="J290" s="20">
        <v>16390</v>
      </c>
      <c r="L290" s="20" t="s">
        <v>3335</v>
      </c>
      <c r="M290" s="20">
        <v>9963</v>
      </c>
      <c r="AA290" s="20" t="s">
        <v>1834</v>
      </c>
      <c r="AB290" s="20">
        <v>0</v>
      </c>
      <c r="AC290" s="20">
        <v>0</v>
      </c>
      <c r="AK290" s="20" t="s">
        <v>1180</v>
      </c>
      <c r="AL290" s="20">
        <v>0</v>
      </c>
      <c r="AM290">
        <v>3</v>
      </c>
    </row>
    <row r="291" spans="1:39" x14ac:dyDescent="0.25">
      <c r="A291" s="20" t="s">
        <v>2273</v>
      </c>
      <c r="B291" s="20" t="s">
        <v>2191</v>
      </c>
      <c r="C291" s="20">
        <v>0</v>
      </c>
      <c r="E291" s="20" t="s">
        <v>1910</v>
      </c>
      <c r="F291" s="20" t="s">
        <v>2191</v>
      </c>
      <c r="G291" s="20">
        <v>0</v>
      </c>
      <c r="I291" s="20" t="s">
        <v>3080</v>
      </c>
      <c r="J291" s="20">
        <v>-757.6</v>
      </c>
      <c r="L291" s="20" t="s">
        <v>3342</v>
      </c>
      <c r="M291" s="20">
        <v>102940.12</v>
      </c>
      <c r="AA291" s="20" t="s">
        <v>703</v>
      </c>
      <c r="AB291" s="20">
        <v>2447.02</v>
      </c>
      <c r="AC291" s="20">
        <v>51226.64</v>
      </c>
      <c r="AK291" s="20" t="s">
        <v>949</v>
      </c>
      <c r="AL291" s="20">
        <v>1</v>
      </c>
      <c r="AM291">
        <v>2</v>
      </c>
    </row>
    <row r="292" spans="1:39" x14ac:dyDescent="0.25">
      <c r="A292" s="20" t="s">
        <v>94</v>
      </c>
      <c r="B292" s="20" t="s">
        <v>2191</v>
      </c>
      <c r="C292" s="20">
        <v>0</v>
      </c>
      <c r="E292" s="20" t="s">
        <v>2400</v>
      </c>
      <c r="F292" s="20" t="s">
        <v>2191</v>
      </c>
      <c r="G292" s="20">
        <v>0</v>
      </c>
      <c r="I292" s="20" t="s">
        <v>3084</v>
      </c>
      <c r="J292" s="20">
        <v>5205</v>
      </c>
      <c r="L292" s="20" t="s">
        <v>3349</v>
      </c>
      <c r="M292" s="20">
        <v>4333.25</v>
      </c>
      <c r="AA292" s="20" t="s">
        <v>2047</v>
      </c>
      <c r="AB292" s="20">
        <v>0</v>
      </c>
      <c r="AC292" s="20">
        <v>0</v>
      </c>
      <c r="AK292" s="20" t="s">
        <v>1769</v>
      </c>
      <c r="AL292" s="20">
        <v>5</v>
      </c>
      <c r="AM292">
        <v>6</v>
      </c>
    </row>
    <row r="293" spans="1:39" x14ac:dyDescent="0.25">
      <c r="A293" s="20" t="s">
        <v>1828</v>
      </c>
      <c r="B293" s="20" t="s">
        <v>2191</v>
      </c>
      <c r="C293" s="20">
        <v>0</v>
      </c>
      <c r="E293" s="20" t="s">
        <v>2008</v>
      </c>
      <c r="F293" s="20" t="s">
        <v>2191</v>
      </c>
      <c r="G293" s="20">
        <v>0</v>
      </c>
      <c r="I293" s="20" t="s">
        <v>3091</v>
      </c>
      <c r="J293" s="20">
        <v>8109</v>
      </c>
      <c r="L293" s="20" t="s">
        <v>3372</v>
      </c>
      <c r="M293" s="20">
        <v>5854</v>
      </c>
      <c r="AA293" s="20" t="s">
        <v>251</v>
      </c>
      <c r="AB293" s="20">
        <v>-1277.93</v>
      </c>
      <c r="AC293" s="20">
        <v>14420.06</v>
      </c>
      <c r="AK293" s="20" t="s">
        <v>3158</v>
      </c>
      <c r="AL293" s="20">
        <v>0</v>
      </c>
      <c r="AM293">
        <v>7</v>
      </c>
    </row>
    <row r="294" spans="1:39" x14ac:dyDescent="0.25">
      <c r="A294" s="20" t="s">
        <v>595</v>
      </c>
      <c r="B294" s="20" t="s">
        <v>2191</v>
      </c>
      <c r="C294" s="20">
        <v>0</v>
      </c>
      <c r="E294" s="20" t="s">
        <v>424</v>
      </c>
      <c r="F294" s="20" t="s">
        <v>2191</v>
      </c>
      <c r="G294" s="20">
        <v>13754</v>
      </c>
      <c r="I294" s="20" t="s">
        <v>3078</v>
      </c>
      <c r="J294" s="20">
        <v>44866.400000000001</v>
      </c>
      <c r="L294" s="20" t="s">
        <v>3368</v>
      </c>
      <c r="M294" s="20">
        <v>22976.26</v>
      </c>
      <c r="AA294" s="20" t="s">
        <v>2334</v>
      </c>
      <c r="AB294" s="20">
        <v>0</v>
      </c>
      <c r="AC294" s="20">
        <v>0</v>
      </c>
      <c r="AK294" s="20" t="s">
        <v>1405</v>
      </c>
      <c r="AL294" s="20">
        <v>1</v>
      </c>
    </row>
    <row r="295" spans="1:39" x14ac:dyDescent="0.25">
      <c r="A295" s="20" t="s">
        <v>1874</v>
      </c>
      <c r="B295" s="20" t="s">
        <v>2191</v>
      </c>
      <c r="C295" s="20">
        <v>0</v>
      </c>
      <c r="E295" s="20" t="s">
        <v>1911</v>
      </c>
      <c r="F295" s="20" t="s">
        <v>2191</v>
      </c>
      <c r="G295" s="20">
        <v>0</v>
      </c>
      <c r="I295" s="20" t="s">
        <v>3106</v>
      </c>
      <c r="J295" s="20">
        <v>110672.14</v>
      </c>
      <c r="L295" s="20" t="s">
        <v>3377</v>
      </c>
      <c r="M295" s="20">
        <v>2300.3000000000002</v>
      </c>
      <c r="AA295" s="20" t="s">
        <v>2335</v>
      </c>
      <c r="AB295" s="20">
        <v>0</v>
      </c>
      <c r="AC295" s="20">
        <v>0</v>
      </c>
      <c r="AK295" s="20" t="s">
        <v>1326</v>
      </c>
      <c r="AL295" s="20">
        <v>1</v>
      </c>
    </row>
    <row r="296" spans="1:39" x14ac:dyDescent="0.25">
      <c r="A296" s="20" t="s">
        <v>1875</v>
      </c>
      <c r="B296" s="20" t="s">
        <v>2191</v>
      </c>
      <c r="C296" s="20">
        <v>0</v>
      </c>
      <c r="E296" s="20" t="s">
        <v>2043</v>
      </c>
      <c r="F296" s="20" t="s">
        <v>2191</v>
      </c>
      <c r="G296" s="20">
        <v>0</v>
      </c>
      <c r="I296" s="20" t="s">
        <v>3073</v>
      </c>
      <c r="J296" s="20">
        <v>6858</v>
      </c>
      <c r="L296" s="20" t="s">
        <v>3393</v>
      </c>
      <c r="M296" s="20">
        <v>1328</v>
      </c>
      <c r="AA296" s="20" t="s">
        <v>2336</v>
      </c>
      <c r="AB296" s="20">
        <v>0</v>
      </c>
      <c r="AC296" s="20">
        <v>0</v>
      </c>
      <c r="AK296" s="20" t="s">
        <v>1182</v>
      </c>
      <c r="AL296" s="20">
        <v>1</v>
      </c>
      <c r="AM296">
        <v>3</v>
      </c>
    </row>
    <row r="297" spans="1:39" x14ac:dyDescent="0.25">
      <c r="A297" s="20" t="s">
        <v>2274</v>
      </c>
      <c r="B297" s="20" t="s">
        <v>2191</v>
      </c>
      <c r="C297" s="20">
        <v>0</v>
      </c>
      <c r="E297" s="20" t="s">
        <v>2404</v>
      </c>
      <c r="F297" s="20" t="s">
        <v>2191</v>
      </c>
      <c r="G297" s="20">
        <v>0</v>
      </c>
      <c r="I297" s="20" t="s">
        <v>3116</v>
      </c>
      <c r="J297" s="20">
        <v>83181.600000000006</v>
      </c>
      <c r="L297" s="20" t="s">
        <v>3396</v>
      </c>
      <c r="M297" s="20">
        <v>10248</v>
      </c>
      <c r="AA297" s="20" t="s">
        <v>2337</v>
      </c>
      <c r="AB297" s="20">
        <v>0</v>
      </c>
      <c r="AC297" s="20">
        <v>0</v>
      </c>
      <c r="AK297" s="20" t="s">
        <v>1183</v>
      </c>
      <c r="AL297" s="20"/>
      <c r="AM297">
        <v>1</v>
      </c>
    </row>
    <row r="298" spans="1:39" x14ac:dyDescent="0.25">
      <c r="A298" s="20" t="s">
        <v>1960</v>
      </c>
      <c r="B298" s="20" t="s">
        <v>2191</v>
      </c>
      <c r="C298" s="20">
        <v>0</v>
      </c>
      <c r="E298" s="20" t="s">
        <v>1857</v>
      </c>
      <c r="F298" s="20" t="s">
        <v>2191</v>
      </c>
      <c r="G298" s="20">
        <v>0</v>
      </c>
      <c r="I298" s="20" t="s">
        <v>3122</v>
      </c>
      <c r="J298" s="20">
        <v>18379</v>
      </c>
      <c r="L298" s="20" t="s">
        <v>3390</v>
      </c>
      <c r="M298" s="20">
        <v>13752.74</v>
      </c>
      <c r="AA298" s="20" t="s">
        <v>101</v>
      </c>
      <c r="AB298" s="20">
        <v>0</v>
      </c>
      <c r="AC298" s="20">
        <v>0</v>
      </c>
      <c r="AK298" s="20" t="s">
        <v>178</v>
      </c>
      <c r="AL298" s="20">
        <v>1</v>
      </c>
      <c r="AM298">
        <v>2</v>
      </c>
    </row>
    <row r="299" spans="1:39" x14ac:dyDescent="0.25">
      <c r="A299" s="20" t="s">
        <v>2002</v>
      </c>
      <c r="B299" s="20" t="s">
        <v>2191</v>
      </c>
      <c r="C299" s="20">
        <v>0</v>
      </c>
      <c r="E299" s="20" t="s">
        <v>2009</v>
      </c>
      <c r="F299" s="20" t="s">
        <v>2191</v>
      </c>
      <c r="G299" s="20">
        <v>0</v>
      </c>
      <c r="I299" s="20" t="s">
        <v>3113</v>
      </c>
      <c r="J299" s="20">
        <v>6859</v>
      </c>
      <c r="L299" s="20" t="s">
        <v>3400</v>
      </c>
      <c r="M299" s="20">
        <v>1310</v>
      </c>
      <c r="AA299" s="20" t="s">
        <v>2338</v>
      </c>
      <c r="AB299" s="20">
        <v>0</v>
      </c>
      <c r="AC299" s="20">
        <v>0</v>
      </c>
      <c r="AK299" s="20" t="s">
        <v>560</v>
      </c>
      <c r="AL299" s="20">
        <v>2</v>
      </c>
      <c r="AM299">
        <v>3</v>
      </c>
    </row>
    <row r="300" spans="1:39" x14ac:dyDescent="0.25">
      <c r="A300" s="20" t="s">
        <v>2003</v>
      </c>
      <c r="B300" s="20" t="s">
        <v>2191</v>
      </c>
      <c r="C300" s="20">
        <v>0</v>
      </c>
      <c r="E300" s="20" t="s">
        <v>1601</v>
      </c>
      <c r="F300" s="20" t="s">
        <v>2191</v>
      </c>
      <c r="G300" s="20">
        <v>0</v>
      </c>
      <c r="I300" s="20" t="s">
        <v>3135</v>
      </c>
      <c r="J300" s="20">
        <v>-9932</v>
      </c>
      <c r="L300" s="20" t="s">
        <v>3401</v>
      </c>
      <c r="M300" s="20">
        <v>10448</v>
      </c>
      <c r="AA300" s="20" t="s">
        <v>1904</v>
      </c>
      <c r="AB300" s="20">
        <v>0</v>
      </c>
      <c r="AC300" s="20">
        <v>0</v>
      </c>
      <c r="AK300" s="20" t="s">
        <v>1407</v>
      </c>
      <c r="AL300" s="20">
        <v>7</v>
      </c>
      <c r="AM300">
        <v>8</v>
      </c>
    </row>
    <row r="301" spans="1:39" x14ac:dyDescent="0.25">
      <c r="A301" s="20" t="s">
        <v>2275</v>
      </c>
      <c r="B301" s="20" t="s">
        <v>2191</v>
      </c>
      <c r="C301" s="20">
        <v>0</v>
      </c>
      <c r="E301" s="20" t="s">
        <v>1513</v>
      </c>
      <c r="F301" s="20" t="s">
        <v>2191</v>
      </c>
      <c r="G301" s="20">
        <v>0</v>
      </c>
      <c r="I301" s="20" t="s">
        <v>3125</v>
      </c>
      <c r="J301" s="20">
        <v>34802</v>
      </c>
      <c r="L301" s="20" t="s">
        <v>3413</v>
      </c>
      <c r="M301" s="20">
        <v>20887</v>
      </c>
      <c r="AA301" s="20" t="s">
        <v>2339</v>
      </c>
      <c r="AB301" s="20">
        <v>0</v>
      </c>
      <c r="AC301" s="20">
        <v>0</v>
      </c>
      <c r="AK301" s="20" t="s">
        <v>734</v>
      </c>
      <c r="AL301" s="20"/>
      <c r="AM301">
        <v>1</v>
      </c>
    </row>
    <row r="302" spans="1:39" x14ac:dyDescent="0.25">
      <c r="A302" s="20" t="s">
        <v>1368</v>
      </c>
      <c r="B302" s="20" t="s">
        <v>2191</v>
      </c>
      <c r="C302" s="20">
        <v>0</v>
      </c>
      <c r="E302" s="20" t="s">
        <v>112</v>
      </c>
      <c r="F302" s="20" t="s">
        <v>2191</v>
      </c>
      <c r="G302" s="20">
        <v>0</v>
      </c>
      <c r="I302" s="20" t="s">
        <v>3129</v>
      </c>
      <c r="J302" s="20">
        <v>26371.47</v>
      </c>
      <c r="L302" s="20" t="s">
        <v>988</v>
      </c>
      <c r="M302" s="20">
        <v>14403</v>
      </c>
      <c r="AA302" s="20" t="s">
        <v>2340</v>
      </c>
      <c r="AB302" s="20">
        <v>0</v>
      </c>
      <c r="AC302" s="20">
        <v>0</v>
      </c>
      <c r="AK302" s="20" t="s">
        <v>364</v>
      </c>
      <c r="AL302" s="20">
        <v>2</v>
      </c>
      <c r="AM302">
        <v>4</v>
      </c>
    </row>
    <row r="303" spans="1:39" x14ac:dyDescent="0.25">
      <c r="A303" s="20" t="s">
        <v>596</v>
      </c>
      <c r="B303" s="20" t="s">
        <v>2191</v>
      </c>
      <c r="C303" s="20">
        <v>0</v>
      </c>
      <c r="E303" s="20" t="s">
        <v>1100</v>
      </c>
      <c r="F303" s="20" t="s">
        <v>2191</v>
      </c>
      <c r="G303" s="20">
        <v>0</v>
      </c>
      <c r="I303" s="20" t="s">
        <v>3136</v>
      </c>
      <c r="J303" s="20">
        <v>0</v>
      </c>
      <c r="L303" s="20" t="s">
        <v>1470</v>
      </c>
      <c r="M303" s="20">
        <v>2399</v>
      </c>
      <c r="AA303" s="20" t="s">
        <v>896</v>
      </c>
      <c r="AB303" s="20">
        <v>-7401.95</v>
      </c>
      <c r="AC303" s="20">
        <v>273765.65999999997</v>
      </c>
      <c r="AK303" s="20" t="s">
        <v>834</v>
      </c>
      <c r="AL303" s="20">
        <v>1</v>
      </c>
      <c r="AM303">
        <v>5</v>
      </c>
    </row>
    <row r="304" spans="1:39" x14ac:dyDescent="0.25">
      <c r="A304" s="20" t="s">
        <v>2276</v>
      </c>
      <c r="B304" s="20" t="s">
        <v>2191</v>
      </c>
      <c r="C304" s="20">
        <v>0</v>
      </c>
      <c r="E304" s="20" t="s">
        <v>2071</v>
      </c>
      <c r="F304" s="20" t="s">
        <v>2191</v>
      </c>
      <c r="G304" s="20">
        <v>0</v>
      </c>
      <c r="I304" s="20" t="s">
        <v>3145</v>
      </c>
      <c r="J304" s="20">
        <v>-1719.09</v>
      </c>
      <c r="L304" s="20" t="s">
        <v>1070</v>
      </c>
      <c r="M304" s="20">
        <v>11466</v>
      </c>
      <c r="AA304" s="20" t="s">
        <v>1437</v>
      </c>
      <c r="AB304" s="20">
        <v>3670.28</v>
      </c>
      <c r="AC304" s="20">
        <v>2687.13</v>
      </c>
      <c r="AK304" s="20" t="s">
        <v>507</v>
      </c>
      <c r="AL304" s="20">
        <v>2</v>
      </c>
      <c r="AM304">
        <v>5</v>
      </c>
    </row>
    <row r="305" spans="1:39" x14ac:dyDescent="0.25">
      <c r="A305" s="20" t="s">
        <v>1573</v>
      </c>
      <c r="B305" s="20" t="s">
        <v>2191</v>
      </c>
      <c r="C305" s="20">
        <v>0</v>
      </c>
      <c r="E305" s="20" t="s">
        <v>1877</v>
      </c>
      <c r="F305" s="20" t="s">
        <v>2191</v>
      </c>
      <c r="G305" s="20">
        <v>0</v>
      </c>
      <c r="I305" s="20" t="s">
        <v>3146</v>
      </c>
      <c r="J305" s="20">
        <v>1294</v>
      </c>
      <c r="AA305" s="20" t="s">
        <v>1584</v>
      </c>
      <c r="AB305" s="20">
        <v>-4117.04</v>
      </c>
      <c r="AC305" s="20">
        <v>0</v>
      </c>
      <c r="AK305" s="20" t="s">
        <v>1499</v>
      </c>
      <c r="AL305" s="20">
        <v>4</v>
      </c>
      <c r="AM305">
        <v>9</v>
      </c>
    </row>
    <row r="306" spans="1:39" x14ac:dyDescent="0.25">
      <c r="A306" s="20" t="s">
        <v>2277</v>
      </c>
      <c r="B306" s="20" t="s">
        <v>2191</v>
      </c>
      <c r="C306" s="20">
        <v>0</v>
      </c>
      <c r="E306" s="20" t="s">
        <v>1101</v>
      </c>
      <c r="F306" s="20" t="s">
        <v>2191</v>
      </c>
      <c r="G306" s="20">
        <v>0</v>
      </c>
      <c r="I306" s="20" t="s">
        <v>3153</v>
      </c>
      <c r="J306" s="20">
        <v>11027</v>
      </c>
      <c r="AA306" s="20" t="s">
        <v>2341</v>
      </c>
      <c r="AB306" s="20">
        <v>0</v>
      </c>
      <c r="AC306" s="20">
        <v>0</v>
      </c>
      <c r="AK306" s="20" t="s">
        <v>1500</v>
      </c>
      <c r="AL306" s="20">
        <v>1</v>
      </c>
      <c r="AM306">
        <v>3</v>
      </c>
    </row>
    <row r="307" spans="1:39" x14ac:dyDescent="0.25">
      <c r="A307" s="20" t="s">
        <v>1256</v>
      </c>
      <c r="B307" s="20" t="s">
        <v>2191</v>
      </c>
      <c r="C307" s="20">
        <v>0</v>
      </c>
      <c r="E307" s="20" t="s">
        <v>1839</v>
      </c>
      <c r="F307" s="20" t="s">
        <v>2191</v>
      </c>
      <c r="G307" s="20">
        <v>0</v>
      </c>
      <c r="I307" s="20" t="s">
        <v>3166</v>
      </c>
      <c r="J307" s="20">
        <v>11522</v>
      </c>
      <c r="AA307" s="20" t="s">
        <v>1585</v>
      </c>
      <c r="AB307" s="20">
        <v>-924.53</v>
      </c>
      <c r="AC307" s="20">
        <v>0</v>
      </c>
      <c r="AK307" s="20" t="s">
        <v>937</v>
      </c>
      <c r="AL307" s="20">
        <v>2</v>
      </c>
      <c r="AM307">
        <v>5</v>
      </c>
    </row>
    <row r="308" spans="1:39" x14ac:dyDescent="0.25">
      <c r="A308" s="20" t="s">
        <v>2278</v>
      </c>
      <c r="B308" s="20" t="s">
        <v>2191</v>
      </c>
      <c r="C308" s="20">
        <v>0</v>
      </c>
      <c r="E308" s="20" t="s">
        <v>1207</v>
      </c>
      <c r="F308" s="20" t="s">
        <v>2191</v>
      </c>
      <c r="G308" s="20">
        <v>5285</v>
      </c>
      <c r="I308" s="20" t="s">
        <v>3181</v>
      </c>
      <c r="J308" s="20">
        <v>9960</v>
      </c>
      <c r="AA308" s="20" t="s">
        <v>1586</v>
      </c>
      <c r="AB308" s="20">
        <v>-1783.13</v>
      </c>
      <c r="AC308" s="20">
        <v>0</v>
      </c>
      <c r="AK308" s="20" t="s">
        <v>562</v>
      </c>
      <c r="AL308" s="20">
        <v>3</v>
      </c>
      <c r="AM308">
        <v>14</v>
      </c>
    </row>
    <row r="309" spans="1:39" x14ac:dyDescent="0.25">
      <c r="A309" s="20" t="s">
        <v>2279</v>
      </c>
      <c r="B309" s="20" t="s">
        <v>2191</v>
      </c>
      <c r="C309" s="20">
        <v>0</v>
      </c>
      <c r="E309" s="20" t="s">
        <v>907</v>
      </c>
      <c r="F309" s="20" t="s">
        <v>2191</v>
      </c>
      <c r="G309" s="20">
        <v>0</v>
      </c>
      <c r="I309" s="20" t="s">
        <v>3164</v>
      </c>
      <c r="J309" s="20">
        <v>11844</v>
      </c>
      <c r="AA309" s="20" t="s">
        <v>2342</v>
      </c>
      <c r="AB309" s="20">
        <v>0</v>
      </c>
      <c r="AC309" s="20">
        <v>0</v>
      </c>
      <c r="AK309" s="20" t="s">
        <v>965</v>
      </c>
      <c r="AL309" s="20">
        <v>1</v>
      </c>
      <c r="AM309">
        <v>1</v>
      </c>
    </row>
    <row r="310" spans="1:39" x14ac:dyDescent="0.25">
      <c r="A310" s="20" t="s">
        <v>2036</v>
      </c>
      <c r="B310" s="20" t="s">
        <v>2191</v>
      </c>
      <c r="C310" s="20">
        <v>0</v>
      </c>
      <c r="E310" s="20" t="s">
        <v>2156</v>
      </c>
      <c r="F310" s="20" t="s">
        <v>2191</v>
      </c>
      <c r="G310" s="20">
        <v>0</v>
      </c>
      <c r="I310" s="20" t="s">
        <v>3180</v>
      </c>
      <c r="J310" s="20">
        <v>5729</v>
      </c>
      <c r="AA310" s="20" t="s">
        <v>254</v>
      </c>
      <c r="AB310" s="20">
        <v>5916.43</v>
      </c>
      <c r="AC310" s="20">
        <v>45156.68</v>
      </c>
      <c r="AK310" s="20" t="s">
        <v>1410</v>
      </c>
      <c r="AL310" s="20">
        <v>0</v>
      </c>
      <c r="AM310">
        <v>2</v>
      </c>
    </row>
    <row r="311" spans="1:39" x14ac:dyDescent="0.25">
      <c r="A311" s="20" t="s">
        <v>2280</v>
      </c>
      <c r="B311" s="20" t="s">
        <v>2191</v>
      </c>
      <c r="C311" s="20">
        <v>0</v>
      </c>
      <c r="E311" s="20" t="s">
        <v>2127</v>
      </c>
      <c r="F311" s="20" t="s">
        <v>2191</v>
      </c>
      <c r="G311" s="20">
        <v>0</v>
      </c>
      <c r="I311" s="20" t="s">
        <v>3171</v>
      </c>
      <c r="J311" s="20">
        <v>46131</v>
      </c>
      <c r="AA311" s="20" t="s">
        <v>2343</v>
      </c>
      <c r="AB311" s="20">
        <v>0</v>
      </c>
      <c r="AC311" s="20">
        <v>0</v>
      </c>
      <c r="AK311" s="20" t="s">
        <v>183</v>
      </c>
      <c r="AL311" s="20">
        <v>0</v>
      </c>
      <c r="AM311">
        <v>3</v>
      </c>
    </row>
    <row r="312" spans="1:39" x14ac:dyDescent="0.25">
      <c r="A312" s="20" t="s">
        <v>598</v>
      </c>
      <c r="B312" s="20" t="s">
        <v>2191</v>
      </c>
      <c r="C312" s="20">
        <v>0</v>
      </c>
      <c r="E312" s="20" t="s">
        <v>113</v>
      </c>
      <c r="F312" s="20" t="s">
        <v>2191</v>
      </c>
      <c r="G312" s="20">
        <v>50218.34</v>
      </c>
      <c r="I312" s="20" t="s">
        <v>3174</v>
      </c>
      <c r="J312" s="20">
        <v>18154</v>
      </c>
      <c r="AA312" s="20" t="s">
        <v>1371</v>
      </c>
      <c r="AB312" s="20">
        <v>3685.06</v>
      </c>
      <c r="AC312" s="20">
        <v>582155.14</v>
      </c>
      <c r="AK312" s="20" t="s">
        <v>1185</v>
      </c>
      <c r="AL312" s="20">
        <v>3</v>
      </c>
      <c r="AM312">
        <v>3</v>
      </c>
    </row>
    <row r="313" spans="1:39" x14ac:dyDescent="0.25">
      <c r="A313" s="20" t="s">
        <v>2281</v>
      </c>
      <c r="B313" s="20" t="s">
        <v>2191</v>
      </c>
      <c r="C313" s="20">
        <v>0</v>
      </c>
      <c r="E313" s="20" t="s">
        <v>1913</v>
      </c>
      <c r="F313" s="20" t="s">
        <v>2191</v>
      </c>
      <c r="G313" s="20">
        <v>0</v>
      </c>
      <c r="I313" s="20" t="s">
        <v>3199</v>
      </c>
      <c r="J313" s="20">
        <v>550</v>
      </c>
      <c r="AA313" s="20" t="s">
        <v>2344</v>
      </c>
      <c r="AB313" s="20">
        <v>0</v>
      </c>
      <c r="AC313" s="20">
        <v>0</v>
      </c>
      <c r="AK313" s="20" t="s">
        <v>97</v>
      </c>
      <c r="AL313" s="20">
        <v>2</v>
      </c>
      <c r="AM313">
        <v>4</v>
      </c>
    </row>
    <row r="314" spans="1:39" x14ac:dyDescent="0.25">
      <c r="A314" s="20" t="s">
        <v>2282</v>
      </c>
      <c r="B314" s="20" t="s">
        <v>2191</v>
      </c>
      <c r="C314" s="20">
        <v>0</v>
      </c>
      <c r="E314" s="20" t="s">
        <v>1209</v>
      </c>
      <c r="F314" s="20" t="s">
        <v>2191</v>
      </c>
      <c r="G314" s="20">
        <v>0</v>
      </c>
      <c r="I314" s="20" t="s">
        <v>3190</v>
      </c>
      <c r="J314" s="20">
        <v>8645</v>
      </c>
      <c r="AA314" s="20" t="s">
        <v>103</v>
      </c>
      <c r="AB314" s="20">
        <v>665898.73</v>
      </c>
      <c r="AC314" s="20">
        <v>822160.1</v>
      </c>
      <c r="AK314" s="20" t="s">
        <v>774</v>
      </c>
      <c r="AL314" s="20">
        <v>2</v>
      </c>
      <c r="AM314">
        <v>3</v>
      </c>
    </row>
    <row r="315" spans="1:39" x14ac:dyDescent="0.25">
      <c r="A315" s="20" t="s">
        <v>410</v>
      </c>
      <c r="B315" s="20" t="s">
        <v>2191</v>
      </c>
      <c r="C315" s="20">
        <v>9179</v>
      </c>
      <c r="E315" s="20" t="s">
        <v>1969</v>
      </c>
      <c r="F315" s="20" t="s">
        <v>2191</v>
      </c>
      <c r="G315" s="20">
        <v>0</v>
      </c>
      <c r="I315" s="20" t="s">
        <v>3193</v>
      </c>
      <c r="J315" s="20">
        <v>6586</v>
      </c>
      <c r="AA315" s="20" t="s">
        <v>2345</v>
      </c>
      <c r="AB315" s="20">
        <v>0</v>
      </c>
      <c r="AC315" s="20">
        <v>0</v>
      </c>
      <c r="AK315" s="20" t="s">
        <v>921</v>
      </c>
      <c r="AL315" s="20">
        <v>0</v>
      </c>
      <c r="AM315">
        <v>2</v>
      </c>
    </row>
    <row r="316" spans="1:39" x14ac:dyDescent="0.25">
      <c r="A316" s="20" t="s">
        <v>2283</v>
      </c>
      <c r="B316" s="20" t="s">
        <v>2191</v>
      </c>
      <c r="C316" s="20">
        <v>0</v>
      </c>
      <c r="E316" s="20" t="s">
        <v>1441</v>
      </c>
      <c r="F316" s="20" t="s">
        <v>2191</v>
      </c>
      <c r="G316" s="20">
        <v>0</v>
      </c>
      <c r="I316" s="20" t="s">
        <v>3208</v>
      </c>
      <c r="J316" s="20">
        <v>2284</v>
      </c>
      <c r="AA316" s="20" t="s">
        <v>2124</v>
      </c>
      <c r="AB316" s="20">
        <v>0</v>
      </c>
      <c r="AC316" s="20">
        <v>0</v>
      </c>
      <c r="AK316" s="20" t="s">
        <v>967</v>
      </c>
      <c r="AL316" s="20">
        <v>2</v>
      </c>
      <c r="AM316">
        <v>6</v>
      </c>
    </row>
    <row r="317" spans="1:39" x14ac:dyDescent="0.25">
      <c r="A317" s="20" t="s">
        <v>2284</v>
      </c>
      <c r="B317" s="20" t="s">
        <v>2191</v>
      </c>
      <c r="C317" s="20">
        <v>0</v>
      </c>
      <c r="E317" s="20" t="s">
        <v>263</v>
      </c>
      <c r="F317" s="20" t="s">
        <v>2191</v>
      </c>
      <c r="G317" s="20">
        <v>0</v>
      </c>
      <c r="I317" s="20" t="s">
        <v>3214</v>
      </c>
      <c r="J317" s="20">
        <v>5979</v>
      </c>
      <c r="AA317" s="20" t="s">
        <v>706</v>
      </c>
      <c r="AB317" s="20">
        <v>115386.52</v>
      </c>
      <c r="AC317" s="20">
        <v>607874.69999999995</v>
      </c>
      <c r="AK317" s="20" t="s">
        <v>1332</v>
      </c>
      <c r="AL317" s="20"/>
      <c r="AM317">
        <v>1</v>
      </c>
    </row>
    <row r="318" spans="1:39" x14ac:dyDescent="0.25">
      <c r="A318" s="20" t="s">
        <v>1082</v>
      </c>
      <c r="B318" s="20" t="s">
        <v>2191</v>
      </c>
      <c r="C318" s="20">
        <v>0</v>
      </c>
      <c r="E318" s="20" t="s">
        <v>2536</v>
      </c>
      <c r="F318" s="20" t="s">
        <v>2191</v>
      </c>
      <c r="G318" s="20">
        <v>16014</v>
      </c>
      <c r="I318" s="20" t="s">
        <v>3220</v>
      </c>
      <c r="J318" s="20">
        <v>33232.629999999997</v>
      </c>
      <c r="AA318" s="20" t="s">
        <v>1262</v>
      </c>
      <c r="AB318" s="20">
        <v>122298.21</v>
      </c>
      <c r="AC318" s="20">
        <v>192976.53</v>
      </c>
      <c r="AK318" s="20" t="s">
        <v>1051</v>
      </c>
      <c r="AL318" s="20">
        <v>1</v>
      </c>
      <c r="AM318">
        <v>1</v>
      </c>
    </row>
    <row r="319" spans="1:39" x14ac:dyDescent="0.25">
      <c r="A319" s="20" t="s">
        <v>2037</v>
      </c>
      <c r="B319" s="20" t="s">
        <v>2191</v>
      </c>
      <c r="C319" s="20">
        <v>0</v>
      </c>
      <c r="E319" s="20" t="s">
        <v>1840</v>
      </c>
      <c r="F319" s="20" t="s">
        <v>2191</v>
      </c>
      <c r="G319" s="20">
        <v>0</v>
      </c>
      <c r="I319" s="20" t="s">
        <v>3222</v>
      </c>
      <c r="J319" s="20">
        <v>0</v>
      </c>
      <c r="AA319" s="20" t="s">
        <v>2125</v>
      </c>
      <c r="AB319" s="20">
        <v>0</v>
      </c>
      <c r="AC319" s="20">
        <v>0</v>
      </c>
      <c r="AK319" s="20" t="s">
        <v>375</v>
      </c>
      <c r="AL319" s="20">
        <v>1</v>
      </c>
      <c r="AM319">
        <v>1</v>
      </c>
    </row>
    <row r="320" spans="1:39" x14ac:dyDescent="0.25">
      <c r="A320" s="20" t="s">
        <v>696</v>
      </c>
      <c r="B320" s="20" t="s">
        <v>2191</v>
      </c>
      <c r="C320" s="20">
        <v>20056</v>
      </c>
      <c r="E320" s="20" t="s">
        <v>1841</v>
      </c>
      <c r="F320" s="20" t="s">
        <v>2191</v>
      </c>
      <c r="G320" s="20">
        <v>0</v>
      </c>
      <c r="I320" s="20" t="s">
        <v>3230</v>
      </c>
      <c r="J320" s="20">
        <v>9640</v>
      </c>
      <c r="AA320" s="20" t="s">
        <v>1876</v>
      </c>
      <c r="AB320" s="20">
        <v>0</v>
      </c>
      <c r="AC320" s="20">
        <v>0</v>
      </c>
      <c r="AK320" s="20" t="s">
        <v>1055</v>
      </c>
      <c r="AL320" s="20"/>
      <c r="AM320">
        <v>1</v>
      </c>
    </row>
    <row r="321" spans="1:39" x14ac:dyDescent="0.25">
      <c r="A321" s="20" t="s">
        <v>2285</v>
      </c>
      <c r="B321" s="20" t="s">
        <v>2191</v>
      </c>
      <c r="C321" s="20">
        <v>0</v>
      </c>
      <c r="E321" s="20" t="s">
        <v>1914</v>
      </c>
      <c r="F321" s="20" t="s">
        <v>2191</v>
      </c>
      <c r="G321" s="20">
        <v>0</v>
      </c>
      <c r="I321" s="20" t="s">
        <v>3241</v>
      </c>
      <c r="J321" s="20">
        <v>4461</v>
      </c>
      <c r="AA321" s="20" t="s">
        <v>2346</v>
      </c>
      <c r="AB321" s="20">
        <v>0</v>
      </c>
      <c r="AC321" s="20">
        <v>0</v>
      </c>
      <c r="AK321" s="20" t="s">
        <v>1415</v>
      </c>
      <c r="AL321" s="20">
        <v>4</v>
      </c>
      <c r="AM321">
        <v>9</v>
      </c>
    </row>
    <row r="322" spans="1:39" x14ac:dyDescent="0.25">
      <c r="A322" s="20" t="s">
        <v>2286</v>
      </c>
      <c r="B322" s="20" t="s">
        <v>2191</v>
      </c>
      <c r="C322" s="20">
        <v>0</v>
      </c>
      <c r="E322" s="20" t="s">
        <v>1210</v>
      </c>
      <c r="F322" s="20" t="s">
        <v>2191</v>
      </c>
      <c r="G322" s="20">
        <v>0</v>
      </c>
      <c r="I322" s="20" t="s">
        <v>3243</v>
      </c>
      <c r="J322" s="20">
        <v>7951</v>
      </c>
      <c r="AA322" s="20" t="s">
        <v>2347</v>
      </c>
      <c r="AB322" s="20">
        <v>0</v>
      </c>
      <c r="AC322" s="20">
        <v>0</v>
      </c>
      <c r="AK322" s="20" t="s">
        <v>1188</v>
      </c>
      <c r="AL322" s="20">
        <v>3</v>
      </c>
      <c r="AM322">
        <v>10</v>
      </c>
    </row>
    <row r="323" spans="1:39" x14ac:dyDescent="0.25">
      <c r="A323" s="20" t="s">
        <v>698</v>
      </c>
      <c r="B323" s="20" t="s">
        <v>2191</v>
      </c>
      <c r="C323" s="20">
        <v>3543</v>
      </c>
      <c r="E323" s="20" t="s">
        <v>712</v>
      </c>
      <c r="F323" s="20" t="s">
        <v>2191</v>
      </c>
      <c r="G323" s="20">
        <v>32305</v>
      </c>
      <c r="I323" s="20" t="s">
        <v>3235</v>
      </c>
      <c r="J323" s="20">
        <v>785.16</v>
      </c>
      <c r="AA323" s="20" t="s">
        <v>2348</v>
      </c>
      <c r="AB323" s="20">
        <v>0</v>
      </c>
      <c r="AC323" s="20">
        <v>0</v>
      </c>
      <c r="AK323" s="20" t="s">
        <v>777</v>
      </c>
      <c r="AL323" s="20">
        <v>1</v>
      </c>
    </row>
    <row r="324" spans="1:39" x14ac:dyDescent="0.25">
      <c r="A324" s="20" t="s">
        <v>1251</v>
      </c>
      <c r="B324" s="20" t="s">
        <v>2191</v>
      </c>
      <c r="C324" s="20">
        <v>9482</v>
      </c>
      <c r="E324" s="20" t="s">
        <v>124</v>
      </c>
      <c r="F324" s="20" t="s">
        <v>2191</v>
      </c>
      <c r="G324" s="20">
        <v>17007.88</v>
      </c>
      <c r="I324" s="20" t="s">
        <v>3251</v>
      </c>
      <c r="J324" s="20">
        <v>7591.1</v>
      </c>
      <c r="AA324" s="20" t="s">
        <v>1438</v>
      </c>
      <c r="AB324" s="20">
        <v>59730.59</v>
      </c>
      <c r="AC324" s="20">
        <v>372743.78</v>
      </c>
      <c r="AK324" s="20" t="s">
        <v>1416</v>
      </c>
      <c r="AL324" s="20">
        <v>5</v>
      </c>
      <c r="AM324">
        <v>13</v>
      </c>
    </row>
    <row r="325" spans="1:39" x14ac:dyDescent="0.25">
      <c r="A325" s="20" t="s">
        <v>2287</v>
      </c>
      <c r="B325" s="20" t="s">
        <v>2191</v>
      </c>
      <c r="C325" s="20">
        <v>0</v>
      </c>
      <c r="E325" s="20" t="s">
        <v>2011</v>
      </c>
      <c r="F325" s="20" t="s">
        <v>2191</v>
      </c>
      <c r="G325" s="20">
        <v>0</v>
      </c>
      <c r="I325" s="20" t="s">
        <v>3248</v>
      </c>
      <c r="J325" s="20">
        <v>1164</v>
      </c>
      <c r="AA325" s="20" t="s">
        <v>708</v>
      </c>
      <c r="AB325" s="20">
        <v>-269.02</v>
      </c>
      <c r="AC325" s="20">
        <v>0</v>
      </c>
      <c r="AK325" s="20" t="s">
        <v>1504</v>
      </c>
      <c r="AL325" s="20"/>
      <c r="AM325">
        <v>1</v>
      </c>
    </row>
    <row r="326" spans="1:39" x14ac:dyDescent="0.25">
      <c r="A326" s="20" t="s">
        <v>2288</v>
      </c>
      <c r="B326" s="20" t="s">
        <v>2191</v>
      </c>
      <c r="C326" s="20">
        <v>0</v>
      </c>
      <c r="E326" s="20" t="s">
        <v>427</v>
      </c>
      <c r="F326" s="20" t="s">
        <v>2191</v>
      </c>
      <c r="G326" s="20">
        <v>0</v>
      </c>
      <c r="I326" s="20" t="s">
        <v>3244</v>
      </c>
      <c r="J326" s="20">
        <v>0</v>
      </c>
      <c r="AA326" s="20" t="s">
        <v>2349</v>
      </c>
      <c r="AB326" s="20">
        <v>0</v>
      </c>
      <c r="AC326" s="20">
        <v>0</v>
      </c>
      <c r="AK326" s="20" t="s">
        <v>379</v>
      </c>
      <c r="AL326" s="20">
        <v>19</v>
      </c>
      <c r="AM326">
        <v>33</v>
      </c>
    </row>
    <row r="327" spans="1:39" x14ac:dyDescent="0.25">
      <c r="A327" s="20" t="s">
        <v>2289</v>
      </c>
      <c r="B327" s="20" t="s">
        <v>2191</v>
      </c>
      <c r="C327" s="20">
        <v>0</v>
      </c>
      <c r="E327" s="20" t="s">
        <v>1858</v>
      </c>
      <c r="F327" s="20" t="s">
        <v>2191</v>
      </c>
      <c r="G327" s="20">
        <v>0</v>
      </c>
      <c r="I327" s="20" t="s">
        <v>3270</v>
      </c>
      <c r="J327" s="20">
        <v>-1525.01</v>
      </c>
      <c r="AA327" s="20" t="s">
        <v>1587</v>
      </c>
      <c r="AB327" s="20">
        <v>-1124.72</v>
      </c>
      <c r="AC327" s="20">
        <v>0</v>
      </c>
      <c r="AK327" s="20" t="s">
        <v>1538</v>
      </c>
      <c r="AL327" s="20">
        <v>1</v>
      </c>
      <c r="AM327">
        <v>7</v>
      </c>
    </row>
    <row r="328" spans="1:39" x14ac:dyDescent="0.25">
      <c r="A328" s="20" t="s">
        <v>2290</v>
      </c>
      <c r="B328" s="20" t="s">
        <v>2191</v>
      </c>
      <c r="C328" s="20">
        <v>0</v>
      </c>
      <c r="E328" s="20" t="s">
        <v>1915</v>
      </c>
      <c r="F328" s="20" t="s">
        <v>2191</v>
      </c>
      <c r="G328" s="20">
        <v>0</v>
      </c>
      <c r="I328" s="20" t="s">
        <v>3252</v>
      </c>
      <c r="J328" s="20">
        <v>4106.58</v>
      </c>
      <c r="AA328" s="20" t="s">
        <v>2350</v>
      </c>
      <c r="AB328" s="20">
        <v>0</v>
      </c>
      <c r="AC328" s="20">
        <v>0</v>
      </c>
      <c r="AK328" s="20" t="s">
        <v>1418</v>
      </c>
      <c r="AL328" s="20">
        <v>1</v>
      </c>
      <c r="AM328">
        <v>9</v>
      </c>
    </row>
    <row r="329" spans="1:39" x14ac:dyDescent="0.25">
      <c r="A329" s="20" t="s">
        <v>600</v>
      </c>
      <c r="B329" s="20" t="s">
        <v>2191</v>
      </c>
      <c r="C329" s="20">
        <v>0</v>
      </c>
      <c r="E329" s="20" t="s">
        <v>2048</v>
      </c>
      <c r="F329" s="20" t="s">
        <v>2191</v>
      </c>
      <c r="G329" s="20">
        <v>0</v>
      </c>
      <c r="I329" s="20" t="s">
        <v>3266</v>
      </c>
      <c r="J329" s="20">
        <v>1839</v>
      </c>
      <c r="AA329" s="20" t="s">
        <v>1588</v>
      </c>
      <c r="AB329" s="20">
        <v>-815.37</v>
      </c>
      <c r="AC329" s="20">
        <v>0</v>
      </c>
      <c r="AK329" s="20" t="s">
        <v>1419</v>
      </c>
      <c r="AL329" s="20">
        <v>5</v>
      </c>
      <c r="AM329">
        <v>9</v>
      </c>
    </row>
    <row r="330" spans="1:39" x14ac:dyDescent="0.25">
      <c r="A330" s="20" t="s">
        <v>1961</v>
      </c>
      <c r="B330" s="20" t="s">
        <v>2191</v>
      </c>
      <c r="C330" s="20">
        <v>0</v>
      </c>
      <c r="E330" s="20" t="s">
        <v>1878</v>
      </c>
      <c r="F330" s="20" t="s">
        <v>2191</v>
      </c>
      <c r="G330" s="20">
        <v>0</v>
      </c>
      <c r="I330" s="20" t="s">
        <v>3260</v>
      </c>
      <c r="J330" s="20">
        <v>11006.5</v>
      </c>
      <c r="AA330" s="20" t="s">
        <v>1589</v>
      </c>
      <c r="AB330" s="20">
        <v>-1023.23</v>
      </c>
      <c r="AC330" s="20">
        <v>0</v>
      </c>
      <c r="AK330" s="20" t="s">
        <v>1333</v>
      </c>
      <c r="AL330" s="20">
        <v>1</v>
      </c>
      <c r="AM330">
        <v>3</v>
      </c>
    </row>
    <row r="331" spans="1:39" x14ac:dyDescent="0.25">
      <c r="A331" s="20" t="s">
        <v>2291</v>
      </c>
      <c r="B331" s="20" t="s">
        <v>2191</v>
      </c>
      <c r="C331" s="20">
        <v>0</v>
      </c>
      <c r="E331" s="20" t="s">
        <v>1859</v>
      </c>
      <c r="F331" s="20" t="s">
        <v>2191</v>
      </c>
      <c r="G331" s="20">
        <v>0</v>
      </c>
      <c r="I331" s="20" t="s">
        <v>3275</v>
      </c>
      <c r="J331" s="20">
        <v>4078</v>
      </c>
      <c r="AA331" s="20" t="s">
        <v>2351</v>
      </c>
      <c r="AB331" s="20">
        <v>0</v>
      </c>
      <c r="AC331" s="20">
        <v>0</v>
      </c>
      <c r="AK331" s="20" t="s">
        <v>780</v>
      </c>
      <c r="AL331" s="20"/>
      <c r="AM331">
        <v>1</v>
      </c>
    </row>
    <row r="332" spans="1:39" x14ac:dyDescent="0.25">
      <c r="A332" s="20" t="s">
        <v>2038</v>
      </c>
      <c r="B332" s="20" t="s">
        <v>2191</v>
      </c>
      <c r="C332" s="20">
        <v>0</v>
      </c>
      <c r="E332" s="20" t="s">
        <v>1009</v>
      </c>
      <c r="F332" s="20" t="s">
        <v>2191</v>
      </c>
      <c r="G332" s="20">
        <v>3318</v>
      </c>
      <c r="I332" s="20" t="s">
        <v>3261</v>
      </c>
      <c r="J332" s="20">
        <v>-10</v>
      </c>
      <c r="AA332" s="20" t="s">
        <v>2352</v>
      </c>
      <c r="AB332" s="20">
        <v>0</v>
      </c>
      <c r="AC332" s="20">
        <v>0</v>
      </c>
      <c r="AK332" s="20" t="s">
        <v>836</v>
      </c>
      <c r="AL332" s="20">
        <v>6</v>
      </c>
      <c r="AM332">
        <v>9</v>
      </c>
    </row>
    <row r="333" spans="1:39" x14ac:dyDescent="0.25">
      <c r="A333" s="20" t="s">
        <v>1005</v>
      </c>
      <c r="B333" s="20" t="s">
        <v>2191</v>
      </c>
      <c r="C333" s="20">
        <v>0</v>
      </c>
      <c r="E333" s="20" t="s">
        <v>1267</v>
      </c>
      <c r="F333" s="20" t="s">
        <v>2191</v>
      </c>
      <c r="G333" s="20">
        <v>0</v>
      </c>
      <c r="I333" s="20" t="s">
        <v>3278</v>
      </c>
      <c r="J333" s="20">
        <v>13662</v>
      </c>
      <c r="AA333" s="20" t="s">
        <v>2353</v>
      </c>
      <c r="AB333" s="20">
        <v>0</v>
      </c>
      <c r="AC333" s="20">
        <v>0</v>
      </c>
      <c r="AK333" s="20" t="s">
        <v>785</v>
      </c>
      <c r="AL333" s="20">
        <v>0</v>
      </c>
      <c r="AM333">
        <v>2</v>
      </c>
    </row>
    <row r="334" spans="1:39" x14ac:dyDescent="0.25">
      <c r="A334" s="20" t="s">
        <v>2292</v>
      </c>
      <c r="B334" s="20" t="s">
        <v>2191</v>
      </c>
      <c r="C334" s="20">
        <v>0</v>
      </c>
      <c r="E334" s="20" t="s">
        <v>1268</v>
      </c>
      <c r="F334" s="20" t="s">
        <v>2191</v>
      </c>
      <c r="G334" s="20">
        <v>0</v>
      </c>
      <c r="I334" s="20" t="s">
        <v>3280</v>
      </c>
      <c r="J334" s="20">
        <v>6231</v>
      </c>
      <c r="AA334" s="20" t="s">
        <v>3356</v>
      </c>
      <c r="AB334" s="20">
        <v>22.27</v>
      </c>
      <c r="AC334" s="20">
        <v>2132</v>
      </c>
      <c r="AK334" s="20" t="s">
        <v>787</v>
      </c>
      <c r="AL334" s="20"/>
      <c r="AM334">
        <v>1</v>
      </c>
    </row>
    <row r="335" spans="1:39" x14ac:dyDescent="0.25">
      <c r="A335" s="20" t="s">
        <v>2293</v>
      </c>
      <c r="B335" s="20" t="s">
        <v>2191</v>
      </c>
      <c r="C335" s="20">
        <v>0</v>
      </c>
      <c r="E335" s="20" t="s">
        <v>1266</v>
      </c>
      <c r="F335" s="20" t="s">
        <v>2191</v>
      </c>
      <c r="G335" s="20">
        <v>11376</v>
      </c>
      <c r="I335" s="20" t="s">
        <v>3285</v>
      </c>
      <c r="J335" s="20">
        <v>9486</v>
      </c>
      <c r="AA335" s="20" t="s">
        <v>901</v>
      </c>
      <c r="AB335" s="20">
        <v>1691210.52</v>
      </c>
      <c r="AC335" s="20">
        <v>801377.86</v>
      </c>
      <c r="AK335" s="20" t="s">
        <v>789</v>
      </c>
      <c r="AL335" s="20">
        <v>0</v>
      </c>
      <c r="AM335">
        <v>4</v>
      </c>
    </row>
    <row r="336" spans="1:39" x14ac:dyDescent="0.25">
      <c r="A336" s="20" t="s">
        <v>412</v>
      </c>
      <c r="B336" s="20" t="s">
        <v>2191</v>
      </c>
      <c r="C336" s="20">
        <v>3130.57</v>
      </c>
      <c r="E336" s="20" t="s">
        <v>1642</v>
      </c>
      <c r="F336" s="20" t="s">
        <v>2191</v>
      </c>
      <c r="G336" s="20">
        <v>0</v>
      </c>
      <c r="I336" s="20" t="s">
        <v>3301</v>
      </c>
      <c r="J336" s="20">
        <v>45745</v>
      </c>
      <c r="AA336" s="20" t="s">
        <v>606</v>
      </c>
      <c r="AB336" s="20">
        <v>-57641.13</v>
      </c>
      <c r="AC336" s="20">
        <v>63883.08</v>
      </c>
      <c r="AK336" s="20" t="s">
        <v>976</v>
      </c>
      <c r="AL336" s="20">
        <v>4</v>
      </c>
      <c r="AM336">
        <v>11</v>
      </c>
    </row>
    <row r="337" spans="1:39" x14ac:dyDescent="0.25">
      <c r="A337" s="20" t="s">
        <v>2294</v>
      </c>
      <c r="B337" s="20" t="s">
        <v>2191</v>
      </c>
      <c r="C337" s="20">
        <v>0</v>
      </c>
      <c r="E337" s="20" t="s">
        <v>2131</v>
      </c>
      <c r="F337" s="20" t="s">
        <v>2191</v>
      </c>
      <c r="G337" s="20">
        <v>0</v>
      </c>
      <c r="I337" s="20" t="s">
        <v>3287</v>
      </c>
      <c r="J337" s="20">
        <v>931</v>
      </c>
      <c r="AA337" s="20" t="s">
        <v>2354</v>
      </c>
      <c r="AB337" s="20">
        <v>0</v>
      </c>
      <c r="AC337" s="20">
        <v>0</v>
      </c>
      <c r="AK337" s="20" t="s">
        <v>1248</v>
      </c>
      <c r="AL337" s="20">
        <v>0</v>
      </c>
      <c r="AM337">
        <v>2</v>
      </c>
    </row>
    <row r="338" spans="1:39" x14ac:dyDescent="0.25">
      <c r="A338" s="20" t="s">
        <v>243</v>
      </c>
      <c r="B338" s="20" t="s">
        <v>2191</v>
      </c>
      <c r="C338" s="20">
        <v>0</v>
      </c>
      <c r="E338" s="20" t="s">
        <v>1274</v>
      </c>
      <c r="F338" s="20" t="s">
        <v>2191</v>
      </c>
      <c r="G338" s="20">
        <v>0</v>
      </c>
      <c r="I338" s="20" t="s">
        <v>3299</v>
      </c>
      <c r="J338" s="20">
        <v>21387</v>
      </c>
      <c r="AA338" s="20" t="s">
        <v>2355</v>
      </c>
      <c r="AB338" s="20">
        <v>0</v>
      </c>
      <c r="AC338" s="20">
        <v>0</v>
      </c>
      <c r="AK338" s="20" t="s">
        <v>188</v>
      </c>
      <c r="AL338" s="20">
        <v>0</v>
      </c>
      <c r="AM338">
        <v>6</v>
      </c>
    </row>
    <row r="339" spans="1:39" x14ac:dyDescent="0.25">
      <c r="A339" s="20" t="s">
        <v>244</v>
      </c>
      <c r="B339" s="20" t="s">
        <v>2191</v>
      </c>
      <c r="C339" s="20">
        <v>0</v>
      </c>
      <c r="E339" s="20" t="s">
        <v>1275</v>
      </c>
      <c r="F339" s="20" t="s">
        <v>2191</v>
      </c>
      <c r="G339" s="20">
        <v>0</v>
      </c>
      <c r="I339" s="20" t="s">
        <v>3311</v>
      </c>
      <c r="J339" s="20">
        <v>142.68</v>
      </c>
      <c r="AA339" s="20" t="s">
        <v>1590</v>
      </c>
      <c r="AB339" s="20">
        <v>3115250.06</v>
      </c>
      <c r="AC339" s="20">
        <v>12932001.890000001</v>
      </c>
      <c r="AK339" s="20" t="s">
        <v>667</v>
      </c>
      <c r="AL339" s="20">
        <v>2</v>
      </c>
      <c r="AM339">
        <v>2</v>
      </c>
    </row>
    <row r="340" spans="1:39" x14ac:dyDescent="0.25">
      <c r="A340" s="20" t="s">
        <v>1574</v>
      </c>
      <c r="B340" s="20" t="s">
        <v>2191</v>
      </c>
      <c r="C340" s="20">
        <v>0</v>
      </c>
      <c r="E340" s="20" t="s">
        <v>1277</v>
      </c>
      <c r="F340" s="20" t="s">
        <v>2191</v>
      </c>
      <c r="G340" s="20">
        <v>19912</v>
      </c>
      <c r="I340" s="20" t="s">
        <v>3304</v>
      </c>
      <c r="J340" s="20">
        <v>9316</v>
      </c>
      <c r="AA340" s="20" t="s">
        <v>2357</v>
      </c>
      <c r="AB340" s="20">
        <v>-1063.42</v>
      </c>
      <c r="AC340" s="20">
        <v>0</v>
      </c>
      <c r="AK340" s="20" t="s">
        <v>194</v>
      </c>
      <c r="AL340" s="20">
        <v>5</v>
      </c>
      <c r="AM340">
        <v>13</v>
      </c>
    </row>
    <row r="341" spans="1:39" x14ac:dyDescent="0.25">
      <c r="A341" s="20" t="s">
        <v>2039</v>
      </c>
      <c r="B341" s="20" t="s">
        <v>2191</v>
      </c>
      <c r="C341" s="20">
        <v>0</v>
      </c>
      <c r="E341" s="20" t="s">
        <v>1254</v>
      </c>
      <c r="F341" s="20" t="s">
        <v>2191</v>
      </c>
      <c r="G341" s="20">
        <v>0</v>
      </c>
      <c r="I341" s="20" t="s">
        <v>3310</v>
      </c>
      <c r="J341" s="20">
        <v>3797</v>
      </c>
      <c r="AA341" s="20" t="s">
        <v>2358</v>
      </c>
      <c r="AB341" s="20">
        <v>0</v>
      </c>
      <c r="AC341" s="20">
        <v>0</v>
      </c>
      <c r="AK341" s="20" t="s">
        <v>977</v>
      </c>
      <c r="AL341" s="20">
        <v>0</v>
      </c>
      <c r="AM341">
        <v>2</v>
      </c>
    </row>
    <row r="342" spans="1:39" x14ac:dyDescent="0.25">
      <c r="A342" s="20" t="s">
        <v>2295</v>
      </c>
      <c r="B342" s="20" t="s">
        <v>2191</v>
      </c>
      <c r="C342" s="20">
        <v>0</v>
      </c>
      <c r="E342" s="20" t="s">
        <v>1279</v>
      </c>
      <c r="F342" s="20" t="s">
        <v>2191</v>
      </c>
      <c r="G342" s="20">
        <v>0</v>
      </c>
      <c r="I342" s="20" t="s">
        <v>3288</v>
      </c>
      <c r="J342" s="20">
        <v>17079</v>
      </c>
      <c r="AA342" s="20" t="s">
        <v>2041</v>
      </c>
      <c r="AB342" s="20">
        <v>0</v>
      </c>
      <c r="AC342" s="20">
        <v>0</v>
      </c>
      <c r="AK342" s="20" t="s">
        <v>1343</v>
      </c>
      <c r="AL342" s="20">
        <v>2</v>
      </c>
      <c r="AM342">
        <v>4</v>
      </c>
    </row>
    <row r="343" spans="1:39" x14ac:dyDescent="0.25">
      <c r="A343" s="20" t="s">
        <v>701</v>
      </c>
      <c r="B343" s="20" t="s">
        <v>2191</v>
      </c>
      <c r="C343" s="20">
        <v>0</v>
      </c>
      <c r="E343" s="20" t="s">
        <v>429</v>
      </c>
      <c r="F343" s="20" t="s">
        <v>2191</v>
      </c>
      <c r="G343" s="20">
        <v>0</v>
      </c>
      <c r="I343" s="20" t="s">
        <v>3292</v>
      </c>
      <c r="J343" s="20">
        <v>20091</v>
      </c>
      <c r="AA343" s="20" t="s">
        <v>2360</v>
      </c>
      <c r="AB343" s="20">
        <v>0</v>
      </c>
      <c r="AC343" s="20">
        <v>0</v>
      </c>
      <c r="AK343" s="20" t="s">
        <v>751</v>
      </c>
      <c r="AL343" s="20">
        <v>2</v>
      </c>
      <c r="AM343">
        <v>5</v>
      </c>
    </row>
    <row r="344" spans="1:39" x14ac:dyDescent="0.25">
      <c r="A344" s="20" t="s">
        <v>1369</v>
      </c>
      <c r="B344" s="20" t="s">
        <v>2191</v>
      </c>
      <c r="C344" s="20">
        <v>14165</v>
      </c>
      <c r="E344" s="20" t="s">
        <v>2632</v>
      </c>
      <c r="F344" s="20" t="s">
        <v>2191</v>
      </c>
      <c r="G344" s="20">
        <v>0</v>
      </c>
      <c r="I344" s="20" t="s">
        <v>3302</v>
      </c>
      <c r="J344" s="20">
        <v>22485</v>
      </c>
      <c r="AA344" s="20" t="s">
        <v>2362</v>
      </c>
      <c r="AB344" s="20">
        <v>0</v>
      </c>
      <c r="AC344" s="20">
        <v>0</v>
      </c>
      <c r="AK344" s="20" t="s">
        <v>1396</v>
      </c>
      <c r="AL344" s="20">
        <v>3</v>
      </c>
      <c r="AM344">
        <v>11</v>
      </c>
    </row>
    <row r="345" spans="1:39" x14ac:dyDescent="0.25">
      <c r="A345" s="20" t="s">
        <v>2296</v>
      </c>
      <c r="B345" s="20" t="s">
        <v>2191</v>
      </c>
      <c r="C345" s="20">
        <v>0</v>
      </c>
      <c r="E345" s="20" t="s">
        <v>1281</v>
      </c>
      <c r="F345" s="20" t="s">
        <v>2191</v>
      </c>
      <c r="G345" s="20">
        <v>0</v>
      </c>
      <c r="I345" s="20" t="s">
        <v>3303</v>
      </c>
      <c r="J345" s="20">
        <v>250</v>
      </c>
      <c r="AA345" s="20" t="s">
        <v>2363</v>
      </c>
      <c r="AB345" s="20">
        <v>0</v>
      </c>
      <c r="AC345" s="20">
        <v>0</v>
      </c>
      <c r="AK345" s="20" t="s">
        <v>1507</v>
      </c>
      <c r="AL345" s="20"/>
      <c r="AM345">
        <v>1</v>
      </c>
    </row>
    <row r="346" spans="1:39" x14ac:dyDescent="0.25">
      <c r="A346" s="20" t="s">
        <v>2297</v>
      </c>
      <c r="B346" s="20" t="s">
        <v>2191</v>
      </c>
      <c r="C346" s="20">
        <v>0</v>
      </c>
      <c r="E346" s="20" t="s">
        <v>2072</v>
      </c>
      <c r="F346" s="20" t="s">
        <v>2191</v>
      </c>
      <c r="G346" s="20">
        <v>0</v>
      </c>
      <c r="I346" s="20" t="s">
        <v>3289</v>
      </c>
      <c r="J346" s="20">
        <v>560</v>
      </c>
      <c r="AA346" s="20" t="s">
        <v>2154</v>
      </c>
      <c r="AB346" s="20">
        <v>0</v>
      </c>
      <c r="AC346" s="20">
        <v>0</v>
      </c>
      <c r="AK346" s="20" t="s">
        <v>573</v>
      </c>
      <c r="AL346" s="20">
        <v>1</v>
      </c>
    </row>
    <row r="347" spans="1:39" x14ac:dyDescent="0.25">
      <c r="A347" s="20" t="s">
        <v>2298</v>
      </c>
      <c r="B347" s="20" t="s">
        <v>2191</v>
      </c>
      <c r="C347" s="20">
        <v>0</v>
      </c>
      <c r="E347" s="20" t="s">
        <v>267</v>
      </c>
      <c r="F347" s="20" t="s">
        <v>2191</v>
      </c>
      <c r="G347" s="20">
        <v>0</v>
      </c>
      <c r="I347" s="20" t="s">
        <v>3314</v>
      </c>
      <c r="J347" s="20">
        <v>1613</v>
      </c>
      <c r="AA347" s="20" t="s">
        <v>106</v>
      </c>
      <c r="AB347" s="20">
        <v>341773.13</v>
      </c>
      <c r="AC347" s="20">
        <v>839856.96</v>
      </c>
      <c r="AK347" s="20" t="s">
        <v>327</v>
      </c>
      <c r="AL347" s="20">
        <v>8</v>
      </c>
      <c r="AM347">
        <v>26</v>
      </c>
    </row>
    <row r="348" spans="1:39" x14ac:dyDescent="0.25">
      <c r="A348" s="20" t="s">
        <v>95</v>
      </c>
      <c r="B348" s="20" t="s">
        <v>2191</v>
      </c>
      <c r="C348" s="20">
        <v>0</v>
      </c>
      <c r="E348" s="20" t="s">
        <v>2073</v>
      </c>
      <c r="F348" s="20" t="s">
        <v>2191</v>
      </c>
      <c r="G348" s="20">
        <v>0</v>
      </c>
      <c r="I348" s="20" t="s">
        <v>3313</v>
      </c>
      <c r="J348" s="20">
        <v>250</v>
      </c>
      <c r="AA348" s="20" t="s">
        <v>1591</v>
      </c>
      <c r="AB348" s="20">
        <v>-4054.76</v>
      </c>
      <c r="AC348" s="20">
        <v>0</v>
      </c>
      <c r="AK348" s="20" t="s">
        <v>500</v>
      </c>
      <c r="AL348" s="20">
        <v>2</v>
      </c>
      <c r="AM348">
        <v>3</v>
      </c>
    </row>
    <row r="349" spans="1:39" x14ac:dyDescent="0.25">
      <c r="A349" s="20" t="s">
        <v>2299</v>
      </c>
      <c r="B349" s="20" t="s">
        <v>2191</v>
      </c>
      <c r="C349" s="20">
        <v>0</v>
      </c>
      <c r="E349" s="20" t="s">
        <v>2074</v>
      </c>
      <c r="F349" s="20" t="s">
        <v>2191</v>
      </c>
      <c r="G349" s="20">
        <v>0</v>
      </c>
      <c r="I349" s="20" t="s">
        <v>3346</v>
      </c>
      <c r="J349" s="20">
        <v>49001.65</v>
      </c>
      <c r="AA349" s="20" t="s">
        <v>2042</v>
      </c>
      <c r="AB349" s="20">
        <v>0</v>
      </c>
      <c r="AC349" s="20">
        <v>0</v>
      </c>
      <c r="AK349" s="20" t="s">
        <v>196</v>
      </c>
      <c r="AL349" s="20">
        <v>1</v>
      </c>
      <c r="AM349">
        <v>5</v>
      </c>
    </row>
    <row r="350" spans="1:39" x14ac:dyDescent="0.25">
      <c r="A350" s="20" t="s">
        <v>2300</v>
      </c>
      <c r="B350" s="20" t="s">
        <v>2191</v>
      </c>
      <c r="C350" s="20">
        <v>0</v>
      </c>
      <c r="E350" s="20" t="s">
        <v>268</v>
      </c>
      <c r="F350" s="20" t="s">
        <v>2191</v>
      </c>
      <c r="G350" s="20">
        <v>0</v>
      </c>
      <c r="I350" s="20" t="s">
        <v>3343</v>
      </c>
      <c r="J350" s="20">
        <v>53445.7</v>
      </c>
      <c r="AA350" s="20" t="s">
        <v>903</v>
      </c>
      <c r="AB350" s="20">
        <v>4706.13</v>
      </c>
      <c r="AC350" s="20">
        <v>65881.72</v>
      </c>
      <c r="AK350" s="20" t="s">
        <v>1195</v>
      </c>
      <c r="AL350" s="20">
        <v>1</v>
      </c>
      <c r="AM350">
        <v>1</v>
      </c>
    </row>
    <row r="351" spans="1:39" x14ac:dyDescent="0.25">
      <c r="A351" s="20" t="s">
        <v>602</v>
      </c>
      <c r="B351" s="20" t="s">
        <v>2191</v>
      </c>
      <c r="C351" s="20">
        <v>0</v>
      </c>
      <c r="E351" s="20" t="s">
        <v>269</v>
      </c>
      <c r="F351" s="20" t="s">
        <v>2191</v>
      </c>
      <c r="G351" s="20">
        <v>0</v>
      </c>
      <c r="I351" s="20" t="s">
        <v>3341</v>
      </c>
      <c r="J351" s="20">
        <v>3021</v>
      </c>
      <c r="AA351" s="20" t="s">
        <v>2364</v>
      </c>
      <c r="AB351" s="20">
        <v>0</v>
      </c>
      <c r="AC351" s="20">
        <v>0</v>
      </c>
      <c r="AK351" s="20" t="s">
        <v>198</v>
      </c>
      <c r="AL351" s="20">
        <v>13</v>
      </c>
      <c r="AM351">
        <v>25</v>
      </c>
    </row>
    <row r="352" spans="1:39" x14ac:dyDescent="0.25">
      <c r="A352" s="20" t="s">
        <v>414</v>
      </c>
      <c r="B352" s="20" t="s">
        <v>2191</v>
      </c>
      <c r="C352" s="20">
        <v>1140</v>
      </c>
      <c r="E352" s="20" t="s">
        <v>271</v>
      </c>
      <c r="F352" s="20" t="s">
        <v>2191</v>
      </c>
      <c r="G352" s="20">
        <v>0</v>
      </c>
      <c r="I352" s="20" t="s">
        <v>3342</v>
      </c>
      <c r="J352" s="20">
        <v>117002.81</v>
      </c>
      <c r="AA352" s="20" t="s">
        <v>2365</v>
      </c>
      <c r="AB352" s="20">
        <v>0</v>
      </c>
      <c r="AC352" s="20">
        <v>0</v>
      </c>
      <c r="AK352" s="20" t="s">
        <v>839</v>
      </c>
      <c r="AL352" s="20"/>
      <c r="AM352">
        <v>1</v>
      </c>
    </row>
    <row r="353" spans="1:39" x14ac:dyDescent="0.25">
      <c r="A353" s="20" t="s">
        <v>247</v>
      </c>
      <c r="B353" s="20" t="s">
        <v>2191</v>
      </c>
      <c r="C353" s="20">
        <v>0</v>
      </c>
      <c r="E353" s="20" t="s">
        <v>270</v>
      </c>
      <c r="F353" s="20" t="s">
        <v>2191</v>
      </c>
      <c r="G353" s="20">
        <v>102601.33</v>
      </c>
      <c r="I353" s="20" t="s">
        <v>3349</v>
      </c>
      <c r="J353" s="20">
        <v>13329</v>
      </c>
      <c r="AA353" s="20" t="s">
        <v>2366</v>
      </c>
      <c r="AB353" s="20">
        <v>0</v>
      </c>
      <c r="AC353" s="20">
        <v>0</v>
      </c>
      <c r="AK353" s="20" t="s">
        <v>1510</v>
      </c>
      <c r="AL353" s="20">
        <v>17</v>
      </c>
      <c r="AM353">
        <v>24</v>
      </c>
    </row>
    <row r="354" spans="1:39" x14ac:dyDescent="0.25">
      <c r="A354" s="20" t="s">
        <v>2301</v>
      </c>
      <c r="B354" s="20" t="s">
        <v>2191</v>
      </c>
      <c r="C354" s="20">
        <v>0</v>
      </c>
      <c r="E354" s="20" t="s">
        <v>274</v>
      </c>
      <c r="F354" s="20" t="s">
        <v>2191</v>
      </c>
      <c r="G354" s="20">
        <v>0</v>
      </c>
      <c r="I354" s="20" t="s">
        <v>3368</v>
      </c>
      <c r="J354" s="20">
        <v>6289</v>
      </c>
      <c r="AA354" s="20" t="s">
        <v>1264</v>
      </c>
      <c r="AB354" s="20">
        <v>338968.62</v>
      </c>
      <c r="AC354" s="20">
        <v>364416.89</v>
      </c>
      <c r="AK354" s="20" t="s">
        <v>796</v>
      </c>
      <c r="AL354" s="20">
        <v>2</v>
      </c>
      <c r="AM354">
        <v>9</v>
      </c>
    </row>
    <row r="355" spans="1:39" x14ac:dyDescent="0.25">
      <c r="A355" s="20" t="s">
        <v>2004</v>
      </c>
      <c r="B355" s="20" t="s">
        <v>2191</v>
      </c>
      <c r="C355" s="20">
        <v>0</v>
      </c>
      <c r="E355" s="20" t="s">
        <v>275</v>
      </c>
      <c r="F355" s="20" t="s">
        <v>2191</v>
      </c>
      <c r="G355" s="20">
        <v>0</v>
      </c>
      <c r="I355" s="20" t="s">
        <v>3394</v>
      </c>
      <c r="J355" s="20">
        <v>3071.67</v>
      </c>
      <c r="AA355" s="20" t="s">
        <v>905</v>
      </c>
      <c r="AB355" s="20">
        <v>-1451.04</v>
      </c>
      <c r="AC355" s="20">
        <v>186287.18</v>
      </c>
      <c r="AK355" s="20" t="s">
        <v>200</v>
      </c>
      <c r="AL355" s="20">
        <v>3</v>
      </c>
      <c r="AM355">
        <v>4</v>
      </c>
    </row>
    <row r="356" spans="1:39" x14ac:dyDescent="0.25">
      <c r="A356" s="20" t="s">
        <v>2302</v>
      </c>
      <c r="B356" s="20" t="s">
        <v>2191</v>
      </c>
      <c r="C356" s="20">
        <v>0</v>
      </c>
      <c r="E356" s="20" t="s">
        <v>2075</v>
      </c>
      <c r="F356" s="20" t="s">
        <v>2191</v>
      </c>
      <c r="G356" s="20">
        <v>0</v>
      </c>
      <c r="I356" s="20" t="s">
        <v>3390</v>
      </c>
      <c r="J356" s="20">
        <v>13454.73</v>
      </c>
      <c r="AA356" s="20" t="s">
        <v>2367</v>
      </c>
      <c r="AB356" s="20">
        <v>0</v>
      </c>
      <c r="AC356" s="20">
        <v>0</v>
      </c>
      <c r="AK356" s="20" t="s">
        <v>204</v>
      </c>
      <c r="AL356" s="20"/>
      <c r="AM356">
        <v>1</v>
      </c>
    </row>
    <row r="357" spans="1:39" x14ac:dyDescent="0.25">
      <c r="A357" s="20" t="s">
        <v>1575</v>
      </c>
      <c r="B357" s="20" t="s">
        <v>2191</v>
      </c>
      <c r="C357" s="20">
        <v>0</v>
      </c>
      <c r="E357" s="20" t="s">
        <v>1104</v>
      </c>
      <c r="F357" s="20" t="s">
        <v>2191</v>
      </c>
      <c r="G357" s="20">
        <v>3258</v>
      </c>
      <c r="I357" s="20" t="s">
        <v>3399</v>
      </c>
      <c r="J357" s="20">
        <v>2311.14</v>
      </c>
      <c r="AA357" s="20" t="s">
        <v>2368</v>
      </c>
      <c r="AB357" s="20">
        <v>0</v>
      </c>
      <c r="AC357" s="20">
        <v>0</v>
      </c>
      <c r="AK357" s="20" t="s">
        <v>442</v>
      </c>
      <c r="AL357" s="20">
        <v>2</v>
      </c>
      <c r="AM357">
        <v>10</v>
      </c>
    </row>
    <row r="358" spans="1:39" x14ac:dyDescent="0.25">
      <c r="A358" s="20" t="s">
        <v>2303</v>
      </c>
      <c r="B358" s="20" t="s">
        <v>2191</v>
      </c>
      <c r="C358" s="20">
        <v>0</v>
      </c>
      <c r="E358" s="20" t="s">
        <v>276</v>
      </c>
      <c r="F358" s="20" t="s">
        <v>2191</v>
      </c>
      <c r="G358" s="20">
        <v>0</v>
      </c>
      <c r="I358" s="20" t="s">
        <v>3403</v>
      </c>
      <c r="J358" s="20">
        <v>1663</v>
      </c>
      <c r="AA358" s="20" t="s">
        <v>1592</v>
      </c>
      <c r="AB358" s="20">
        <v>-7.87</v>
      </c>
      <c r="AC358" s="20">
        <v>4989.07</v>
      </c>
      <c r="AK358" s="20" t="s">
        <v>842</v>
      </c>
      <c r="AL358" s="20"/>
      <c r="AM358">
        <v>1</v>
      </c>
    </row>
    <row r="359" spans="1:39" x14ac:dyDescent="0.25">
      <c r="A359" s="20" t="s">
        <v>2304</v>
      </c>
      <c r="B359" s="20" t="s">
        <v>2191</v>
      </c>
      <c r="C359" s="20">
        <v>0</v>
      </c>
      <c r="E359" s="20" t="s">
        <v>1106</v>
      </c>
      <c r="F359" s="20" t="s">
        <v>2191</v>
      </c>
      <c r="G359" s="20">
        <v>0</v>
      </c>
      <c r="I359" s="20" t="s">
        <v>3401</v>
      </c>
      <c r="J359" s="20">
        <v>6608</v>
      </c>
      <c r="AA359" s="20" t="s">
        <v>1265</v>
      </c>
      <c r="AB359" s="20">
        <v>-61.79</v>
      </c>
      <c r="AC359" s="20">
        <v>1940.55</v>
      </c>
      <c r="AK359" s="20" t="s">
        <v>980</v>
      </c>
      <c r="AL359" s="20">
        <v>13</v>
      </c>
      <c r="AM359">
        <v>15</v>
      </c>
    </row>
    <row r="360" spans="1:39" x14ac:dyDescent="0.25">
      <c r="A360" s="20" t="s">
        <v>2305</v>
      </c>
      <c r="B360" s="20" t="s">
        <v>2191</v>
      </c>
      <c r="C360" s="20">
        <v>0</v>
      </c>
      <c r="E360" s="20" t="s">
        <v>2100</v>
      </c>
      <c r="F360" s="20" t="s">
        <v>2191</v>
      </c>
      <c r="G360" s="20">
        <v>0</v>
      </c>
      <c r="I360" s="20" t="s">
        <v>3398</v>
      </c>
      <c r="J360" s="20">
        <v>7587</v>
      </c>
      <c r="AA360" s="20" t="s">
        <v>1593</v>
      </c>
      <c r="AB360" s="20">
        <v>-97.78</v>
      </c>
      <c r="AC360" s="20">
        <v>0</v>
      </c>
      <c r="AK360" s="20" t="s">
        <v>1249</v>
      </c>
      <c r="AL360" s="20">
        <v>1</v>
      </c>
      <c r="AM360">
        <v>2</v>
      </c>
    </row>
    <row r="361" spans="1:39" x14ac:dyDescent="0.25">
      <c r="A361" s="20" t="s">
        <v>2306</v>
      </c>
      <c r="B361" s="20" t="s">
        <v>2191</v>
      </c>
      <c r="C361" s="20">
        <v>0</v>
      </c>
      <c r="E361" s="20" t="s">
        <v>1107</v>
      </c>
      <c r="F361" s="20" t="s">
        <v>2191</v>
      </c>
      <c r="G361" s="20">
        <v>17566</v>
      </c>
      <c r="I361" s="20" t="s">
        <v>3418</v>
      </c>
      <c r="J361" s="20">
        <v>3158</v>
      </c>
      <c r="AA361" s="20" t="s">
        <v>2006</v>
      </c>
      <c r="AB361" s="20">
        <v>0</v>
      </c>
      <c r="AC361" s="20">
        <v>0</v>
      </c>
      <c r="AK361" s="20" t="s">
        <v>578</v>
      </c>
      <c r="AL361" s="20">
        <v>1</v>
      </c>
      <c r="AM361">
        <v>4</v>
      </c>
    </row>
    <row r="362" spans="1:39" x14ac:dyDescent="0.25">
      <c r="A362" s="20" t="s">
        <v>2307</v>
      </c>
      <c r="B362" s="20" t="s">
        <v>2191</v>
      </c>
      <c r="C362" s="20">
        <v>0</v>
      </c>
      <c r="E362" s="20" t="s">
        <v>278</v>
      </c>
      <c r="F362" s="20" t="s">
        <v>2191</v>
      </c>
      <c r="G362" s="20">
        <v>0</v>
      </c>
      <c r="I362" s="20" t="s">
        <v>805</v>
      </c>
      <c r="J362" s="20">
        <v>10615</v>
      </c>
      <c r="AA362" s="20" t="s">
        <v>2370</v>
      </c>
      <c r="AB362" s="20">
        <v>0</v>
      </c>
      <c r="AC362" s="20">
        <v>0</v>
      </c>
      <c r="AK362" s="20" t="s">
        <v>799</v>
      </c>
      <c r="AL362" s="20">
        <v>0</v>
      </c>
      <c r="AM362">
        <v>4</v>
      </c>
    </row>
    <row r="363" spans="1:39" x14ac:dyDescent="0.25">
      <c r="A363" s="20" t="s">
        <v>1007</v>
      </c>
      <c r="B363" s="20" t="s">
        <v>2191</v>
      </c>
      <c r="C363" s="20">
        <v>0</v>
      </c>
      <c r="E363" s="20" t="s">
        <v>1109</v>
      </c>
      <c r="F363" s="20" t="s">
        <v>2191</v>
      </c>
      <c r="G363" s="20">
        <v>10361</v>
      </c>
      <c r="I363" s="20" t="s">
        <v>1430</v>
      </c>
      <c r="J363" s="20">
        <v>104891.41</v>
      </c>
      <c r="AA363" s="20" t="s">
        <v>2372</v>
      </c>
      <c r="AB363" s="20">
        <v>0</v>
      </c>
      <c r="AC363" s="20">
        <v>0</v>
      </c>
      <c r="AK363" s="20" t="s">
        <v>582</v>
      </c>
      <c r="AL363" s="20">
        <v>1</v>
      </c>
      <c r="AM363">
        <v>1</v>
      </c>
    </row>
    <row r="364" spans="1:39" x14ac:dyDescent="0.25">
      <c r="A364" s="20" t="s">
        <v>702</v>
      </c>
      <c r="B364" s="20" t="s">
        <v>2191</v>
      </c>
      <c r="C364" s="20">
        <v>0</v>
      </c>
      <c r="E364" s="20" t="s">
        <v>280</v>
      </c>
      <c r="F364" s="20" t="s">
        <v>2191</v>
      </c>
      <c r="G364" s="20">
        <v>3000</v>
      </c>
      <c r="I364" s="20" t="s">
        <v>988</v>
      </c>
      <c r="J364" s="20">
        <v>40695.64</v>
      </c>
      <c r="AA364" s="20" t="s">
        <v>1835</v>
      </c>
      <c r="AB364" s="20">
        <v>0</v>
      </c>
      <c r="AC364" s="20">
        <v>0</v>
      </c>
      <c r="AK364" s="20" t="s">
        <v>1793</v>
      </c>
      <c r="AL364" s="20">
        <v>0</v>
      </c>
      <c r="AM364">
        <v>2</v>
      </c>
    </row>
    <row r="365" spans="1:39" x14ac:dyDescent="0.25">
      <c r="A365" s="20" t="s">
        <v>1576</v>
      </c>
      <c r="B365" s="20" t="s">
        <v>2191</v>
      </c>
      <c r="C365" s="20">
        <v>0</v>
      </c>
      <c r="E365" s="20" t="s">
        <v>282</v>
      </c>
      <c r="F365" s="20" t="s">
        <v>2191</v>
      </c>
      <c r="G365" s="20">
        <v>0</v>
      </c>
      <c r="I365" s="20" t="s">
        <v>1070</v>
      </c>
      <c r="J365" s="20">
        <v>60672.19</v>
      </c>
      <c r="AA365" s="20" t="s">
        <v>2373</v>
      </c>
      <c r="AB365" s="20">
        <v>0</v>
      </c>
      <c r="AC365" s="20">
        <v>0</v>
      </c>
      <c r="AK365" s="20" t="s">
        <v>100</v>
      </c>
      <c r="AL365" s="20">
        <v>0</v>
      </c>
      <c r="AM365">
        <v>3</v>
      </c>
    </row>
    <row r="366" spans="1:39" x14ac:dyDescent="0.25">
      <c r="A366" s="20" t="s">
        <v>2308</v>
      </c>
      <c r="B366" s="20" t="s">
        <v>2191</v>
      </c>
      <c r="C366" s="20">
        <v>0</v>
      </c>
      <c r="E366" s="20" t="s">
        <v>2101</v>
      </c>
      <c r="F366" s="20" t="s">
        <v>2191</v>
      </c>
      <c r="G366" s="20">
        <v>0</v>
      </c>
      <c r="AA366" s="20" t="s">
        <v>2093</v>
      </c>
      <c r="AB366" s="20">
        <v>0</v>
      </c>
      <c r="AC366" s="20">
        <v>0</v>
      </c>
      <c r="AK366" s="20" t="s">
        <v>385</v>
      </c>
      <c r="AL366" s="20">
        <v>3</v>
      </c>
      <c r="AM366">
        <v>13</v>
      </c>
    </row>
    <row r="367" spans="1:39" x14ac:dyDescent="0.25">
      <c r="A367" s="20" t="s">
        <v>2167</v>
      </c>
      <c r="B367" s="20" t="s">
        <v>2191</v>
      </c>
      <c r="C367" s="20">
        <v>0</v>
      </c>
      <c r="E367" s="20" t="s">
        <v>241</v>
      </c>
      <c r="F367" s="20" t="s">
        <v>2191</v>
      </c>
      <c r="G367" s="20">
        <v>15776</v>
      </c>
      <c r="AA367" s="20" t="s">
        <v>2374</v>
      </c>
      <c r="AB367" s="20">
        <v>0</v>
      </c>
      <c r="AC367" s="20">
        <v>0</v>
      </c>
      <c r="AK367" s="20" t="s">
        <v>213</v>
      </c>
      <c r="AL367" s="20"/>
      <c r="AM367">
        <v>1</v>
      </c>
    </row>
    <row r="368" spans="1:39" x14ac:dyDescent="0.25">
      <c r="A368" s="20" t="s">
        <v>604</v>
      </c>
      <c r="B368" s="20" t="s">
        <v>2191</v>
      </c>
      <c r="C368" s="20">
        <v>0</v>
      </c>
      <c r="E368" s="20" t="s">
        <v>2076</v>
      </c>
      <c r="F368" s="20" t="s">
        <v>2191</v>
      </c>
      <c r="G368" s="20">
        <v>0</v>
      </c>
      <c r="AA368" s="20" t="s">
        <v>1200</v>
      </c>
      <c r="AB368" s="20">
        <v>1332335.6499999999</v>
      </c>
      <c r="AC368" s="20">
        <v>425768.48</v>
      </c>
      <c r="AK368" s="20" t="s">
        <v>671</v>
      </c>
      <c r="AL368" s="20">
        <v>2</v>
      </c>
      <c r="AM368">
        <v>5</v>
      </c>
    </row>
    <row r="369" spans="1:39" x14ac:dyDescent="0.25">
      <c r="A369" s="20" t="s">
        <v>2309</v>
      </c>
      <c r="B369" s="20" t="s">
        <v>2191</v>
      </c>
      <c r="C369" s="20">
        <v>0</v>
      </c>
      <c r="E369" s="20" t="s">
        <v>252</v>
      </c>
      <c r="F369" s="20" t="s">
        <v>2191</v>
      </c>
      <c r="G369" s="20">
        <v>12165.13</v>
      </c>
      <c r="AA369" s="20" t="s">
        <v>1098</v>
      </c>
      <c r="AB369" s="20">
        <v>-362.5</v>
      </c>
      <c r="AC369" s="20">
        <v>64638.41</v>
      </c>
      <c r="AK369" s="20" t="s">
        <v>1814</v>
      </c>
      <c r="AL369" s="20">
        <v>0</v>
      </c>
      <c r="AM369">
        <v>4</v>
      </c>
    </row>
    <row r="370" spans="1:39" x14ac:dyDescent="0.25">
      <c r="A370" s="20" t="s">
        <v>2310</v>
      </c>
      <c r="B370" s="20" t="s">
        <v>2191</v>
      </c>
      <c r="C370" s="20">
        <v>0</v>
      </c>
      <c r="E370" s="20" t="s">
        <v>1112</v>
      </c>
      <c r="F370" s="20" t="s">
        <v>2191</v>
      </c>
      <c r="G370" s="20">
        <v>0</v>
      </c>
      <c r="AA370" s="20" t="s">
        <v>2094</v>
      </c>
      <c r="AB370" s="20">
        <v>0</v>
      </c>
      <c r="AC370" s="20">
        <v>0</v>
      </c>
      <c r="AK370" s="20" t="s">
        <v>1809</v>
      </c>
      <c r="AL370" s="20"/>
      <c r="AM370">
        <v>1</v>
      </c>
    </row>
    <row r="371" spans="1:39" x14ac:dyDescent="0.25">
      <c r="A371" s="20" t="s">
        <v>2311</v>
      </c>
      <c r="B371" s="20" t="s">
        <v>2191</v>
      </c>
      <c r="C371" s="20">
        <v>0</v>
      </c>
      <c r="E371" s="20" t="s">
        <v>285</v>
      </c>
      <c r="F371" s="20" t="s">
        <v>2191</v>
      </c>
      <c r="G371" s="20">
        <v>0</v>
      </c>
      <c r="AA371" s="20" t="s">
        <v>2375</v>
      </c>
      <c r="AB371" s="20">
        <v>0</v>
      </c>
      <c r="AC371" s="20">
        <v>0</v>
      </c>
      <c r="AK371" s="20" t="s">
        <v>2097</v>
      </c>
      <c r="AL371" s="20">
        <v>0</v>
      </c>
      <c r="AM371">
        <v>3</v>
      </c>
    </row>
    <row r="372" spans="1:39" x14ac:dyDescent="0.25">
      <c r="A372" s="20" t="s">
        <v>1829</v>
      </c>
      <c r="B372" s="20" t="s">
        <v>2191</v>
      </c>
      <c r="C372" s="20">
        <v>0</v>
      </c>
      <c r="E372" s="20" t="s">
        <v>287</v>
      </c>
      <c r="F372" s="20" t="s">
        <v>2191</v>
      </c>
      <c r="G372" s="20">
        <v>40277.089999999997</v>
      </c>
      <c r="AA372" s="20" t="s">
        <v>2376</v>
      </c>
      <c r="AB372" s="20">
        <v>0</v>
      </c>
      <c r="AC372" s="20">
        <v>0</v>
      </c>
      <c r="AK372" s="20" t="s">
        <v>2024</v>
      </c>
      <c r="AL372" s="20"/>
      <c r="AM372">
        <v>1</v>
      </c>
    </row>
    <row r="373" spans="1:39" x14ac:dyDescent="0.25">
      <c r="A373" s="20" t="s">
        <v>2168</v>
      </c>
      <c r="B373" s="20" t="s">
        <v>2191</v>
      </c>
      <c r="C373" s="20">
        <v>0</v>
      </c>
      <c r="E373" s="20" t="s">
        <v>2636</v>
      </c>
      <c r="F373" s="20" t="s">
        <v>2191</v>
      </c>
      <c r="G373" s="20">
        <v>6683</v>
      </c>
      <c r="AA373" s="20" t="s">
        <v>608</v>
      </c>
      <c r="AB373" s="20">
        <v>7417.26</v>
      </c>
      <c r="AC373" s="20">
        <v>79481.48</v>
      </c>
      <c r="AK373" s="20" t="s">
        <v>2988</v>
      </c>
      <c r="AL373" s="20"/>
      <c r="AM373">
        <v>1</v>
      </c>
    </row>
    <row r="374" spans="1:39" x14ac:dyDescent="0.25">
      <c r="A374" s="20" t="s">
        <v>2312</v>
      </c>
      <c r="B374" s="20" t="s">
        <v>2191</v>
      </c>
      <c r="C374" s="20">
        <v>0</v>
      </c>
      <c r="E374" s="20" t="s">
        <v>289</v>
      </c>
      <c r="F374" s="20" t="s">
        <v>2191</v>
      </c>
      <c r="G374" s="20">
        <v>51302.33</v>
      </c>
      <c r="AA374" s="20" t="s">
        <v>1594</v>
      </c>
      <c r="AB374" s="20">
        <v>-3019.7</v>
      </c>
      <c r="AC374" s="20">
        <v>0</v>
      </c>
      <c r="AK374" s="20" t="s">
        <v>2989</v>
      </c>
      <c r="AL374" s="20">
        <v>0</v>
      </c>
      <c r="AM374">
        <v>3</v>
      </c>
    </row>
    <row r="375" spans="1:39" x14ac:dyDescent="0.25">
      <c r="A375" s="20" t="s">
        <v>249</v>
      </c>
      <c r="B375" s="20" t="s">
        <v>2191</v>
      </c>
      <c r="C375" s="20">
        <v>0</v>
      </c>
      <c r="E375" s="20" t="s">
        <v>1113</v>
      </c>
      <c r="F375" s="20" t="s">
        <v>2191</v>
      </c>
      <c r="G375" s="20">
        <v>0</v>
      </c>
      <c r="AA375" s="20" t="s">
        <v>2377</v>
      </c>
      <c r="AB375" s="20">
        <v>0</v>
      </c>
      <c r="AC375" s="20">
        <v>0</v>
      </c>
      <c r="AK375" s="20" t="s">
        <v>2991</v>
      </c>
      <c r="AL375" s="20">
        <v>4</v>
      </c>
      <c r="AM375">
        <v>8</v>
      </c>
    </row>
    <row r="376" spans="1:39" x14ac:dyDescent="0.25">
      <c r="A376" s="20" t="s">
        <v>416</v>
      </c>
      <c r="B376" s="20" t="s">
        <v>2191</v>
      </c>
      <c r="C376" s="20">
        <v>5028.9799999999996</v>
      </c>
      <c r="E376" s="20" t="s">
        <v>291</v>
      </c>
      <c r="F376" s="20" t="s">
        <v>2191</v>
      </c>
      <c r="G376" s="20">
        <v>6076</v>
      </c>
      <c r="AA376" s="20" t="s">
        <v>1595</v>
      </c>
      <c r="AB376" s="20">
        <v>-358.17</v>
      </c>
      <c r="AC376" s="20">
        <v>0</v>
      </c>
      <c r="AK376" s="20" t="s">
        <v>3002</v>
      </c>
      <c r="AL376" s="20">
        <v>1</v>
      </c>
      <c r="AM376">
        <v>3</v>
      </c>
    </row>
    <row r="377" spans="1:39" x14ac:dyDescent="0.25">
      <c r="A377" s="20" t="s">
        <v>894</v>
      </c>
      <c r="B377" s="20" t="s">
        <v>2191</v>
      </c>
      <c r="C377" s="20">
        <v>24428</v>
      </c>
      <c r="E377" s="20" t="s">
        <v>1115</v>
      </c>
      <c r="F377" s="20" t="s">
        <v>2191</v>
      </c>
      <c r="G377" s="20">
        <v>9201</v>
      </c>
      <c r="AA377" s="20" t="s">
        <v>1965</v>
      </c>
      <c r="AB377" s="20">
        <v>0</v>
      </c>
      <c r="AC377" s="20">
        <v>0</v>
      </c>
      <c r="AK377" s="20" t="s">
        <v>3009</v>
      </c>
      <c r="AL377" s="20">
        <v>1</v>
      </c>
      <c r="AM377">
        <v>4</v>
      </c>
    </row>
    <row r="378" spans="1:39" x14ac:dyDescent="0.25">
      <c r="A378" s="20" t="s">
        <v>2313</v>
      </c>
      <c r="B378" s="20" t="s">
        <v>2191</v>
      </c>
      <c r="C378" s="20">
        <v>0</v>
      </c>
      <c r="E378" s="20" t="s">
        <v>1211</v>
      </c>
      <c r="F378" s="20" t="s">
        <v>2191</v>
      </c>
      <c r="G378" s="20">
        <v>756</v>
      </c>
      <c r="AA378" s="20" t="s">
        <v>1596</v>
      </c>
      <c r="AB378" s="20">
        <v>-1605.81</v>
      </c>
      <c r="AC378" s="20">
        <v>24226.38</v>
      </c>
      <c r="AK378" s="20" t="s">
        <v>3000</v>
      </c>
      <c r="AL378" s="20">
        <v>1</v>
      </c>
      <c r="AM378">
        <v>1</v>
      </c>
    </row>
    <row r="379" spans="1:39" x14ac:dyDescent="0.25">
      <c r="A379" s="20" t="s">
        <v>2314</v>
      </c>
      <c r="B379" s="20" t="s">
        <v>2191</v>
      </c>
      <c r="C379" s="20">
        <v>0</v>
      </c>
      <c r="E379" s="20" t="s">
        <v>1213</v>
      </c>
      <c r="F379" s="20" t="s">
        <v>2191</v>
      </c>
      <c r="G379" s="20">
        <v>0</v>
      </c>
      <c r="AA379" s="20" t="s">
        <v>110</v>
      </c>
      <c r="AB379" s="20">
        <v>243014.39</v>
      </c>
      <c r="AC379" s="20">
        <v>216443.8</v>
      </c>
      <c r="AK379" s="20" t="s">
        <v>3013</v>
      </c>
      <c r="AL379" s="20">
        <v>1</v>
      </c>
      <c r="AM379">
        <v>1</v>
      </c>
    </row>
    <row r="380" spans="1:39" x14ac:dyDescent="0.25">
      <c r="A380" s="20" t="s">
        <v>1577</v>
      </c>
      <c r="B380" s="20" t="s">
        <v>2191</v>
      </c>
      <c r="C380" s="20">
        <v>0</v>
      </c>
      <c r="E380" s="20" t="s">
        <v>1117</v>
      </c>
      <c r="F380" s="20" t="s">
        <v>2191</v>
      </c>
      <c r="G380" s="20">
        <v>0</v>
      </c>
      <c r="AA380" s="20" t="s">
        <v>1908</v>
      </c>
      <c r="AB380" s="20">
        <v>0</v>
      </c>
      <c r="AC380" s="20">
        <v>0</v>
      </c>
      <c r="AK380" s="20" t="s">
        <v>3005</v>
      </c>
      <c r="AL380" s="20"/>
      <c r="AM380">
        <v>1</v>
      </c>
    </row>
    <row r="381" spans="1:39" x14ac:dyDescent="0.25">
      <c r="A381" s="20" t="s">
        <v>2315</v>
      </c>
      <c r="B381" s="20" t="s">
        <v>2191</v>
      </c>
      <c r="C381" s="20">
        <v>0</v>
      </c>
      <c r="E381" s="20" t="s">
        <v>1119</v>
      </c>
      <c r="F381" s="20" t="s">
        <v>2191</v>
      </c>
      <c r="G381" s="20">
        <v>0</v>
      </c>
      <c r="AA381" s="20" t="s">
        <v>258</v>
      </c>
      <c r="AB381" s="20">
        <v>-2447.48</v>
      </c>
      <c r="AC381" s="20">
        <v>27.18</v>
      </c>
      <c r="AK381" s="20" t="s">
        <v>3017</v>
      </c>
      <c r="AL381" s="20">
        <v>1</v>
      </c>
      <c r="AM381">
        <v>3</v>
      </c>
    </row>
    <row r="382" spans="1:39" x14ac:dyDescent="0.25">
      <c r="A382" s="20" t="s">
        <v>2316</v>
      </c>
      <c r="B382" s="20" t="s">
        <v>2191</v>
      </c>
      <c r="C382" s="20">
        <v>0</v>
      </c>
      <c r="E382" s="20" t="s">
        <v>1215</v>
      </c>
      <c r="F382" s="20" t="s">
        <v>2191</v>
      </c>
      <c r="G382" s="20">
        <v>19375</v>
      </c>
      <c r="AA382" s="20" t="s">
        <v>2378</v>
      </c>
      <c r="AB382" s="20">
        <v>0</v>
      </c>
      <c r="AC382" s="20">
        <v>0</v>
      </c>
      <c r="AK382" s="20" t="s">
        <v>3033</v>
      </c>
      <c r="AL382" s="20">
        <v>3</v>
      </c>
      <c r="AM382">
        <v>9</v>
      </c>
    </row>
    <row r="383" spans="1:39" x14ac:dyDescent="0.25">
      <c r="A383" s="20" t="s">
        <v>1903</v>
      </c>
      <c r="B383" s="20" t="s">
        <v>2191</v>
      </c>
      <c r="C383" s="20">
        <v>0</v>
      </c>
      <c r="E383" s="20" t="s">
        <v>2104</v>
      </c>
      <c r="F383" s="20" t="s">
        <v>2191</v>
      </c>
      <c r="G383" s="20">
        <v>0</v>
      </c>
      <c r="AA383" s="20" t="s">
        <v>2379</v>
      </c>
      <c r="AB383" s="20">
        <v>0</v>
      </c>
      <c r="AC383" s="20">
        <v>0</v>
      </c>
      <c r="AK383" s="20" t="s">
        <v>3023</v>
      </c>
      <c r="AL383" s="20">
        <v>1</v>
      </c>
      <c r="AM383">
        <v>2</v>
      </c>
    </row>
    <row r="384" spans="1:39" x14ac:dyDescent="0.25">
      <c r="A384" s="20" t="s">
        <v>2317</v>
      </c>
      <c r="B384" s="20" t="s">
        <v>2191</v>
      </c>
      <c r="C384" s="20">
        <v>0</v>
      </c>
      <c r="E384" s="20" t="s">
        <v>2078</v>
      </c>
      <c r="F384" s="20" t="s">
        <v>2191</v>
      </c>
      <c r="G384" s="20">
        <v>0</v>
      </c>
      <c r="AA384" s="20" t="s">
        <v>1966</v>
      </c>
      <c r="AB384" s="20">
        <v>0</v>
      </c>
      <c r="AC384" s="20">
        <v>0</v>
      </c>
      <c r="AK384" s="20" t="s">
        <v>3041</v>
      </c>
      <c r="AL384" s="20">
        <v>1</v>
      </c>
      <c r="AM384">
        <v>3</v>
      </c>
    </row>
    <row r="385" spans="1:39" x14ac:dyDescent="0.25">
      <c r="A385" s="20" t="s">
        <v>1084</v>
      </c>
      <c r="B385" s="20" t="s">
        <v>2191</v>
      </c>
      <c r="C385" s="20">
        <v>2440.6</v>
      </c>
      <c r="E385" s="20" t="s">
        <v>1217</v>
      </c>
      <c r="F385" s="20" t="s">
        <v>2191</v>
      </c>
      <c r="G385" s="20">
        <v>0</v>
      </c>
      <c r="AA385" s="20" t="s">
        <v>2380</v>
      </c>
      <c r="AB385" s="20">
        <v>0</v>
      </c>
      <c r="AC385" s="20">
        <v>0</v>
      </c>
      <c r="AK385" s="20" t="s">
        <v>3043</v>
      </c>
      <c r="AL385" s="20"/>
      <c r="AM385">
        <v>1</v>
      </c>
    </row>
    <row r="386" spans="1:39" x14ac:dyDescent="0.25">
      <c r="A386" s="20" t="s">
        <v>1258</v>
      </c>
      <c r="B386" s="20" t="s">
        <v>2191</v>
      </c>
      <c r="C386" s="20">
        <v>0</v>
      </c>
      <c r="E386" s="20" t="s">
        <v>2079</v>
      </c>
      <c r="F386" s="20" t="s">
        <v>2191</v>
      </c>
      <c r="G386" s="20">
        <v>0</v>
      </c>
      <c r="AA386" s="20" t="s">
        <v>2381</v>
      </c>
      <c r="AB386" s="20">
        <v>0</v>
      </c>
      <c r="AC386" s="20">
        <v>0</v>
      </c>
      <c r="AK386" s="20" t="s">
        <v>3044</v>
      </c>
      <c r="AL386" s="20">
        <v>0</v>
      </c>
      <c r="AM386">
        <v>5</v>
      </c>
    </row>
    <row r="387" spans="1:39" x14ac:dyDescent="0.25">
      <c r="A387" s="20" t="s">
        <v>2318</v>
      </c>
      <c r="B387" s="20" t="s">
        <v>2191</v>
      </c>
      <c r="C387" s="20">
        <v>0</v>
      </c>
      <c r="E387" s="20" t="s">
        <v>433</v>
      </c>
      <c r="F387" s="20" t="s">
        <v>2191</v>
      </c>
      <c r="G387" s="20">
        <v>0</v>
      </c>
      <c r="AA387" s="20" t="s">
        <v>2382</v>
      </c>
      <c r="AB387" s="20">
        <v>0</v>
      </c>
      <c r="AC387" s="20">
        <v>0</v>
      </c>
      <c r="AK387" s="20" t="s">
        <v>3054</v>
      </c>
      <c r="AL387" s="20">
        <v>13</v>
      </c>
      <c r="AM387">
        <v>20</v>
      </c>
    </row>
    <row r="388" spans="1:39" x14ac:dyDescent="0.25">
      <c r="A388" s="20" t="s">
        <v>2319</v>
      </c>
      <c r="B388" s="20" t="s">
        <v>2191</v>
      </c>
      <c r="C388" s="20">
        <v>0</v>
      </c>
      <c r="E388" s="20" t="s">
        <v>435</v>
      </c>
      <c r="F388" s="20" t="s">
        <v>2191</v>
      </c>
      <c r="G388" s="20">
        <v>25853.02</v>
      </c>
      <c r="AA388" s="20" t="s">
        <v>1597</v>
      </c>
      <c r="AB388" s="20">
        <v>-2567.86</v>
      </c>
      <c r="AC388" s="20">
        <v>0</v>
      </c>
      <c r="AK388" s="20" t="s">
        <v>3056</v>
      </c>
      <c r="AL388" s="20">
        <v>10</v>
      </c>
      <c r="AM388">
        <v>36</v>
      </c>
    </row>
    <row r="389" spans="1:39" x14ac:dyDescent="0.25">
      <c r="A389" s="20" t="s">
        <v>2320</v>
      </c>
      <c r="B389" s="20" t="s">
        <v>2191</v>
      </c>
      <c r="C389" s="20">
        <v>0</v>
      </c>
      <c r="E389" s="20" t="s">
        <v>437</v>
      </c>
      <c r="F389" s="20" t="s">
        <v>2191</v>
      </c>
      <c r="G389" s="20">
        <v>0</v>
      </c>
      <c r="AA389" s="20" t="s">
        <v>2126</v>
      </c>
      <c r="AB389" s="20">
        <v>0</v>
      </c>
      <c r="AC389" s="20">
        <v>0</v>
      </c>
      <c r="AK389" s="20" t="s">
        <v>3051</v>
      </c>
      <c r="AL389" s="20">
        <v>0</v>
      </c>
      <c r="AM389">
        <v>2</v>
      </c>
    </row>
    <row r="390" spans="1:39" x14ac:dyDescent="0.25">
      <c r="A390" s="20" t="s">
        <v>1962</v>
      </c>
      <c r="B390" s="20" t="s">
        <v>2191</v>
      </c>
      <c r="C390" s="20">
        <v>0</v>
      </c>
      <c r="E390" s="20" t="s">
        <v>1862</v>
      </c>
      <c r="F390" s="20" t="s">
        <v>2191</v>
      </c>
      <c r="G390" s="20">
        <v>0</v>
      </c>
      <c r="AA390" s="20" t="s">
        <v>2383</v>
      </c>
      <c r="AB390" s="20">
        <v>-7739.55</v>
      </c>
      <c r="AC390" s="20">
        <v>0</v>
      </c>
      <c r="AK390" s="20" t="s">
        <v>3062</v>
      </c>
      <c r="AL390" s="20">
        <v>1</v>
      </c>
      <c r="AM390">
        <v>7</v>
      </c>
    </row>
    <row r="391" spans="1:39" x14ac:dyDescent="0.25">
      <c r="A391" s="20" t="s">
        <v>2321</v>
      </c>
      <c r="B391" s="20" t="s">
        <v>2191</v>
      </c>
      <c r="C391" s="20">
        <v>0</v>
      </c>
      <c r="E391" s="20" t="s">
        <v>2639</v>
      </c>
      <c r="F391" s="20" t="s">
        <v>2191</v>
      </c>
      <c r="G391" s="20">
        <v>0</v>
      </c>
      <c r="AA391" s="20" t="s">
        <v>2385</v>
      </c>
      <c r="AB391" s="20">
        <v>0</v>
      </c>
      <c r="AC391" s="20">
        <v>0</v>
      </c>
      <c r="AK391" s="20" t="s">
        <v>3061</v>
      </c>
      <c r="AL391" s="20">
        <v>1</v>
      </c>
      <c r="AM391">
        <v>5</v>
      </c>
    </row>
    <row r="392" spans="1:39" x14ac:dyDescent="0.25">
      <c r="A392" s="20" t="s">
        <v>1830</v>
      </c>
      <c r="B392" s="20" t="s">
        <v>2191</v>
      </c>
      <c r="C392" s="20">
        <v>0</v>
      </c>
      <c r="E392" s="20" t="s">
        <v>439</v>
      </c>
      <c r="F392" s="20" t="s">
        <v>2191</v>
      </c>
      <c r="G392" s="20">
        <v>0</v>
      </c>
      <c r="AA392" s="20" t="s">
        <v>2386</v>
      </c>
      <c r="AB392" s="20">
        <v>0</v>
      </c>
      <c r="AC392" s="20">
        <v>0</v>
      </c>
      <c r="AK392" s="20" t="s">
        <v>3080</v>
      </c>
      <c r="AL392" s="20">
        <v>0</v>
      </c>
      <c r="AM392">
        <v>2</v>
      </c>
    </row>
    <row r="393" spans="1:39" x14ac:dyDescent="0.25">
      <c r="A393" s="20" t="s">
        <v>2322</v>
      </c>
      <c r="B393" s="20" t="s">
        <v>2191</v>
      </c>
      <c r="C393" s="20">
        <v>0</v>
      </c>
      <c r="E393" s="20" t="s">
        <v>441</v>
      </c>
      <c r="F393" s="20" t="s">
        <v>2191</v>
      </c>
      <c r="G393" s="20">
        <v>0</v>
      </c>
      <c r="AA393" s="20" t="s">
        <v>2387</v>
      </c>
      <c r="AB393" s="20">
        <v>0</v>
      </c>
      <c r="AC393" s="20">
        <v>0</v>
      </c>
      <c r="AK393" s="20" t="s">
        <v>3091</v>
      </c>
      <c r="AL393" s="20">
        <v>8</v>
      </c>
      <c r="AM393">
        <v>13</v>
      </c>
    </row>
    <row r="394" spans="1:39" x14ac:dyDescent="0.25">
      <c r="A394" s="20" t="s">
        <v>1086</v>
      </c>
      <c r="B394" s="20" t="s">
        <v>2191</v>
      </c>
      <c r="C394" s="20">
        <v>0</v>
      </c>
      <c r="E394" s="20" t="s">
        <v>2133</v>
      </c>
      <c r="F394" s="20" t="s">
        <v>2191</v>
      </c>
      <c r="G394" s="20">
        <v>0</v>
      </c>
      <c r="AA394" s="20" t="s">
        <v>1373</v>
      </c>
      <c r="AB394" s="20">
        <v>117603.83</v>
      </c>
      <c r="AC394" s="20">
        <v>685289.1</v>
      </c>
      <c r="AK394" s="20" t="s">
        <v>3111</v>
      </c>
      <c r="AL394" s="20">
        <v>2</v>
      </c>
      <c r="AM394">
        <v>4</v>
      </c>
    </row>
    <row r="395" spans="1:39" x14ac:dyDescent="0.25">
      <c r="A395" s="20" t="s">
        <v>418</v>
      </c>
      <c r="B395" s="20" t="s">
        <v>2191</v>
      </c>
      <c r="C395" s="20">
        <v>0</v>
      </c>
      <c r="E395" s="20" t="s">
        <v>443</v>
      </c>
      <c r="F395" s="20" t="s">
        <v>2191</v>
      </c>
      <c r="G395" s="20">
        <v>26584.75</v>
      </c>
      <c r="AA395" s="20" t="s">
        <v>2388</v>
      </c>
      <c r="AB395" s="20">
        <v>0</v>
      </c>
      <c r="AC395" s="20">
        <v>0</v>
      </c>
      <c r="AK395" s="20" t="s">
        <v>3085</v>
      </c>
      <c r="AL395" s="20">
        <v>1</v>
      </c>
    </row>
    <row r="396" spans="1:39" x14ac:dyDescent="0.25">
      <c r="A396" s="20" t="s">
        <v>2005</v>
      </c>
      <c r="B396" s="20" t="s">
        <v>2191</v>
      </c>
      <c r="C396" s="20">
        <v>0</v>
      </c>
      <c r="E396" s="20" t="s">
        <v>445</v>
      </c>
      <c r="F396" s="20" t="s">
        <v>2191</v>
      </c>
      <c r="G396" s="20">
        <v>48028</v>
      </c>
      <c r="AA396" s="20" t="s">
        <v>2389</v>
      </c>
      <c r="AB396" s="20">
        <v>0</v>
      </c>
      <c r="AC396" s="20">
        <v>0</v>
      </c>
      <c r="AK396" s="20" t="s">
        <v>3079</v>
      </c>
      <c r="AL396" s="20">
        <v>0</v>
      </c>
      <c r="AM396">
        <v>3</v>
      </c>
    </row>
    <row r="397" spans="1:39" x14ac:dyDescent="0.25">
      <c r="A397" s="20" t="s">
        <v>1087</v>
      </c>
      <c r="B397" s="20" t="s">
        <v>2191</v>
      </c>
      <c r="C397" s="20">
        <v>0</v>
      </c>
      <c r="E397" s="20" t="s">
        <v>434</v>
      </c>
      <c r="F397" s="20" t="s">
        <v>2191</v>
      </c>
      <c r="G397" s="20">
        <v>0</v>
      </c>
      <c r="AA397" s="20" t="s">
        <v>2390</v>
      </c>
      <c r="AB397" s="20">
        <v>0</v>
      </c>
      <c r="AC397" s="20">
        <v>0</v>
      </c>
      <c r="AK397" s="20" t="s">
        <v>3087</v>
      </c>
      <c r="AL397" s="20">
        <v>3</v>
      </c>
      <c r="AM397">
        <v>6</v>
      </c>
    </row>
    <row r="398" spans="1:39" x14ac:dyDescent="0.25">
      <c r="A398" s="20" t="s">
        <v>2323</v>
      </c>
      <c r="B398" s="20" t="s">
        <v>2191</v>
      </c>
      <c r="C398" s="20">
        <v>0</v>
      </c>
      <c r="E398" s="20" t="s">
        <v>446</v>
      </c>
      <c r="F398" s="20" t="s">
        <v>2191</v>
      </c>
      <c r="G398" s="20">
        <v>0</v>
      </c>
      <c r="AA398" s="20" t="s">
        <v>2391</v>
      </c>
      <c r="AB398" s="20">
        <v>0</v>
      </c>
      <c r="AC398" s="20">
        <v>0</v>
      </c>
      <c r="AK398" s="20" t="s">
        <v>3078</v>
      </c>
      <c r="AL398" s="20">
        <v>4</v>
      </c>
      <c r="AM398">
        <v>7</v>
      </c>
    </row>
    <row r="399" spans="1:39" x14ac:dyDescent="0.25">
      <c r="A399" s="20" t="s">
        <v>1578</v>
      </c>
      <c r="B399" s="20" t="s">
        <v>2191</v>
      </c>
      <c r="C399" s="20">
        <v>0</v>
      </c>
      <c r="E399" s="20" t="s">
        <v>447</v>
      </c>
      <c r="F399" s="20" t="s">
        <v>2191</v>
      </c>
      <c r="G399" s="20">
        <v>0</v>
      </c>
      <c r="AA399" s="20" t="s">
        <v>2392</v>
      </c>
      <c r="AB399" s="20">
        <v>0</v>
      </c>
      <c r="AC399" s="20">
        <v>0</v>
      </c>
      <c r="AK399" s="20" t="s">
        <v>3106</v>
      </c>
      <c r="AL399" s="20">
        <v>24</v>
      </c>
      <c r="AM399">
        <v>28</v>
      </c>
    </row>
    <row r="400" spans="1:39" x14ac:dyDescent="0.25">
      <c r="A400" s="20" t="s">
        <v>1579</v>
      </c>
      <c r="B400" s="20" t="s">
        <v>2191</v>
      </c>
      <c r="C400" s="20">
        <v>7765.64</v>
      </c>
      <c r="E400" s="20" t="s">
        <v>1881</v>
      </c>
      <c r="F400" s="20" t="s">
        <v>2191</v>
      </c>
      <c r="G400" s="20">
        <v>0</v>
      </c>
      <c r="AA400" s="20" t="s">
        <v>2007</v>
      </c>
      <c r="AB400" s="20">
        <v>0</v>
      </c>
      <c r="AC400" s="20">
        <v>0</v>
      </c>
      <c r="AK400" s="20" t="s">
        <v>3116</v>
      </c>
      <c r="AL400" s="20">
        <v>5</v>
      </c>
      <c r="AM400">
        <v>8</v>
      </c>
    </row>
    <row r="401" spans="1:39" x14ac:dyDescent="0.25">
      <c r="A401" s="20" t="s">
        <v>2324</v>
      </c>
      <c r="B401" s="20" t="s">
        <v>2191</v>
      </c>
      <c r="C401" s="20">
        <v>0</v>
      </c>
      <c r="E401" s="20" t="s">
        <v>449</v>
      </c>
      <c r="F401" s="20" t="s">
        <v>2191</v>
      </c>
      <c r="G401" s="20">
        <v>0</v>
      </c>
      <c r="AA401" s="20" t="s">
        <v>1967</v>
      </c>
      <c r="AB401" s="20">
        <v>0</v>
      </c>
      <c r="AC401" s="20">
        <v>0</v>
      </c>
      <c r="AK401" s="20" t="s">
        <v>3117</v>
      </c>
      <c r="AL401" s="20">
        <v>0</v>
      </c>
      <c r="AM401">
        <v>3</v>
      </c>
    </row>
    <row r="402" spans="1:39" x14ac:dyDescent="0.25">
      <c r="A402" s="20" t="s">
        <v>2325</v>
      </c>
      <c r="B402" s="20" t="s">
        <v>2191</v>
      </c>
      <c r="C402" s="20">
        <v>0</v>
      </c>
      <c r="E402" s="20" t="s">
        <v>450</v>
      </c>
      <c r="F402" s="20" t="s">
        <v>2191</v>
      </c>
      <c r="G402" s="20">
        <v>0</v>
      </c>
      <c r="AA402" s="20" t="s">
        <v>2393</v>
      </c>
      <c r="AB402" s="20">
        <v>0</v>
      </c>
      <c r="AC402" s="20">
        <v>0</v>
      </c>
      <c r="AK402" s="20" t="s">
        <v>3114</v>
      </c>
      <c r="AL402" s="20">
        <v>1</v>
      </c>
      <c r="AM402">
        <v>6</v>
      </c>
    </row>
    <row r="403" spans="1:39" x14ac:dyDescent="0.25">
      <c r="A403" s="20" t="s">
        <v>1580</v>
      </c>
      <c r="B403" s="20" t="s">
        <v>2191</v>
      </c>
      <c r="C403" s="20">
        <v>0</v>
      </c>
      <c r="E403" s="20" t="s">
        <v>245</v>
      </c>
      <c r="F403" s="20" t="s">
        <v>2191</v>
      </c>
      <c r="G403" s="20">
        <v>18220</v>
      </c>
      <c r="AA403" s="20" t="s">
        <v>2394</v>
      </c>
      <c r="AB403" s="20">
        <v>0</v>
      </c>
      <c r="AC403" s="20">
        <v>0</v>
      </c>
      <c r="AK403" s="20" t="s">
        <v>3122</v>
      </c>
      <c r="AL403" s="20">
        <v>3</v>
      </c>
      <c r="AM403">
        <v>8</v>
      </c>
    </row>
    <row r="404" spans="1:39" x14ac:dyDescent="0.25">
      <c r="A404" s="20" t="s">
        <v>2169</v>
      </c>
      <c r="B404" s="20" t="s">
        <v>2191</v>
      </c>
      <c r="C404" s="20">
        <v>0</v>
      </c>
      <c r="E404" s="20" t="s">
        <v>452</v>
      </c>
      <c r="F404" s="20" t="s">
        <v>2191</v>
      </c>
      <c r="G404" s="20">
        <v>0</v>
      </c>
      <c r="AA404" s="20" t="s">
        <v>2395</v>
      </c>
      <c r="AB404" s="20">
        <v>0</v>
      </c>
      <c r="AC404" s="20">
        <v>0</v>
      </c>
      <c r="AK404" s="20" t="s">
        <v>3113</v>
      </c>
      <c r="AL404" s="20">
        <v>0</v>
      </c>
      <c r="AM404">
        <v>2</v>
      </c>
    </row>
    <row r="405" spans="1:39" x14ac:dyDescent="0.25">
      <c r="A405" s="20" t="s">
        <v>2068</v>
      </c>
      <c r="B405" s="20" t="s">
        <v>2191</v>
      </c>
      <c r="C405" s="20">
        <v>0</v>
      </c>
      <c r="E405" s="20" t="s">
        <v>454</v>
      </c>
      <c r="F405" s="20" t="s">
        <v>2191</v>
      </c>
      <c r="G405" s="20">
        <v>0</v>
      </c>
      <c r="AA405" s="20" t="s">
        <v>1909</v>
      </c>
      <c r="AB405" s="20">
        <v>0</v>
      </c>
      <c r="AC405" s="20">
        <v>0</v>
      </c>
      <c r="AK405" s="20" t="s">
        <v>3132</v>
      </c>
      <c r="AL405" s="20">
        <v>1</v>
      </c>
      <c r="AM405">
        <v>2</v>
      </c>
    </row>
    <row r="406" spans="1:39" x14ac:dyDescent="0.25">
      <c r="A406" s="20" t="s">
        <v>2326</v>
      </c>
      <c r="B406" s="20" t="s">
        <v>2191</v>
      </c>
      <c r="C406" s="20">
        <v>0</v>
      </c>
      <c r="E406" s="20" t="s">
        <v>1882</v>
      </c>
      <c r="F406" s="20" t="s">
        <v>2191</v>
      </c>
      <c r="G406" s="20">
        <v>0</v>
      </c>
      <c r="AA406" s="20" t="s">
        <v>2095</v>
      </c>
      <c r="AB406" s="20">
        <v>0</v>
      </c>
      <c r="AC406" s="20">
        <v>0</v>
      </c>
      <c r="AK406" s="20" t="s">
        <v>3130</v>
      </c>
      <c r="AL406" s="20"/>
      <c r="AM406">
        <v>1</v>
      </c>
    </row>
    <row r="407" spans="1:39" x14ac:dyDescent="0.25">
      <c r="A407" s="20" t="s">
        <v>2092</v>
      </c>
      <c r="B407" s="20" t="s">
        <v>2191</v>
      </c>
      <c r="C407" s="20">
        <v>0</v>
      </c>
      <c r="E407" s="20" t="s">
        <v>455</v>
      </c>
      <c r="F407" s="20" t="s">
        <v>2191</v>
      </c>
      <c r="G407" s="20">
        <v>0</v>
      </c>
      <c r="AA407" s="20" t="s">
        <v>2396</v>
      </c>
      <c r="AB407" s="20">
        <v>0</v>
      </c>
      <c r="AC407" s="20">
        <v>0</v>
      </c>
      <c r="AK407" s="20" t="s">
        <v>3125</v>
      </c>
      <c r="AL407" s="20">
        <v>3</v>
      </c>
      <c r="AM407">
        <v>8</v>
      </c>
    </row>
    <row r="408" spans="1:39" x14ac:dyDescent="0.25">
      <c r="A408" s="20" t="s">
        <v>2327</v>
      </c>
      <c r="B408" s="20" t="s">
        <v>2191</v>
      </c>
      <c r="C408" s="20">
        <v>0</v>
      </c>
      <c r="E408" s="20" t="s">
        <v>457</v>
      </c>
      <c r="F408" s="20" t="s">
        <v>2191</v>
      </c>
      <c r="G408" s="20">
        <v>35858.5</v>
      </c>
      <c r="AA408" s="20" t="s">
        <v>260</v>
      </c>
      <c r="AB408" s="20">
        <v>6652.26</v>
      </c>
      <c r="AC408" s="20">
        <v>144499.72</v>
      </c>
      <c r="AK408" s="20" t="s">
        <v>3129</v>
      </c>
      <c r="AL408" s="20"/>
      <c r="AM408">
        <v>1</v>
      </c>
    </row>
    <row r="409" spans="1:39" x14ac:dyDescent="0.25">
      <c r="A409" s="20" t="s">
        <v>2328</v>
      </c>
      <c r="B409" s="20" t="s">
        <v>2191</v>
      </c>
      <c r="C409" s="20">
        <v>0</v>
      </c>
      <c r="E409" s="20" t="s">
        <v>1883</v>
      </c>
      <c r="F409" s="20" t="s">
        <v>2191</v>
      </c>
      <c r="G409" s="20">
        <v>0</v>
      </c>
      <c r="AA409" s="20" t="s">
        <v>1599</v>
      </c>
      <c r="AB409" s="20">
        <v>-14.23</v>
      </c>
      <c r="AC409" s="20">
        <v>0</v>
      </c>
      <c r="AK409" s="20" t="s">
        <v>3137</v>
      </c>
      <c r="AL409" s="20"/>
      <c r="AM409">
        <v>1</v>
      </c>
    </row>
    <row r="410" spans="1:39" x14ac:dyDescent="0.25">
      <c r="A410" s="20" t="s">
        <v>1581</v>
      </c>
      <c r="B410" s="20" t="s">
        <v>2191</v>
      </c>
      <c r="C410" s="20">
        <v>0</v>
      </c>
      <c r="E410" s="20" t="s">
        <v>1884</v>
      </c>
      <c r="F410" s="20" t="s">
        <v>2191</v>
      </c>
      <c r="G410" s="20">
        <v>0</v>
      </c>
      <c r="AA410" s="20" t="s">
        <v>1910</v>
      </c>
      <c r="AB410" s="20">
        <v>0</v>
      </c>
      <c r="AC410" s="20">
        <v>0</v>
      </c>
      <c r="AK410" s="20" t="s">
        <v>3145</v>
      </c>
      <c r="AL410" s="20">
        <v>1</v>
      </c>
      <c r="AM410">
        <v>3</v>
      </c>
    </row>
    <row r="411" spans="1:39" x14ac:dyDescent="0.25">
      <c r="A411" s="20" t="s">
        <v>1831</v>
      </c>
      <c r="B411" s="20" t="s">
        <v>2191</v>
      </c>
      <c r="C411" s="20">
        <v>0</v>
      </c>
      <c r="E411" s="20" t="s">
        <v>58</v>
      </c>
      <c r="F411" s="20" t="s">
        <v>2191</v>
      </c>
      <c r="G411" s="20">
        <v>3024</v>
      </c>
      <c r="AA411" s="20" t="s">
        <v>2397</v>
      </c>
      <c r="AB411" s="20">
        <v>0</v>
      </c>
      <c r="AC411" s="20">
        <v>0</v>
      </c>
      <c r="AK411" s="20" t="s">
        <v>3142</v>
      </c>
      <c r="AL411" s="20">
        <v>0</v>
      </c>
      <c r="AM411">
        <v>2</v>
      </c>
    </row>
    <row r="412" spans="1:39" x14ac:dyDescent="0.25">
      <c r="A412" s="20" t="s">
        <v>1090</v>
      </c>
      <c r="B412" s="20" t="s">
        <v>2191</v>
      </c>
      <c r="C412" s="20">
        <v>0</v>
      </c>
      <c r="E412" s="20" t="s">
        <v>462</v>
      </c>
      <c r="F412" s="20" t="s">
        <v>2191</v>
      </c>
      <c r="G412" s="20">
        <v>0</v>
      </c>
      <c r="AA412" s="20" t="s">
        <v>2398</v>
      </c>
      <c r="AB412" s="20">
        <v>0</v>
      </c>
      <c r="AC412" s="20">
        <v>0</v>
      </c>
      <c r="AK412" s="20" t="s">
        <v>3138</v>
      </c>
      <c r="AL412" s="20">
        <v>2</v>
      </c>
      <c r="AM412">
        <v>6</v>
      </c>
    </row>
    <row r="413" spans="1:39" x14ac:dyDescent="0.25">
      <c r="A413" s="20" t="s">
        <v>1832</v>
      </c>
      <c r="B413" s="20" t="s">
        <v>2191</v>
      </c>
      <c r="C413" s="20">
        <v>0</v>
      </c>
      <c r="E413" s="20" t="s">
        <v>463</v>
      </c>
      <c r="F413" s="20" t="s">
        <v>2191</v>
      </c>
      <c r="G413" s="20">
        <v>0</v>
      </c>
      <c r="AA413" s="20" t="s">
        <v>2399</v>
      </c>
      <c r="AB413" s="20">
        <v>0</v>
      </c>
      <c r="AC413" s="20">
        <v>0</v>
      </c>
      <c r="AK413" s="20" t="s">
        <v>3151</v>
      </c>
      <c r="AL413" s="20">
        <v>0</v>
      </c>
      <c r="AM413">
        <v>2</v>
      </c>
    </row>
    <row r="414" spans="1:39" x14ac:dyDescent="0.25">
      <c r="A414" s="20" t="s">
        <v>1582</v>
      </c>
      <c r="B414" s="20" t="s">
        <v>2191</v>
      </c>
      <c r="C414" s="20">
        <v>0</v>
      </c>
      <c r="E414" s="20" t="s">
        <v>465</v>
      </c>
      <c r="F414" s="20" t="s">
        <v>2191</v>
      </c>
      <c r="G414" s="20">
        <v>0</v>
      </c>
      <c r="AA414" s="20" t="s">
        <v>424</v>
      </c>
      <c r="AB414" s="20">
        <v>40317.919999999998</v>
      </c>
      <c r="AC414" s="20">
        <v>85828.27</v>
      </c>
      <c r="AK414" s="20" t="s">
        <v>3153</v>
      </c>
      <c r="AL414" s="20">
        <v>3</v>
      </c>
      <c r="AM414">
        <v>3</v>
      </c>
    </row>
    <row r="415" spans="1:39" x14ac:dyDescent="0.25">
      <c r="A415" s="20" t="s">
        <v>2329</v>
      </c>
      <c r="B415" s="20" t="s">
        <v>2191</v>
      </c>
      <c r="C415" s="20">
        <v>0</v>
      </c>
      <c r="E415" s="20" t="s">
        <v>1282</v>
      </c>
      <c r="F415" s="20" t="s">
        <v>2191</v>
      </c>
      <c r="G415" s="20">
        <v>0</v>
      </c>
      <c r="AA415" s="20" t="s">
        <v>1836</v>
      </c>
      <c r="AB415" s="20">
        <v>0</v>
      </c>
      <c r="AC415" s="20">
        <v>0</v>
      </c>
      <c r="AK415" s="20" t="s">
        <v>3166</v>
      </c>
      <c r="AL415" s="20">
        <v>6</v>
      </c>
      <c r="AM415">
        <v>15</v>
      </c>
    </row>
    <row r="416" spans="1:39" x14ac:dyDescent="0.25">
      <c r="A416" s="20" t="s">
        <v>2330</v>
      </c>
      <c r="B416" s="20" t="s">
        <v>2191</v>
      </c>
      <c r="C416" s="20">
        <v>0</v>
      </c>
      <c r="E416" s="20" t="s">
        <v>1886</v>
      </c>
      <c r="F416" s="20" t="s">
        <v>2191</v>
      </c>
      <c r="G416" s="20">
        <v>0</v>
      </c>
      <c r="AA416" s="20" t="s">
        <v>1837</v>
      </c>
      <c r="AB416" s="20">
        <v>0</v>
      </c>
      <c r="AC416" s="20">
        <v>0</v>
      </c>
      <c r="AK416" s="20" t="s">
        <v>3167</v>
      </c>
      <c r="AL416" s="20"/>
      <c r="AM416">
        <v>1</v>
      </c>
    </row>
    <row r="417" spans="1:39" x14ac:dyDescent="0.25">
      <c r="A417" s="20" t="s">
        <v>420</v>
      </c>
      <c r="B417" s="20" t="s">
        <v>2191</v>
      </c>
      <c r="C417" s="20">
        <v>0</v>
      </c>
      <c r="E417" s="20" t="s">
        <v>390</v>
      </c>
      <c r="F417" s="20" t="s">
        <v>2191</v>
      </c>
      <c r="G417" s="20">
        <v>0</v>
      </c>
      <c r="AA417" s="20" t="s">
        <v>2401</v>
      </c>
      <c r="AB417" s="20">
        <v>0</v>
      </c>
      <c r="AC417" s="20">
        <v>0</v>
      </c>
      <c r="AK417" s="20" t="s">
        <v>3168</v>
      </c>
      <c r="AL417" s="20">
        <v>2</v>
      </c>
      <c r="AM417">
        <v>2</v>
      </c>
    </row>
    <row r="418" spans="1:39" x14ac:dyDescent="0.25">
      <c r="A418" s="20" t="s">
        <v>1833</v>
      </c>
      <c r="B418" s="20" t="s">
        <v>2191</v>
      </c>
      <c r="C418" s="20">
        <v>0</v>
      </c>
      <c r="E418" s="20" t="s">
        <v>2122</v>
      </c>
      <c r="F418" s="20" t="s">
        <v>2191</v>
      </c>
      <c r="G418" s="20">
        <v>0</v>
      </c>
      <c r="AA418" s="20" t="s">
        <v>2402</v>
      </c>
      <c r="AB418" s="20">
        <v>0</v>
      </c>
      <c r="AC418" s="20">
        <v>0</v>
      </c>
      <c r="AK418" s="20" t="s">
        <v>3181</v>
      </c>
      <c r="AL418" s="20">
        <v>7</v>
      </c>
      <c r="AM418">
        <v>16</v>
      </c>
    </row>
    <row r="419" spans="1:39" x14ac:dyDescent="0.25">
      <c r="A419" s="20" t="s">
        <v>2123</v>
      </c>
      <c r="B419" s="20" t="s">
        <v>2191</v>
      </c>
      <c r="C419" s="20">
        <v>0</v>
      </c>
      <c r="E419" s="20" t="s">
        <v>2640</v>
      </c>
      <c r="F419" s="20" t="s">
        <v>2191</v>
      </c>
      <c r="G419" s="20">
        <v>0</v>
      </c>
      <c r="AA419" s="20" t="s">
        <v>2403</v>
      </c>
      <c r="AB419" s="20">
        <v>0</v>
      </c>
      <c r="AC419" s="20">
        <v>0</v>
      </c>
      <c r="AK419" s="20" t="s">
        <v>3176</v>
      </c>
      <c r="AL419" s="20">
        <v>2</v>
      </c>
      <c r="AM419">
        <v>4</v>
      </c>
    </row>
    <row r="420" spans="1:39" x14ac:dyDescent="0.25">
      <c r="A420" s="20" t="s">
        <v>2331</v>
      </c>
      <c r="B420" s="20" t="s">
        <v>2191</v>
      </c>
      <c r="C420" s="20">
        <v>0</v>
      </c>
      <c r="E420" s="20" t="s">
        <v>1285</v>
      </c>
      <c r="F420" s="20" t="s">
        <v>2191</v>
      </c>
      <c r="G420" s="20">
        <v>2182</v>
      </c>
      <c r="AA420" s="20" t="s">
        <v>2043</v>
      </c>
      <c r="AB420" s="20">
        <v>0</v>
      </c>
      <c r="AC420" s="20">
        <v>0</v>
      </c>
      <c r="AK420" s="20" t="s">
        <v>3178</v>
      </c>
      <c r="AL420" s="20">
        <v>10</v>
      </c>
      <c r="AM420">
        <v>9</v>
      </c>
    </row>
    <row r="421" spans="1:39" x14ac:dyDescent="0.25">
      <c r="A421" s="20" t="s">
        <v>2040</v>
      </c>
      <c r="B421" s="20" t="s">
        <v>2191</v>
      </c>
      <c r="C421" s="20">
        <v>0</v>
      </c>
      <c r="E421" s="20" t="s">
        <v>469</v>
      </c>
      <c r="F421" s="20" t="s">
        <v>2191</v>
      </c>
      <c r="G421" s="20">
        <v>0</v>
      </c>
      <c r="AA421" s="20" t="s">
        <v>2406</v>
      </c>
      <c r="AB421" s="20">
        <v>0</v>
      </c>
      <c r="AC421" s="20">
        <v>0</v>
      </c>
      <c r="AK421" s="20" t="s">
        <v>3164</v>
      </c>
      <c r="AL421" s="20">
        <v>12</v>
      </c>
      <c r="AM421">
        <v>28</v>
      </c>
    </row>
    <row r="422" spans="1:39" x14ac:dyDescent="0.25">
      <c r="A422" s="20" t="s">
        <v>2332</v>
      </c>
      <c r="B422" s="20" t="s">
        <v>2191</v>
      </c>
      <c r="C422" s="20">
        <v>0</v>
      </c>
      <c r="E422" s="20" t="s">
        <v>2643</v>
      </c>
      <c r="F422" s="20" t="s">
        <v>2191</v>
      </c>
      <c r="G422" s="20">
        <v>0</v>
      </c>
      <c r="AA422" s="20" t="s">
        <v>2044</v>
      </c>
      <c r="AB422" s="20">
        <v>0</v>
      </c>
      <c r="AC422" s="20">
        <v>0</v>
      </c>
      <c r="AK422" s="20" t="s">
        <v>3154</v>
      </c>
      <c r="AL422" s="20">
        <v>2</v>
      </c>
      <c r="AM422">
        <v>2</v>
      </c>
    </row>
    <row r="423" spans="1:39" x14ac:dyDescent="0.25">
      <c r="A423" s="20" t="s">
        <v>1091</v>
      </c>
      <c r="B423" s="20" t="s">
        <v>2191</v>
      </c>
      <c r="C423" s="20">
        <v>0</v>
      </c>
      <c r="E423" s="20" t="s">
        <v>104</v>
      </c>
      <c r="F423" s="20" t="s">
        <v>2191</v>
      </c>
      <c r="G423" s="20">
        <v>0</v>
      </c>
      <c r="AA423" s="20" t="s">
        <v>2407</v>
      </c>
      <c r="AB423" s="20">
        <v>0</v>
      </c>
      <c r="AC423" s="20">
        <v>0</v>
      </c>
      <c r="AK423" s="20" t="s">
        <v>3180</v>
      </c>
      <c r="AL423" s="20">
        <v>2</v>
      </c>
      <c r="AM423">
        <v>3</v>
      </c>
    </row>
    <row r="424" spans="1:39" x14ac:dyDescent="0.25">
      <c r="A424" s="20" t="s">
        <v>422</v>
      </c>
      <c r="B424" s="20" t="s">
        <v>2191</v>
      </c>
      <c r="C424" s="20">
        <v>7659</v>
      </c>
      <c r="E424" s="20" t="s">
        <v>1887</v>
      </c>
      <c r="F424" s="20" t="s">
        <v>2191</v>
      </c>
      <c r="G424" s="20">
        <v>0</v>
      </c>
      <c r="AA424" s="20" t="s">
        <v>2408</v>
      </c>
      <c r="AB424" s="20">
        <v>0</v>
      </c>
      <c r="AC424" s="20">
        <v>0</v>
      </c>
      <c r="AK424" s="20" t="s">
        <v>3171</v>
      </c>
      <c r="AL424" s="20"/>
      <c r="AM424">
        <v>1</v>
      </c>
    </row>
    <row r="425" spans="1:39" x14ac:dyDescent="0.25">
      <c r="A425" s="20" t="s">
        <v>2333</v>
      </c>
      <c r="B425" s="20" t="s">
        <v>2191</v>
      </c>
      <c r="C425" s="20">
        <v>0</v>
      </c>
      <c r="E425" s="20" t="s">
        <v>2134</v>
      </c>
      <c r="F425" s="20" t="s">
        <v>2191</v>
      </c>
      <c r="G425" s="20">
        <v>0</v>
      </c>
      <c r="AA425" s="20" t="s">
        <v>1600</v>
      </c>
      <c r="AB425" s="20">
        <v>-7744.37</v>
      </c>
      <c r="AC425" s="20">
        <v>51419.519999999997</v>
      </c>
      <c r="AK425" s="20" t="s">
        <v>3173</v>
      </c>
      <c r="AL425" s="20">
        <v>3</v>
      </c>
      <c r="AM425">
        <v>7</v>
      </c>
    </row>
    <row r="426" spans="1:39" x14ac:dyDescent="0.25">
      <c r="A426" s="20" t="s">
        <v>703</v>
      </c>
      <c r="B426" s="20" t="s">
        <v>2191</v>
      </c>
      <c r="C426" s="20">
        <v>0</v>
      </c>
      <c r="E426" s="20" t="s">
        <v>471</v>
      </c>
      <c r="F426" s="20" t="s">
        <v>2191</v>
      </c>
      <c r="G426" s="20">
        <v>0</v>
      </c>
      <c r="AA426" s="20" t="s">
        <v>2409</v>
      </c>
      <c r="AB426" s="20">
        <v>0</v>
      </c>
      <c r="AC426" s="20">
        <v>0</v>
      </c>
      <c r="AK426" s="20" t="s">
        <v>3174</v>
      </c>
      <c r="AL426" s="20">
        <v>2</v>
      </c>
      <c r="AM426">
        <v>3</v>
      </c>
    </row>
    <row r="427" spans="1:39" x14ac:dyDescent="0.25">
      <c r="A427" s="20" t="s">
        <v>1963</v>
      </c>
      <c r="B427" s="20" t="s">
        <v>2191</v>
      </c>
      <c r="C427" s="20">
        <v>0</v>
      </c>
      <c r="E427" s="20" t="s">
        <v>472</v>
      </c>
      <c r="F427" s="20" t="s">
        <v>2191</v>
      </c>
      <c r="G427" s="20">
        <v>0</v>
      </c>
      <c r="AA427" s="20" t="s">
        <v>2410</v>
      </c>
      <c r="AB427" s="20">
        <v>0</v>
      </c>
      <c r="AC427" s="20">
        <v>0</v>
      </c>
      <c r="AK427" s="20" t="s">
        <v>3199</v>
      </c>
      <c r="AL427" s="20">
        <v>0</v>
      </c>
      <c r="AM427">
        <v>3</v>
      </c>
    </row>
    <row r="428" spans="1:39" x14ac:dyDescent="0.25">
      <c r="A428" s="20" t="s">
        <v>2047</v>
      </c>
      <c r="B428" s="20" t="s">
        <v>2191</v>
      </c>
      <c r="C428" s="20">
        <v>0</v>
      </c>
      <c r="E428" s="20" t="s">
        <v>425</v>
      </c>
      <c r="F428" s="20" t="s">
        <v>2191</v>
      </c>
      <c r="G428" s="20">
        <v>0</v>
      </c>
      <c r="AA428" s="20" t="s">
        <v>1601</v>
      </c>
      <c r="AB428" s="20">
        <v>-3012.96</v>
      </c>
      <c r="AC428" s="20">
        <v>0</v>
      </c>
      <c r="AK428" s="20" t="s">
        <v>3193</v>
      </c>
      <c r="AL428" s="20">
        <v>1</v>
      </c>
    </row>
    <row r="429" spans="1:39" x14ac:dyDescent="0.25">
      <c r="A429" s="20" t="s">
        <v>1583</v>
      </c>
      <c r="B429" s="20" t="s">
        <v>2191</v>
      </c>
      <c r="C429" s="20">
        <v>0</v>
      </c>
      <c r="E429" s="20" t="s">
        <v>613</v>
      </c>
      <c r="F429" s="20" t="s">
        <v>2191</v>
      </c>
      <c r="G429" s="20">
        <v>20752</v>
      </c>
      <c r="AA429" s="20" t="s">
        <v>2411</v>
      </c>
      <c r="AB429" s="20">
        <v>46270.96</v>
      </c>
      <c r="AC429" s="20">
        <v>0</v>
      </c>
      <c r="AK429" s="20" t="s">
        <v>3205</v>
      </c>
      <c r="AL429" s="20">
        <v>3</v>
      </c>
      <c r="AM429">
        <v>5</v>
      </c>
    </row>
    <row r="430" spans="1:39" x14ac:dyDescent="0.25">
      <c r="A430" s="20" t="s">
        <v>251</v>
      </c>
      <c r="B430" s="20" t="s">
        <v>2191</v>
      </c>
      <c r="C430" s="20">
        <v>833</v>
      </c>
      <c r="E430" s="20" t="s">
        <v>1917</v>
      </c>
      <c r="F430" s="20" t="s">
        <v>2191</v>
      </c>
      <c r="G430" s="20">
        <v>0</v>
      </c>
      <c r="AA430" s="20" t="s">
        <v>2412</v>
      </c>
      <c r="AB430" s="20">
        <v>0</v>
      </c>
      <c r="AC430" s="20">
        <v>0</v>
      </c>
      <c r="AK430" s="20" t="s">
        <v>3208</v>
      </c>
      <c r="AL430" s="20"/>
      <c r="AM430">
        <v>1</v>
      </c>
    </row>
    <row r="431" spans="1:39" x14ac:dyDescent="0.25">
      <c r="A431" s="20" t="s">
        <v>2069</v>
      </c>
      <c r="B431" s="20" t="s">
        <v>2191</v>
      </c>
      <c r="C431" s="20">
        <v>0</v>
      </c>
      <c r="E431" s="20" t="s">
        <v>615</v>
      </c>
      <c r="F431" s="20" t="s">
        <v>2191</v>
      </c>
      <c r="G431" s="20">
        <v>0</v>
      </c>
      <c r="AA431" s="20" t="s">
        <v>2413</v>
      </c>
      <c r="AB431" s="20">
        <v>0</v>
      </c>
      <c r="AC431" s="20">
        <v>0</v>
      </c>
      <c r="AK431" s="20" t="s">
        <v>3220</v>
      </c>
      <c r="AL431" s="20">
        <v>5</v>
      </c>
      <c r="AM431">
        <v>9</v>
      </c>
    </row>
    <row r="432" spans="1:39" x14ac:dyDescent="0.25">
      <c r="A432" s="20" t="s">
        <v>99</v>
      </c>
      <c r="B432" s="20" t="s">
        <v>2191</v>
      </c>
      <c r="C432" s="20">
        <v>0</v>
      </c>
      <c r="E432" s="20" t="s">
        <v>592</v>
      </c>
      <c r="F432" s="20" t="s">
        <v>2191</v>
      </c>
      <c r="G432" s="20">
        <v>0</v>
      </c>
      <c r="AA432" s="20" t="s">
        <v>1603</v>
      </c>
      <c r="AB432" s="20">
        <v>-4355.13</v>
      </c>
      <c r="AC432" s="20">
        <v>0</v>
      </c>
      <c r="AK432" s="20" t="s">
        <v>3226</v>
      </c>
      <c r="AL432" s="20"/>
      <c r="AM432">
        <v>1</v>
      </c>
    </row>
    <row r="433" spans="1:39" x14ac:dyDescent="0.25">
      <c r="A433" s="20" t="s">
        <v>2334</v>
      </c>
      <c r="B433" s="20" t="s">
        <v>2191</v>
      </c>
      <c r="C433" s="20">
        <v>0</v>
      </c>
      <c r="E433" s="20" t="s">
        <v>1918</v>
      </c>
      <c r="F433" s="20" t="s">
        <v>2191</v>
      </c>
      <c r="G433" s="20">
        <v>0</v>
      </c>
      <c r="AA433" s="20" t="s">
        <v>2414</v>
      </c>
      <c r="AB433" s="20">
        <v>0</v>
      </c>
      <c r="AC433" s="20">
        <v>0</v>
      </c>
      <c r="AK433" s="20" t="s">
        <v>3230</v>
      </c>
      <c r="AL433" s="20">
        <v>4</v>
      </c>
      <c r="AM433">
        <v>12</v>
      </c>
    </row>
    <row r="434" spans="1:39" x14ac:dyDescent="0.25">
      <c r="A434" s="20" t="s">
        <v>2335</v>
      </c>
      <c r="B434" s="20" t="s">
        <v>2191</v>
      </c>
      <c r="C434" s="20">
        <v>0</v>
      </c>
      <c r="E434" s="20" t="s">
        <v>616</v>
      </c>
      <c r="F434" s="20" t="s">
        <v>2191</v>
      </c>
      <c r="G434" s="20">
        <v>0</v>
      </c>
      <c r="AA434" s="20" t="s">
        <v>2415</v>
      </c>
      <c r="AB434" s="20">
        <v>0</v>
      </c>
      <c r="AC434" s="20">
        <v>0</v>
      </c>
      <c r="AK434" s="20" t="s">
        <v>3239</v>
      </c>
      <c r="AL434" s="20">
        <v>0</v>
      </c>
      <c r="AM434">
        <v>2</v>
      </c>
    </row>
    <row r="435" spans="1:39" x14ac:dyDescent="0.25">
      <c r="A435" s="20" t="s">
        <v>2336</v>
      </c>
      <c r="B435" s="20" t="s">
        <v>2191</v>
      </c>
      <c r="C435" s="20">
        <v>0</v>
      </c>
      <c r="E435" s="20" t="s">
        <v>2080</v>
      </c>
      <c r="F435" s="20" t="s">
        <v>2191</v>
      </c>
      <c r="G435" s="20">
        <v>0</v>
      </c>
      <c r="AA435" s="20" t="s">
        <v>2416</v>
      </c>
      <c r="AB435" s="20">
        <v>0</v>
      </c>
      <c r="AC435" s="20">
        <v>0</v>
      </c>
      <c r="AK435" s="20" t="s">
        <v>3241</v>
      </c>
      <c r="AL435" s="20">
        <v>5</v>
      </c>
      <c r="AM435">
        <v>10</v>
      </c>
    </row>
    <row r="436" spans="1:39" x14ac:dyDescent="0.25">
      <c r="A436" s="20" t="s">
        <v>605</v>
      </c>
      <c r="B436" s="20" t="s">
        <v>2191</v>
      </c>
      <c r="C436" s="20">
        <v>0</v>
      </c>
      <c r="E436" s="20" t="s">
        <v>1919</v>
      </c>
      <c r="F436" s="20" t="s">
        <v>2191</v>
      </c>
      <c r="G436" s="20">
        <v>0</v>
      </c>
      <c r="AA436" s="20" t="s">
        <v>2417</v>
      </c>
      <c r="AB436" s="20">
        <v>0</v>
      </c>
      <c r="AC436" s="20">
        <v>0</v>
      </c>
      <c r="AK436" s="20" t="s">
        <v>3243</v>
      </c>
      <c r="AL436" s="20">
        <v>0</v>
      </c>
      <c r="AM436">
        <v>4</v>
      </c>
    </row>
    <row r="437" spans="1:39" x14ac:dyDescent="0.25">
      <c r="A437" s="20" t="s">
        <v>1093</v>
      </c>
      <c r="B437" s="20" t="s">
        <v>2191</v>
      </c>
      <c r="C437" s="20">
        <v>0</v>
      </c>
      <c r="E437" s="20" t="s">
        <v>617</v>
      </c>
      <c r="F437" s="20" t="s">
        <v>2191</v>
      </c>
      <c r="G437" s="20">
        <v>-1257.27</v>
      </c>
      <c r="AA437" s="20" t="s">
        <v>2418</v>
      </c>
      <c r="AB437" s="20">
        <v>0</v>
      </c>
      <c r="AC437" s="20">
        <v>0</v>
      </c>
      <c r="AK437" s="20" t="s">
        <v>3235</v>
      </c>
      <c r="AL437" s="20">
        <v>3</v>
      </c>
      <c r="AM437">
        <v>4</v>
      </c>
    </row>
    <row r="438" spans="1:39" x14ac:dyDescent="0.25">
      <c r="A438" s="20" t="s">
        <v>2337</v>
      </c>
      <c r="B438" s="20" t="s">
        <v>2191</v>
      </c>
      <c r="C438" s="20">
        <v>0</v>
      </c>
      <c r="E438" s="20" t="s">
        <v>619</v>
      </c>
      <c r="F438" s="20" t="s">
        <v>2191</v>
      </c>
      <c r="G438" s="20">
        <v>0</v>
      </c>
      <c r="AA438" s="20" t="s">
        <v>2419</v>
      </c>
      <c r="AB438" s="20">
        <v>0</v>
      </c>
      <c r="AC438" s="20">
        <v>0</v>
      </c>
      <c r="AK438" s="20" t="s">
        <v>3246</v>
      </c>
      <c r="AL438" s="20">
        <v>0</v>
      </c>
      <c r="AM438">
        <v>4</v>
      </c>
    </row>
    <row r="439" spans="1:39" x14ac:dyDescent="0.25">
      <c r="A439" s="20" t="s">
        <v>101</v>
      </c>
      <c r="B439" s="20" t="s">
        <v>2191</v>
      </c>
      <c r="C439" s="20">
        <v>0</v>
      </c>
      <c r="E439" s="20" t="s">
        <v>621</v>
      </c>
      <c r="F439" s="20" t="s">
        <v>2191</v>
      </c>
      <c r="G439" s="20">
        <v>21263.02</v>
      </c>
      <c r="AA439" s="20" t="s">
        <v>2420</v>
      </c>
      <c r="AB439" s="20">
        <v>0</v>
      </c>
      <c r="AC439" s="20">
        <v>0</v>
      </c>
      <c r="AK439" s="20" t="s">
        <v>3248</v>
      </c>
      <c r="AL439" s="20">
        <v>1</v>
      </c>
      <c r="AM439">
        <v>4</v>
      </c>
    </row>
    <row r="440" spans="1:39" x14ac:dyDescent="0.25">
      <c r="A440" s="20" t="s">
        <v>2338</v>
      </c>
      <c r="B440" s="20" t="s">
        <v>2191</v>
      </c>
      <c r="C440" s="20">
        <v>0</v>
      </c>
      <c r="E440" s="20" t="s">
        <v>1921</v>
      </c>
      <c r="F440" s="20" t="s">
        <v>2191</v>
      </c>
      <c r="G440" s="20">
        <v>0</v>
      </c>
      <c r="AA440" s="20" t="s">
        <v>2421</v>
      </c>
      <c r="AB440" s="20">
        <v>0</v>
      </c>
      <c r="AC440" s="20">
        <v>0</v>
      </c>
      <c r="AK440" s="20" t="s">
        <v>3244</v>
      </c>
      <c r="AL440" s="20">
        <v>3</v>
      </c>
      <c r="AM440">
        <v>4</v>
      </c>
    </row>
    <row r="441" spans="1:39" x14ac:dyDescent="0.25">
      <c r="A441" s="20" t="s">
        <v>1904</v>
      </c>
      <c r="B441" s="20" t="s">
        <v>2191</v>
      </c>
      <c r="C441" s="20">
        <v>0</v>
      </c>
      <c r="E441" s="20" t="s">
        <v>623</v>
      </c>
      <c r="F441" s="20" t="s">
        <v>2191</v>
      </c>
      <c r="G441" s="20">
        <v>0</v>
      </c>
      <c r="AA441" s="20" t="s">
        <v>2422</v>
      </c>
      <c r="AB441" s="20">
        <v>0</v>
      </c>
      <c r="AC441" s="20">
        <v>0</v>
      </c>
      <c r="AK441" s="20" t="s">
        <v>3256</v>
      </c>
      <c r="AL441" s="20">
        <v>0</v>
      </c>
      <c r="AM441">
        <v>3</v>
      </c>
    </row>
    <row r="442" spans="1:39" x14ac:dyDescent="0.25">
      <c r="A442" s="20" t="s">
        <v>2339</v>
      </c>
      <c r="B442" s="20" t="s">
        <v>2191</v>
      </c>
      <c r="C442" s="20">
        <v>0</v>
      </c>
      <c r="E442" s="20" t="s">
        <v>626</v>
      </c>
      <c r="F442" s="20" t="s">
        <v>2191</v>
      </c>
      <c r="G442" s="20">
        <v>0</v>
      </c>
      <c r="AA442" s="20" t="s">
        <v>1604</v>
      </c>
      <c r="AB442" s="20">
        <v>-1250.6199999999999</v>
      </c>
      <c r="AC442" s="20">
        <v>0</v>
      </c>
      <c r="AK442" s="20" t="s">
        <v>3257</v>
      </c>
      <c r="AL442" s="20">
        <v>1</v>
      </c>
      <c r="AM442">
        <v>1</v>
      </c>
    </row>
    <row r="443" spans="1:39" x14ac:dyDescent="0.25">
      <c r="A443" s="20" t="s">
        <v>2170</v>
      </c>
      <c r="B443" s="20" t="s">
        <v>2191</v>
      </c>
      <c r="C443" s="20">
        <v>0</v>
      </c>
      <c r="E443" s="20" t="s">
        <v>624</v>
      </c>
      <c r="F443" s="20" t="s">
        <v>2191</v>
      </c>
      <c r="G443" s="20">
        <v>0</v>
      </c>
      <c r="AA443" s="20" t="s">
        <v>2423</v>
      </c>
      <c r="AB443" s="20">
        <v>0</v>
      </c>
      <c r="AC443" s="20">
        <v>0</v>
      </c>
      <c r="AK443" s="20" t="s">
        <v>3254</v>
      </c>
      <c r="AL443" s="20">
        <v>1</v>
      </c>
      <c r="AM443">
        <v>1</v>
      </c>
    </row>
    <row r="444" spans="1:39" x14ac:dyDescent="0.25">
      <c r="A444" s="20" t="s">
        <v>2340</v>
      </c>
      <c r="B444" s="20" t="s">
        <v>2191</v>
      </c>
      <c r="C444" s="20">
        <v>0</v>
      </c>
      <c r="E444" s="20" t="s">
        <v>1923</v>
      </c>
      <c r="F444" s="20" t="s">
        <v>2191</v>
      </c>
      <c r="G444" s="20">
        <v>0</v>
      </c>
      <c r="AA444" s="20" t="s">
        <v>2424</v>
      </c>
      <c r="AB444" s="20">
        <v>0</v>
      </c>
      <c r="AC444" s="20">
        <v>0</v>
      </c>
      <c r="AK444" s="20" t="s">
        <v>3252</v>
      </c>
      <c r="AL444" s="20">
        <v>3</v>
      </c>
      <c r="AM444">
        <v>5</v>
      </c>
    </row>
    <row r="445" spans="1:39" x14ac:dyDescent="0.25">
      <c r="A445" s="20" t="s">
        <v>896</v>
      </c>
      <c r="B445" s="20" t="s">
        <v>2191</v>
      </c>
      <c r="C445" s="20">
        <v>15677</v>
      </c>
      <c r="E445" s="20" t="s">
        <v>627</v>
      </c>
      <c r="F445" s="20" t="s">
        <v>2191</v>
      </c>
      <c r="G445" s="20">
        <v>0</v>
      </c>
      <c r="AA445" s="20" t="s">
        <v>1605</v>
      </c>
      <c r="AB445" s="20">
        <v>-159.74</v>
      </c>
      <c r="AC445" s="20">
        <v>0</v>
      </c>
      <c r="AK445" s="20" t="s">
        <v>3262</v>
      </c>
      <c r="AL445" s="20"/>
      <c r="AM445">
        <v>1</v>
      </c>
    </row>
    <row r="446" spans="1:39" x14ac:dyDescent="0.25">
      <c r="A446" s="20" t="s">
        <v>898</v>
      </c>
      <c r="B446" s="20" t="s">
        <v>2191</v>
      </c>
      <c r="C446" s="20">
        <v>0</v>
      </c>
      <c r="E446" s="20" t="s">
        <v>1925</v>
      </c>
      <c r="F446" s="20" t="s">
        <v>2191</v>
      </c>
      <c r="G446" s="20">
        <v>0</v>
      </c>
      <c r="AA446" s="20" t="s">
        <v>2427</v>
      </c>
      <c r="AB446" s="20">
        <v>0</v>
      </c>
      <c r="AC446" s="20">
        <v>0</v>
      </c>
      <c r="AK446" s="20" t="s">
        <v>3266</v>
      </c>
      <c r="AL446" s="20">
        <v>2</v>
      </c>
      <c r="AM446">
        <v>1</v>
      </c>
    </row>
    <row r="447" spans="1:39" x14ac:dyDescent="0.25">
      <c r="A447" s="20" t="s">
        <v>1094</v>
      </c>
      <c r="B447" s="20" t="s">
        <v>2191</v>
      </c>
      <c r="C447" s="20">
        <v>0</v>
      </c>
      <c r="E447" s="20" t="s">
        <v>629</v>
      </c>
      <c r="F447" s="20" t="s">
        <v>2191</v>
      </c>
      <c r="G447" s="20">
        <v>0</v>
      </c>
      <c r="AA447" s="20" t="s">
        <v>2428</v>
      </c>
      <c r="AB447" s="20">
        <v>0</v>
      </c>
      <c r="AC447" s="20">
        <v>0</v>
      </c>
      <c r="AK447" s="20" t="s">
        <v>3260</v>
      </c>
      <c r="AL447" s="20">
        <v>9</v>
      </c>
      <c r="AM447">
        <v>17</v>
      </c>
    </row>
    <row r="448" spans="1:39" x14ac:dyDescent="0.25">
      <c r="A448" s="20" t="s">
        <v>1437</v>
      </c>
      <c r="B448" s="20" t="s">
        <v>2191</v>
      </c>
      <c r="C448" s="20">
        <v>0</v>
      </c>
      <c r="E448" s="20" t="s">
        <v>630</v>
      </c>
      <c r="F448" s="20" t="s">
        <v>2191</v>
      </c>
      <c r="G448" s="20">
        <v>0</v>
      </c>
      <c r="AA448" s="20" t="s">
        <v>1513</v>
      </c>
      <c r="AB448" s="20">
        <v>-1261.31</v>
      </c>
      <c r="AC448" s="20">
        <v>35176.839999999997</v>
      </c>
      <c r="AK448" s="20" t="s">
        <v>3278</v>
      </c>
      <c r="AL448" s="20">
        <v>1</v>
      </c>
      <c r="AM448">
        <v>3</v>
      </c>
    </row>
    <row r="449" spans="1:39" x14ac:dyDescent="0.25">
      <c r="A449" s="20" t="s">
        <v>1584</v>
      </c>
      <c r="B449" s="20" t="s">
        <v>2191</v>
      </c>
      <c r="C449" s="20">
        <v>0</v>
      </c>
      <c r="E449" s="20" t="s">
        <v>631</v>
      </c>
      <c r="F449" s="20" t="s">
        <v>2191</v>
      </c>
      <c r="G449" s="20">
        <v>0</v>
      </c>
      <c r="AA449" s="20" t="s">
        <v>2155</v>
      </c>
      <c r="AB449" s="20">
        <v>0</v>
      </c>
      <c r="AC449" s="20">
        <v>0</v>
      </c>
      <c r="AK449" s="20" t="s">
        <v>3280</v>
      </c>
      <c r="AL449" s="20">
        <v>1</v>
      </c>
      <c r="AM449">
        <v>2</v>
      </c>
    </row>
    <row r="450" spans="1:39" x14ac:dyDescent="0.25">
      <c r="A450" s="20" t="s">
        <v>2341</v>
      </c>
      <c r="B450" s="20" t="s">
        <v>2191</v>
      </c>
      <c r="C450" s="20">
        <v>0</v>
      </c>
      <c r="E450" s="20" t="s">
        <v>1926</v>
      </c>
      <c r="F450" s="20" t="s">
        <v>2191</v>
      </c>
      <c r="G450" s="20">
        <v>0</v>
      </c>
      <c r="AA450" s="20" t="s">
        <v>1606</v>
      </c>
      <c r="AB450" s="20">
        <v>-3826.21</v>
      </c>
      <c r="AC450" s="20">
        <v>2320.66</v>
      </c>
      <c r="AK450" s="20" t="s">
        <v>3285</v>
      </c>
      <c r="AL450" s="20">
        <v>3</v>
      </c>
      <c r="AM450">
        <v>4</v>
      </c>
    </row>
    <row r="451" spans="1:39" x14ac:dyDescent="0.25">
      <c r="A451" s="20" t="s">
        <v>1585</v>
      </c>
      <c r="B451" s="20" t="s">
        <v>2191</v>
      </c>
      <c r="C451" s="20">
        <v>0</v>
      </c>
      <c r="E451" s="20" t="s">
        <v>1927</v>
      </c>
      <c r="F451" s="20" t="s">
        <v>2191</v>
      </c>
      <c r="G451" s="20">
        <v>0</v>
      </c>
      <c r="AA451" s="20" t="s">
        <v>1514</v>
      </c>
      <c r="AB451" s="20">
        <v>-3560.2</v>
      </c>
      <c r="AC451" s="20">
        <v>9002.75</v>
      </c>
      <c r="AK451" s="20" t="s">
        <v>3287</v>
      </c>
      <c r="AL451" s="20"/>
      <c r="AM451">
        <v>1</v>
      </c>
    </row>
    <row r="452" spans="1:39" x14ac:dyDescent="0.25">
      <c r="A452" s="20" t="s">
        <v>900</v>
      </c>
      <c r="B452" s="20" t="s">
        <v>2191</v>
      </c>
      <c r="C452" s="20">
        <v>0</v>
      </c>
      <c r="E452" s="20" t="s">
        <v>634</v>
      </c>
      <c r="F452" s="20" t="s">
        <v>2191</v>
      </c>
      <c r="G452" s="20">
        <v>0</v>
      </c>
      <c r="AA452" s="20" t="s">
        <v>2429</v>
      </c>
      <c r="AB452" s="20">
        <v>0</v>
      </c>
      <c r="AC452" s="20">
        <v>0</v>
      </c>
      <c r="AK452" s="20" t="s">
        <v>3299</v>
      </c>
      <c r="AL452" s="20">
        <v>4</v>
      </c>
      <c r="AM452">
        <v>5</v>
      </c>
    </row>
    <row r="453" spans="1:39" x14ac:dyDescent="0.25">
      <c r="A453" s="20" t="s">
        <v>1586</v>
      </c>
      <c r="B453" s="20" t="s">
        <v>2191</v>
      </c>
      <c r="C453" s="20">
        <v>0</v>
      </c>
      <c r="E453" s="20" t="s">
        <v>1928</v>
      </c>
      <c r="F453" s="20" t="s">
        <v>2191</v>
      </c>
      <c r="G453" s="20">
        <v>0</v>
      </c>
      <c r="AA453" s="20" t="s">
        <v>1838</v>
      </c>
      <c r="AB453" s="20">
        <v>0</v>
      </c>
      <c r="AC453" s="20">
        <v>0</v>
      </c>
      <c r="AK453" s="20" t="s">
        <v>3311</v>
      </c>
      <c r="AL453" s="20">
        <v>3</v>
      </c>
      <c r="AM453">
        <v>12</v>
      </c>
    </row>
    <row r="454" spans="1:39" x14ac:dyDescent="0.25">
      <c r="A454" s="20" t="s">
        <v>2342</v>
      </c>
      <c r="B454" s="20" t="s">
        <v>2191</v>
      </c>
      <c r="C454" s="20">
        <v>0</v>
      </c>
      <c r="E454" s="20" t="s">
        <v>636</v>
      </c>
      <c r="F454" s="20" t="s">
        <v>2191</v>
      </c>
      <c r="G454" s="20">
        <v>0</v>
      </c>
      <c r="AA454" s="20" t="s">
        <v>2430</v>
      </c>
      <c r="AB454" s="20">
        <v>0</v>
      </c>
      <c r="AC454" s="20">
        <v>0</v>
      </c>
      <c r="AK454" s="20" t="s">
        <v>3304</v>
      </c>
      <c r="AL454" s="20">
        <v>5</v>
      </c>
      <c r="AM454">
        <v>11</v>
      </c>
    </row>
    <row r="455" spans="1:39" x14ac:dyDescent="0.25">
      <c r="A455" s="20" t="s">
        <v>254</v>
      </c>
      <c r="B455" s="20" t="s">
        <v>2191</v>
      </c>
      <c r="C455" s="20">
        <v>0</v>
      </c>
      <c r="E455" s="20" t="s">
        <v>637</v>
      </c>
      <c r="F455" s="20" t="s">
        <v>2191</v>
      </c>
      <c r="G455" s="20">
        <v>0</v>
      </c>
      <c r="AA455" s="20" t="s">
        <v>2431</v>
      </c>
      <c r="AB455" s="20">
        <v>0</v>
      </c>
      <c r="AC455" s="20">
        <v>0</v>
      </c>
      <c r="AK455" s="20" t="s">
        <v>3309</v>
      </c>
      <c r="AL455" s="20"/>
      <c r="AM455">
        <v>1</v>
      </c>
    </row>
    <row r="456" spans="1:39" x14ac:dyDescent="0.25">
      <c r="A456" s="20" t="s">
        <v>1095</v>
      </c>
      <c r="B456" s="20" t="s">
        <v>2191</v>
      </c>
      <c r="C456" s="20">
        <v>0</v>
      </c>
      <c r="E456" s="20" t="s">
        <v>1930</v>
      </c>
      <c r="F456" s="20" t="s">
        <v>2191</v>
      </c>
      <c r="G456" s="20">
        <v>0</v>
      </c>
      <c r="AA456" s="20" t="s">
        <v>2045</v>
      </c>
      <c r="AB456" s="20">
        <v>0</v>
      </c>
      <c r="AC456" s="20">
        <v>0</v>
      </c>
      <c r="AK456" s="20" t="s">
        <v>3310</v>
      </c>
      <c r="AL456" s="20">
        <v>1</v>
      </c>
      <c r="AM456">
        <v>2</v>
      </c>
    </row>
    <row r="457" spans="1:39" x14ac:dyDescent="0.25">
      <c r="A457" s="20" t="s">
        <v>2343</v>
      </c>
      <c r="B457" s="20" t="s">
        <v>2191</v>
      </c>
      <c r="C457" s="20">
        <v>0</v>
      </c>
      <c r="E457" s="20" t="s">
        <v>1442</v>
      </c>
      <c r="F457" s="20" t="s">
        <v>2191</v>
      </c>
      <c r="G457" s="20">
        <v>18290</v>
      </c>
      <c r="AA457" s="20" t="s">
        <v>2432</v>
      </c>
      <c r="AB457" s="20">
        <v>0</v>
      </c>
      <c r="AC457" s="20">
        <v>0</v>
      </c>
      <c r="AK457" s="20" t="s">
        <v>3288</v>
      </c>
      <c r="AL457" s="20">
        <v>1</v>
      </c>
      <c r="AM457">
        <v>2</v>
      </c>
    </row>
    <row r="458" spans="1:39" x14ac:dyDescent="0.25">
      <c r="A458" s="20" t="s">
        <v>1371</v>
      </c>
      <c r="B458" s="20" t="s">
        <v>2191</v>
      </c>
      <c r="C458" s="20">
        <v>0</v>
      </c>
      <c r="E458" s="20" t="s">
        <v>1444</v>
      </c>
      <c r="F458" s="20" t="s">
        <v>2191</v>
      </c>
      <c r="G458" s="20">
        <v>0</v>
      </c>
      <c r="AA458" s="20" t="s">
        <v>2433</v>
      </c>
      <c r="AB458" s="20">
        <v>0</v>
      </c>
      <c r="AC458" s="20">
        <v>0</v>
      </c>
      <c r="AK458" s="20" t="s">
        <v>3292</v>
      </c>
      <c r="AL458" s="20">
        <v>3</v>
      </c>
      <c r="AM458">
        <v>5</v>
      </c>
    </row>
    <row r="459" spans="1:39" x14ac:dyDescent="0.25">
      <c r="A459" s="20" t="s">
        <v>2344</v>
      </c>
      <c r="B459" s="20" t="s">
        <v>2191</v>
      </c>
      <c r="C459" s="20">
        <v>0</v>
      </c>
      <c r="E459" s="20" t="s">
        <v>2172</v>
      </c>
      <c r="F459" s="20" t="s">
        <v>2191</v>
      </c>
      <c r="G459" s="20">
        <v>0</v>
      </c>
      <c r="AA459" s="20" t="s">
        <v>2434</v>
      </c>
      <c r="AB459" s="20">
        <v>0</v>
      </c>
      <c r="AC459" s="20">
        <v>0</v>
      </c>
      <c r="AK459" s="20" t="s">
        <v>3315</v>
      </c>
      <c r="AL459" s="20">
        <v>3</v>
      </c>
      <c r="AM459">
        <v>7</v>
      </c>
    </row>
    <row r="460" spans="1:39" x14ac:dyDescent="0.25">
      <c r="A460" s="20" t="s">
        <v>103</v>
      </c>
      <c r="B460" s="20" t="s">
        <v>2191</v>
      </c>
      <c r="C460" s="20">
        <v>5857.85</v>
      </c>
      <c r="E460" s="20" t="s">
        <v>590</v>
      </c>
      <c r="F460" s="20" t="s">
        <v>2191</v>
      </c>
      <c r="G460" s="20">
        <v>16121.78</v>
      </c>
      <c r="AA460" s="20" t="s">
        <v>2435</v>
      </c>
      <c r="AB460" s="20">
        <v>0</v>
      </c>
      <c r="AC460" s="20">
        <v>0</v>
      </c>
      <c r="AK460" s="20" t="s">
        <v>3302</v>
      </c>
      <c r="AL460" s="20">
        <v>4</v>
      </c>
      <c r="AM460">
        <v>7</v>
      </c>
    </row>
    <row r="461" spans="1:39" x14ac:dyDescent="0.25">
      <c r="A461" s="20" t="s">
        <v>2345</v>
      </c>
      <c r="B461" s="20" t="s">
        <v>2191</v>
      </c>
      <c r="C461" s="20">
        <v>0</v>
      </c>
      <c r="E461" s="20" t="s">
        <v>2645</v>
      </c>
      <c r="F461" s="20" t="s">
        <v>2191</v>
      </c>
      <c r="G461" s="20">
        <v>0</v>
      </c>
      <c r="AA461" s="20" t="s">
        <v>2436</v>
      </c>
      <c r="AB461" s="20">
        <v>0</v>
      </c>
      <c r="AC461" s="20">
        <v>0</v>
      </c>
      <c r="AK461" s="20" t="s">
        <v>3289</v>
      </c>
      <c r="AL461" s="20">
        <v>1</v>
      </c>
      <c r="AM461">
        <v>5</v>
      </c>
    </row>
    <row r="462" spans="1:39" x14ac:dyDescent="0.25">
      <c r="A462" s="20" t="s">
        <v>2124</v>
      </c>
      <c r="B462" s="20" t="s">
        <v>2191</v>
      </c>
      <c r="C462" s="20">
        <v>0</v>
      </c>
      <c r="E462" s="20" t="s">
        <v>2173</v>
      </c>
      <c r="F462" s="20" t="s">
        <v>2191</v>
      </c>
      <c r="G462" s="20">
        <v>0</v>
      </c>
      <c r="AA462" s="20" t="s">
        <v>2437</v>
      </c>
      <c r="AB462" s="20">
        <v>0</v>
      </c>
      <c r="AC462" s="20">
        <v>0</v>
      </c>
      <c r="AK462" s="20" t="s">
        <v>3336</v>
      </c>
      <c r="AL462" s="20">
        <v>1</v>
      </c>
      <c r="AM462">
        <v>3</v>
      </c>
    </row>
    <row r="463" spans="1:39" x14ac:dyDescent="0.25">
      <c r="A463" s="20" t="s">
        <v>706</v>
      </c>
      <c r="B463" s="20" t="s">
        <v>2191</v>
      </c>
      <c r="C463" s="20">
        <v>11707</v>
      </c>
      <c r="E463" s="20" t="s">
        <v>2174</v>
      </c>
      <c r="F463" s="20" t="s">
        <v>2191</v>
      </c>
      <c r="G463" s="20">
        <v>0</v>
      </c>
      <c r="AA463" s="20" t="s">
        <v>1607</v>
      </c>
      <c r="AB463" s="20">
        <v>-2.21</v>
      </c>
      <c r="AC463" s="20">
        <v>0</v>
      </c>
      <c r="AK463" s="20" t="s">
        <v>3346</v>
      </c>
      <c r="AL463" s="20">
        <v>3</v>
      </c>
      <c r="AM463">
        <v>1</v>
      </c>
    </row>
    <row r="464" spans="1:39" x14ac:dyDescent="0.25">
      <c r="A464" s="20" t="s">
        <v>1262</v>
      </c>
      <c r="B464" s="20" t="s">
        <v>2191</v>
      </c>
      <c r="C464" s="20">
        <v>5432</v>
      </c>
      <c r="E464" s="20" t="s">
        <v>1448</v>
      </c>
      <c r="F464" s="20" t="s">
        <v>2191</v>
      </c>
      <c r="G464" s="20">
        <v>0</v>
      </c>
      <c r="AA464" s="20" t="s">
        <v>2439</v>
      </c>
      <c r="AB464" s="20">
        <v>0</v>
      </c>
      <c r="AC464" s="20">
        <v>0</v>
      </c>
      <c r="AK464" s="20" t="s">
        <v>3332</v>
      </c>
      <c r="AL464" s="20">
        <v>1</v>
      </c>
      <c r="AM464">
        <v>3</v>
      </c>
    </row>
    <row r="465" spans="1:39" x14ac:dyDescent="0.25">
      <c r="A465" s="20" t="s">
        <v>2125</v>
      </c>
      <c r="B465" s="20" t="s">
        <v>2191</v>
      </c>
      <c r="C465" s="20">
        <v>0</v>
      </c>
      <c r="E465" s="20" t="s">
        <v>610</v>
      </c>
      <c r="F465" s="20" t="s">
        <v>2191</v>
      </c>
      <c r="G465" s="20">
        <v>0</v>
      </c>
      <c r="AA465" s="20" t="s">
        <v>2440</v>
      </c>
      <c r="AB465" s="20">
        <v>0</v>
      </c>
      <c r="AC465" s="20">
        <v>0</v>
      </c>
      <c r="AK465" s="20" t="s">
        <v>3334</v>
      </c>
      <c r="AL465" s="20"/>
      <c r="AM465">
        <v>1</v>
      </c>
    </row>
    <row r="466" spans="1:39" x14ac:dyDescent="0.25">
      <c r="A466" s="20" t="s">
        <v>1876</v>
      </c>
      <c r="B466" s="20" t="s">
        <v>2191</v>
      </c>
      <c r="C466" s="20">
        <v>0</v>
      </c>
      <c r="E466" s="20" t="s">
        <v>2175</v>
      </c>
      <c r="F466" s="20" t="s">
        <v>2191</v>
      </c>
      <c r="G466" s="20">
        <v>0</v>
      </c>
      <c r="AA466" s="20" t="s">
        <v>1608</v>
      </c>
      <c r="AB466" s="20">
        <v>-993.77</v>
      </c>
      <c r="AC466" s="20">
        <v>0</v>
      </c>
      <c r="AK466" s="20" t="s">
        <v>3343</v>
      </c>
      <c r="AL466" s="20">
        <v>5</v>
      </c>
      <c r="AM466">
        <v>5</v>
      </c>
    </row>
    <row r="467" spans="1:39" x14ac:dyDescent="0.25">
      <c r="A467" s="20" t="s">
        <v>2346</v>
      </c>
      <c r="B467" s="20" t="s">
        <v>2191</v>
      </c>
      <c r="C467" s="20">
        <v>0</v>
      </c>
      <c r="E467" s="20" t="s">
        <v>1451</v>
      </c>
      <c r="F467" s="20" t="s">
        <v>2191</v>
      </c>
      <c r="G467" s="20">
        <v>0</v>
      </c>
      <c r="AA467" s="20" t="s">
        <v>2441</v>
      </c>
      <c r="AB467" s="20">
        <v>0</v>
      </c>
      <c r="AC467" s="20">
        <v>0</v>
      </c>
      <c r="AK467" s="20" t="s">
        <v>3335</v>
      </c>
      <c r="AL467" s="20">
        <v>1</v>
      </c>
      <c r="AM467">
        <v>4</v>
      </c>
    </row>
    <row r="468" spans="1:39" x14ac:dyDescent="0.25">
      <c r="A468" s="20" t="s">
        <v>2347</v>
      </c>
      <c r="B468" s="20" t="s">
        <v>2191</v>
      </c>
      <c r="C468" s="20">
        <v>0</v>
      </c>
      <c r="E468" s="20" t="s">
        <v>2176</v>
      </c>
      <c r="F468" s="20" t="s">
        <v>2191</v>
      </c>
      <c r="G468" s="20">
        <v>0</v>
      </c>
      <c r="AA468" s="20" t="s">
        <v>2442</v>
      </c>
      <c r="AB468" s="20">
        <v>0</v>
      </c>
      <c r="AC468" s="20">
        <v>0</v>
      </c>
      <c r="AK468" s="20" t="s">
        <v>3557</v>
      </c>
      <c r="AL468" s="20"/>
      <c r="AM468">
        <v>1</v>
      </c>
    </row>
    <row r="469" spans="1:39" x14ac:dyDescent="0.25">
      <c r="A469" s="20" t="s">
        <v>2070</v>
      </c>
      <c r="B469" s="20" t="s">
        <v>2191</v>
      </c>
      <c r="C469" s="20">
        <v>0</v>
      </c>
      <c r="E469" s="20" t="s">
        <v>1453</v>
      </c>
      <c r="F469" s="20" t="s">
        <v>2191</v>
      </c>
      <c r="G469" s="20">
        <v>5586.09</v>
      </c>
      <c r="AA469" s="20" t="s">
        <v>2443</v>
      </c>
      <c r="AB469" s="20">
        <v>0</v>
      </c>
      <c r="AC469" s="20">
        <v>0</v>
      </c>
      <c r="AK469" s="20" t="s">
        <v>3342</v>
      </c>
      <c r="AL469" s="20">
        <v>13</v>
      </c>
      <c r="AM469">
        <v>14</v>
      </c>
    </row>
    <row r="470" spans="1:39" x14ac:dyDescent="0.25">
      <c r="A470" s="20" t="s">
        <v>2348</v>
      </c>
      <c r="B470" s="20" t="s">
        <v>2191</v>
      </c>
      <c r="C470" s="20">
        <v>0</v>
      </c>
      <c r="E470" s="20" t="s">
        <v>1454</v>
      </c>
      <c r="F470" s="20" t="s">
        <v>2191</v>
      </c>
      <c r="G470" s="20">
        <v>0</v>
      </c>
      <c r="AA470" s="20" t="s">
        <v>2071</v>
      </c>
      <c r="AB470" s="20">
        <v>0</v>
      </c>
      <c r="AC470" s="20">
        <v>0</v>
      </c>
      <c r="AK470" s="20" t="s">
        <v>3353</v>
      </c>
      <c r="AL470" s="20">
        <v>1</v>
      </c>
      <c r="AM470">
        <v>1</v>
      </c>
    </row>
    <row r="471" spans="1:39" x14ac:dyDescent="0.25">
      <c r="A471" s="20" t="s">
        <v>1438</v>
      </c>
      <c r="B471" s="20" t="s">
        <v>2191</v>
      </c>
      <c r="C471" s="20">
        <v>0</v>
      </c>
      <c r="E471" s="20" t="s">
        <v>1455</v>
      </c>
      <c r="F471" s="20" t="s">
        <v>2191</v>
      </c>
      <c r="G471" s="20">
        <v>0</v>
      </c>
      <c r="AA471" s="20" t="s">
        <v>2444</v>
      </c>
      <c r="AB471" s="20">
        <v>0</v>
      </c>
      <c r="AC471" s="20">
        <v>0</v>
      </c>
      <c r="AK471" s="20" t="s">
        <v>3347</v>
      </c>
      <c r="AL471" s="20">
        <v>1</v>
      </c>
      <c r="AM471">
        <v>7</v>
      </c>
    </row>
    <row r="472" spans="1:39" x14ac:dyDescent="0.25">
      <c r="A472" s="20" t="s">
        <v>708</v>
      </c>
      <c r="B472" s="20" t="s">
        <v>2191</v>
      </c>
      <c r="C472" s="20">
        <v>0</v>
      </c>
      <c r="E472" s="20" t="s">
        <v>2177</v>
      </c>
      <c r="F472" s="20" t="s">
        <v>2191</v>
      </c>
      <c r="G472" s="20">
        <v>0</v>
      </c>
      <c r="AA472" s="20" t="s">
        <v>2445</v>
      </c>
      <c r="AB472" s="20">
        <v>0</v>
      </c>
      <c r="AC472" s="20">
        <v>0</v>
      </c>
      <c r="AK472" s="20" t="s">
        <v>3349</v>
      </c>
      <c r="AL472" s="20">
        <v>1</v>
      </c>
      <c r="AM472">
        <v>1</v>
      </c>
    </row>
    <row r="473" spans="1:39" x14ac:dyDescent="0.25">
      <c r="A473" s="20" t="s">
        <v>1905</v>
      </c>
      <c r="B473" s="20" t="s">
        <v>2191</v>
      </c>
      <c r="C473" s="20">
        <v>0</v>
      </c>
      <c r="E473" s="20" t="s">
        <v>1456</v>
      </c>
      <c r="F473" s="20" t="s">
        <v>2191</v>
      </c>
      <c r="G473" s="20">
        <v>7101</v>
      </c>
      <c r="AA473" s="20" t="s">
        <v>2446</v>
      </c>
      <c r="AB473" s="20">
        <v>0</v>
      </c>
      <c r="AC473" s="20">
        <v>0</v>
      </c>
      <c r="AK473" s="20" t="s">
        <v>3372</v>
      </c>
      <c r="AL473" s="20">
        <v>27</v>
      </c>
      <c r="AM473">
        <v>41</v>
      </c>
    </row>
    <row r="474" spans="1:39" x14ac:dyDescent="0.25">
      <c r="A474" s="20" t="s">
        <v>2349</v>
      </c>
      <c r="B474" s="20" t="s">
        <v>2191</v>
      </c>
      <c r="C474" s="20">
        <v>0</v>
      </c>
      <c r="E474" s="20" t="s">
        <v>1933</v>
      </c>
      <c r="F474" s="20" t="s">
        <v>2191</v>
      </c>
      <c r="G474" s="20">
        <v>0</v>
      </c>
      <c r="AA474" s="20" t="s">
        <v>1609</v>
      </c>
      <c r="AB474" s="20">
        <v>-74.78</v>
      </c>
      <c r="AC474" s="20">
        <v>0</v>
      </c>
      <c r="AK474" s="20" t="s">
        <v>3368</v>
      </c>
      <c r="AL474" s="20">
        <v>0</v>
      </c>
      <c r="AM474">
        <v>2</v>
      </c>
    </row>
    <row r="475" spans="1:39" x14ac:dyDescent="0.25">
      <c r="A475" s="20" t="s">
        <v>1587</v>
      </c>
      <c r="B475" s="20" t="s">
        <v>2191</v>
      </c>
      <c r="C475" s="20">
        <v>0</v>
      </c>
      <c r="E475" s="20" t="s">
        <v>1461</v>
      </c>
      <c r="F475" s="20" t="s">
        <v>2191</v>
      </c>
      <c r="G475" s="20">
        <v>1034.74</v>
      </c>
      <c r="AA475" s="20" t="s">
        <v>2447</v>
      </c>
      <c r="AB475" s="20">
        <v>0</v>
      </c>
      <c r="AC475" s="20">
        <v>0</v>
      </c>
      <c r="AK475" s="20" t="s">
        <v>3360</v>
      </c>
      <c r="AL475" s="20">
        <v>0</v>
      </c>
      <c r="AM475">
        <v>2</v>
      </c>
    </row>
    <row r="476" spans="1:39" x14ac:dyDescent="0.25">
      <c r="A476" s="20" t="s">
        <v>2350</v>
      </c>
      <c r="B476" s="20" t="s">
        <v>2191</v>
      </c>
      <c r="C476" s="20">
        <v>0</v>
      </c>
      <c r="E476" s="20" t="s">
        <v>1462</v>
      </c>
      <c r="F476" s="20" t="s">
        <v>2191</v>
      </c>
      <c r="G476" s="20">
        <v>3166</v>
      </c>
      <c r="AA476" s="20" t="s">
        <v>2448</v>
      </c>
      <c r="AB476" s="20">
        <v>0</v>
      </c>
      <c r="AC476" s="20">
        <v>0</v>
      </c>
      <c r="AK476" s="20" t="s">
        <v>3364</v>
      </c>
      <c r="AL476" s="20">
        <v>5</v>
      </c>
      <c r="AM476">
        <v>10</v>
      </c>
    </row>
    <row r="477" spans="1:39" x14ac:dyDescent="0.25">
      <c r="A477" s="20" t="s">
        <v>1588</v>
      </c>
      <c r="B477" s="20" t="s">
        <v>2191</v>
      </c>
      <c r="C477" s="20">
        <v>0</v>
      </c>
      <c r="E477" s="20" t="s">
        <v>1463</v>
      </c>
      <c r="F477" s="20" t="s">
        <v>2191</v>
      </c>
      <c r="G477" s="20">
        <v>0</v>
      </c>
      <c r="AA477" s="20" t="s">
        <v>2449</v>
      </c>
      <c r="AB477" s="20">
        <v>0</v>
      </c>
      <c r="AC477" s="20">
        <v>0</v>
      </c>
      <c r="AK477" s="20" t="s">
        <v>3377</v>
      </c>
      <c r="AL477" s="20">
        <v>1</v>
      </c>
      <c r="AM477">
        <v>2</v>
      </c>
    </row>
    <row r="478" spans="1:39" x14ac:dyDescent="0.25">
      <c r="A478" s="20" t="s">
        <v>1589</v>
      </c>
      <c r="B478" s="20" t="s">
        <v>2191</v>
      </c>
      <c r="C478" s="20">
        <v>0</v>
      </c>
      <c r="E478" s="20" t="s">
        <v>1935</v>
      </c>
      <c r="F478" s="20" t="s">
        <v>2191</v>
      </c>
      <c r="G478" s="20">
        <v>0</v>
      </c>
      <c r="AA478" s="20" t="s">
        <v>2450</v>
      </c>
      <c r="AB478" s="20">
        <v>0</v>
      </c>
      <c r="AC478" s="20">
        <v>0</v>
      </c>
      <c r="AK478" s="20" t="s">
        <v>3375</v>
      </c>
      <c r="AL478" s="20"/>
      <c r="AM478">
        <v>1</v>
      </c>
    </row>
    <row r="479" spans="1:39" x14ac:dyDescent="0.25">
      <c r="A479" s="20" t="s">
        <v>2351</v>
      </c>
      <c r="B479" s="20" t="s">
        <v>2191</v>
      </c>
      <c r="C479" s="20">
        <v>0</v>
      </c>
      <c r="E479" s="20" t="s">
        <v>1464</v>
      </c>
      <c r="F479" s="20" t="s">
        <v>2191</v>
      </c>
      <c r="G479" s="20">
        <v>0</v>
      </c>
      <c r="AA479" s="20" t="s">
        <v>2451</v>
      </c>
      <c r="AB479" s="20">
        <v>0</v>
      </c>
      <c r="AC479" s="20">
        <v>0</v>
      </c>
      <c r="AK479" s="20" t="s">
        <v>3380</v>
      </c>
      <c r="AL479" s="20">
        <v>4</v>
      </c>
      <c r="AM479">
        <v>7</v>
      </c>
    </row>
    <row r="480" spans="1:39" x14ac:dyDescent="0.25">
      <c r="A480" s="20" t="s">
        <v>2352</v>
      </c>
      <c r="B480" s="20" t="s">
        <v>2191</v>
      </c>
      <c r="C480" s="20">
        <v>0</v>
      </c>
      <c r="E480" s="20" t="s">
        <v>1672</v>
      </c>
      <c r="F480" s="20" t="s">
        <v>2191</v>
      </c>
      <c r="G480" s="20">
        <v>7562</v>
      </c>
      <c r="AA480" s="20" t="s">
        <v>2452</v>
      </c>
      <c r="AB480" s="20">
        <v>0</v>
      </c>
      <c r="AC480" s="20">
        <v>0</v>
      </c>
      <c r="AK480" s="20" t="s">
        <v>3382</v>
      </c>
      <c r="AL480" s="20">
        <v>1</v>
      </c>
      <c r="AM480">
        <v>3</v>
      </c>
    </row>
    <row r="481" spans="1:39" x14ac:dyDescent="0.25">
      <c r="A481" s="20" t="s">
        <v>2353</v>
      </c>
      <c r="B481" s="20" t="s">
        <v>2191</v>
      </c>
      <c r="C481" s="20">
        <v>0</v>
      </c>
      <c r="E481" s="20" t="s">
        <v>1515</v>
      </c>
      <c r="F481" s="20" t="s">
        <v>2191</v>
      </c>
      <c r="G481" s="20">
        <v>0</v>
      </c>
      <c r="AA481" s="20" t="s">
        <v>2453</v>
      </c>
      <c r="AB481" s="20">
        <v>0</v>
      </c>
      <c r="AC481" s="20">
        <v>0</v>
      </c>
      <c r="AK481" s="20" t="s">
        <v>3393</v>
      </c>
      <c r="AL481" s="20">
        <v>0</v>
      </c>
      <c r="AM481">
        <v>3</v>
      </c>
    </row>
    <row r="482" spans="1:39" x14ac:dyDescent="0.25">
      <c r="A482" s="20" t="s">
        <v>256</v>
      </c>
      <c r="B482" s="20" t="s">
        <v>2191</v>
      </c>
      <c r="C482" s="20">
        <v>0</v>
      </c>
      <c r="E482" s="20" t="s">
        <v>1516</v>
      </c>
      <c r="F482" s="20" t="s">
        <v>2191</v>
      </c>
      <c r="G482" s="20">
        <v>0</v>
      </c>
      <c r="AA482" s="20" t="s">
        <v>2454</v>
      </c>
      <c r="AB482" s="20">
        <v>-1521.35</v>
      </c>
      <c r="AC482" s="20">
        <v>0</v>
      </c>
      <c r="AK482" s="20" t="s">
        <v>3388</v>
      </c>
      <c r="AL482" s="20">
        <v>6</v>
      </c>
      <c r="AM482">
        <v>10</v>
      </c>
    </row>
    <row r="483" spans="1:39" x14ac:dyDescent="0.25">
      <c r="A483" s="20" t="s">
        <v>3356</v>
      </c>
      <c r="B483" s="20" t="s">
        <v>2191</v>
      </c>
      <c r="C483" s="20">
        <v>0</v>
      </c>
      <c r="E483" s="20" t="s">
        <v>1972</v>
      </c>
      <c r="F483" s="20" t="s">
        <v>2191</v>
      </c>
      <c r="G483" s="20">
        <v>0</v>
      </c>
      <c r="AA483" s="20" t="s">
        <v>2455</v>
      </c>
      <c r="AB483" s="20">
        <v>0</v>
      </c>
      <c r="AC483" s="20">
        <v>0</v>
      </c>
      <c r="AK483" s="20" t="s">
        <v>3396</v>
      </c>
      <c r="AL483" s="20">
        <v>2</v>
      </c>
      <c r="AM483">
        <v>6</v>
      </c>
    </row>
    <row r="484" spans="1:39" x14ac:dyDescent="0.25">
      <c r="A484" s="20" t="s">
        <v>901</v>
      </c>
      <c r="B484" s="20" t="s">
        <v>2191</v>
      </c>
      <c r="C484" s="20">
        <v>0</v>
      </c>
      <c r="E484" s="20" t="s">
        <v>1677</v>
      </c>
      <c r="F484" s="20" t="s">
        <v>2191</v>
      </c>
      <c r="G484" s="20">
        <v>0</v>
      </c>
      <c r="AA484" s="20" t="s">
        <v>2456</v>
      </c>
      <c r="AB484" s="20">
        <v>0</v>
      </c>
      <c r="AC484" s="20">
        <v>0</v>
      </c>
      <c r="AK484" s="20" t="s">
        <v>3390</v>
      </c>
      <c r="AL484" s="20">
        <v>3</v>
      </c>
      <c r="AM484">
        <v>8</v>
      </c>
    </row>
    <row r="485" spans="1:39" x14ac:dyDescent="0.25">
      <c r="A485" s="20" t="s">
        <v>606</v>
      </c>
      <c r="B485" s="20" t="s">
        <v>2191</v>
      </c>
      <c r="C485" s="20">
        <v>0</v>
      </c>
      <c r="E485" s="20" t="s">
        <v>1376</v>
      </c>
      <c r="F485" s="20" t="s">
        <v>2191</v>
      </c>
      <c r="G485" s="20">
        <v>0</v>
      </c>
      <c r="AA485" s="20" t="s">
        <v>2457</v>
      </c>
      <c r="AB485" s="20">
        <v>0</v>
      </c>
      <c r="AC485" s="20">
        <v>0</v>
      </c>
      <c r="AK485" s="20" t="s">
        <v>3399</v>
      </c>
      <c r="AL485" s="20"/>
      <c r="AM485">
        <v>1</v>
      </c>
    </row>
    <row r="486" spans="1:39" x14ac:dyDescent="0.25">
      <c r="A486" s="20" t="s">
        <v>1906</v>
      </c>
      <c r="B486" s="20" t="s">
        <v>2191</v>
      </c>
      <c r="C486" s="20">
        <v>0</v>
      </c>
      <c r="E486" s="20" t="s">
        <v>1120</v>
      </c>
      <c r="F486" s="20" t="s">
        <v>2191</v>
      </c>
      <c r="G486" s="20">
        <v>1603.5</v>
      </c>
      <c r="AA486" s="20" t="s">
        <v>2458</v>
      </c>
      <c r="AB486" s="20">
        <v>0</v>
      </c>
      <c r="AC486" s="20">
        <v>0</v>
      </c>
      <c r="AK486" s="20" t="s">
        <v>3403</v>
      </c>
      <c r="AL486" s="20">
        <v>10</v>
      </c>
      <c r="AM486">
        <v>30</v>
      </c>
    </row>
    <row r="487" spans="1:39" x14ac:dyDescent="0.25">
      <c r="A487" s="20" t="s">
        <v>2354</v>
      </c>
      <c r="B487" s="20" t="s">
        <v>2191</v>
      </c>
      <c r="C487" s="20">
        <v>0</v>
      </c>
      <c r="E487" s="20" t="s">
        <v>914</v>
      </c>
      <c r="F487" s="20" t="s">
        <v>2191</v>
      </c>
      <c r="G487" s="20">
        <v>0</v>
      </c>
      <c r="AA487" s="20" t="s">
        <v>1610</v>
      </c>
      <c r="AB487" s="20">
        <v>-47.51</v>
      </c>
      <c r="AC487" s="20">
        <v>0</v>
      </c>
      <c r="AK487" s="20" t="s">
        <v>3400</v>
      </c>
      <c r="AL487" s="20">
        <v>1</v>
      </c>
      <c r="AM487">
        <v>1</v>
      </c>
    </row>
    <row r="488" spans="1:39" x14ac:dyDescent="0.25">
      <c r="A488" s="20" t="s">
        <v>2355</v>
      </c>
      <c r="B488" s="20" t="s">
        <v>2191</v>
      </c>
      <c r="C488" s="20">
        <v>0</v>
      </c>
      <c r="E488" s="20" t="s">
        <v>2106</v>
      </c>
      <c r="F488" s="20" t="s">
        <v>2191</v>
      </c>
      <c r="G488" s="20">
        <v>0</v>
      </c>
      <c r="AA488" s="20" t="s">
        <v>2459</v>
      </c>
      <c r="AB488" s="20">
        <v>0</v>
      </c>
      <c r="AC488" s="20">
        <v>0</v>
      </c>
      <c r="AK488" s="20" t="s">
        <v>3401</v>
      </c>
      <c r="AL488" s="20">
        <v>3</v>
      </c>
      <c r="AM488">
        <v>9</v>
      </c>
    </row>
    <row r="489" spans="1:39" x14ac:dyDescent="0.25">
      <c r="A489" s="20" t="s">
        <v>1590</v>
      </c>
      <c r="B489" s="20" t="s">
        <v>2191</v>
      </c>
      <c r="C489" s="20">
        <v>599784.99</v>
      </c>
      <c r="E489" s="20" t="s">
        <v>2107</v>
      </c>
      <c r="F489" s="20" t="s">
        <v>2191</v>
      </c>
      <c r="G489" s="20">
        <v>0</v>
      </c>
      <c r="AA489" s="20" t="s">
        <v>2460</v>
      </c>
      <c r="AB489" s="20">
        <v>0</v>
      </c>
      <c r="AC489" s="20">
        <v>0</v>
      </c>
      <c r="AK489" s="20" t="s">
        <v>3413</v>
      </c>
      <c r="AL489" s="20"/>
      <c r="AM489">
        <v>1</v>
      </c>
    </row>
    <row r="490" spans="1:39" x14ac:dyDescent="0.25">
      <c r="A490" s="20" t="s">
        <v>2356</v>
      </c>
      <c r="B490" s="20" t="s">
        <v>2191</v>
      </c>
      <c r="C490" s="20">
        <v>0</v>
      </c>
      <c r="E490" s="20" t="s">
        <v>2050</v>
      </c>
      <c r="F490" s="20" t="s">
        <v>2191</v>
      </c>
      <c r="G490" s="20">
        <v>0</v>
      </c>
      <c r="AA490" s="20" t="s">
        <v>2461</v>
      </c>
      <c r="AB490" s="20">
        <v>0</v>
      </c>
      <c r="AC490" s="20">
        <v>0</v>
      </c>
      <c r="AK490" s="20" t="s">
        <v>3412</v>
      </c>
      <c r="AL490" s="20"/>
      <c r="AM490">
        <v>1</v>
      </c>
    </row>
    <row r="491" spans="1:39" x14ac:dyDescent="0.25">
      <c r="A491" s="20" t="s">
        <v>2357</v>
      </c>
      <c r="B491" s="20" t="s">
        <v>2191</v>
      </c>
      <c r="C491" s="20">
        <v>0</v>
      </c>
      <c r="E491" s="20" t="s">
        <v>474</v>
      </c>
      <c r="F491" s="20" t="s">
        <v>2191</v>
      </c>
      <c r="G491" s="20">
        <v>0</v>
      </c>
      <c r="AA491" s="20" t="s">
        <v>1611</v>
      </c>
      <c r="AB491" s="20">
        <v>-629.77</v>
      </c>
      <c r="AC491" s="20">
        <v>0</v>
      </c>
      <c r="AK491" s="20" t="s">
        <v>3415</v>
      </c>
      <c r="AL491" s="20">
        <v>1</v>
      </c>
      <c r="AM491">
        <v>4</v>
      </c>
    </row>
    <row r="492" spans="1:39" x14ac:dyDescent="0.25">
      <c r="A492" s="20" t="s">
        <v>2358</v>
      </c>
      <c r="B492" s="20" t="s">
        <v>2191</v>
      </c>
      <c r="C492" s="20">
        <v>0</v>
      </c>
      <c r="E492" s="20" t="s">
        <v>1377</v>
      </c>
      <c r="F492" s="20" t="s">
        <v>2191</v>
      </c>
      <c r="G492" s="20">
        <v>-1779.75</v>
      </c>
      <c r="AA492" s="20" t="s">
        <v>2462</v>
      </c>
      <c r="AB492" s="20">
        <v>0</v>
      </c>
      <c r="AC492" s="20">
        <v>0</v>
      </c>
      <c r="AK492" s="20" t="s">
        <v>3426</v>
      </c>
      <c r="AL492" s="20">
        <v>0</v>
      </c>
      <c r="AM492">
        <v>9</v>
      </c>
    </row>
    <row r="493" spans="1:39" x14ac:dyDescent="0.25">
      <c r="A493" s="20" t="s">
        <v>2359</v>
      </c>
      <c r="B493" s="20" t="s">
        <v>2191</v>
      </c>
      <c r="C493" s="20">
        <v>0</v>
      </c>
      <c r="E493" s="20" t="s">
        <v>1888</v>
      </c>
      <c r="F493" s="20" t="s">
        <v>2191</v>
      </c>
      <c r="G493" s="20">
        <v>0</v>
      </c>
      <c r="AA493" s="20" t="s">
        <v>2463</v>
      </c>
      <c r="AB493" s="20">
        <v>0</v>
      </c>
      <c r="AC493" s="20">
        <v>0</v>
      </c>
      <c r="AK493" s="20" t="s">
        <v>3418</v>
      </c>
      <c r="AL493" s="20">
        <v>1</v>
      </c>
      <c r="AM493">
        <v>1</v>
      </c>
    </row>
    <row r="494" spans="1:39" x14ac:dyDescent="0.25">
      <c r="A494" s="20" t="s">
        <v>2041</v>
      </c>
      <c r="B494" s="20" t="s">
        <v>2191</v>
      </c>
      <c r="C494" s="20">
        <v>0</v>
      </c>
      <c r="E494" s="20" t="s">
        <v>475</v>
      </c>
      <c r="F494" s="20" t="s">
        <v>2191</v>
      </c>
      <c r="G494" s="20">
        <v>12483</v>
      </c>
      <c r="AA494" s="20" t="s">
        <v>2464</v>
      </c>
      <c r="AB494" s="20">
        <v>0</v>
      </c>
      <c r="AC494" s="20">
        <v>0</v>
      </c>
      <c r="AK494" s="20" t="s">
        <v>3424</v>
      </c>
      <c r="AL494" s="20">
        <v>1</v>
      </c>
      <c r="AM494">
        <v>3</v>
      </c>
    </row>
    <row r="495" spans="1:39" x14ac:dyDescent="0.25">
      <c r="A495" s="20" t="s">
        <v>2360</v>
      </c>
      <c r="B495" s="20" t="s">
        <v>2191</v>
      </c>
      <c r="C495" s="20">
        <v>0</v>
      </c>
      <c r="E495" s="20" t="s">
        <v>1890</v>
      </c>
      <c r="F495" s="20" t="s">
        <v>2191</v>
      </c>
      <c r="G495" s="20">
        <v>0</v>
      </c>
      <c r="AA495" s="20" t="s">
        <v>1877</v>
      </c>
      <c r="AB495" s="20">
        <v>0</v>
      </c>
      <c r="AC495" s="20">
        <v>0</v>
      </c>
      <c r="AK495" s="20" t="s">
        <v>3573</v>
      </c>
      <c r="AL495" s="20">
        <v>2</v>
      </c>
      <c r="AM495">
        <v>3</v>
      </c>
    </row>
    <row r="496" spans="1:39" x14ac:dyDescent="0.25">
      <c r="A496" s="20" t="s">
        <v>2361</v>
      </c>
      <c r="B496" s="20" t="s">
        <v>2191</v>
      </c>
      <c r="C496" s="20">
        <v>0</v>
      </c>
      <c r="E496" s="20" t="s">
        <v>478</v>
      </c>
      <c r="F496" s="20" t="s">
        <v>2191</v>
      </c>
      <c r="G496" s="20">
        <v>0</v>
      </c>
      <c r="AA496" s="20" t="s">
        <v>2465</v>
      </c>
      <c r="AB496" s="20">
        <v>0</v>
      </c>
      <c r="AC496" s="20">
        <v>0</v>
      </c>
      <c r="AK496" s="20" t="s">
        <v>3572</v>
      </c>
      <c r="AL496" s="20">
        <v>1</v>
      </c>
      <c r="AM496">
        <v>9</v>
      </c>
    </row>
    <row r="497" spans="1:39" x14ac:dyDescent="0.25">
      <c r="A497" s="20" t="s">
        <v>2362</v>
      </c>
      <c r="B497" s="20" t="s">
        <v>2191</v>
      </c>
      <c r="C497" s="20">
        <v>0</v>
      </c>
      <c r="E497" s="20" t="s">
        <v>1843</v>
      </c>
      <c r="F497" s="20" t="s">
        <v>2191</v>
      </c>
      <c r="G497" s="20">
        <v>0</v>
      </c>
      <c r="AA497" s="20" t="s">
        <v>2466</v>
      </c>
      <c r="AB497" s="20">
        <v>0</v>
      </c>
      <c r="AC497" s="20">
        <v>0</v>
      </c>
      <c r="AK497" s="20" t="s">
        <v>3575</v>
      </c>
      <c r="AL497" s="20">
        <v>1</v>
      </c>
      <c r="AM497">
        <v>2</v>
      </c>
    </row>
    <row r="498" spans="1:39" x14ac:dyDescent="0.25">
      <c r="A498" s="20" t="s">
        <v>1964</v>
      </c>
      <c r="B498" s="20" t="s">
        <v>2191</v>
      </c>
      <c r="C498" s="20">
        <v>0</v>
      </c>
      <c r="E498" s="20" t="s">
        <v>2826</v>
      </c>
      <c r="F498" s="20" t="s">
        <v>2191</v>
      </c>
      <c r="G498" s="20">
        <v>0</v>
      </c>
      <c r="AA498" s="20" t="s">
        <v>2467</v>
      </c>
      <c r="AB498" s="20">
        <v>0</v>
      </c>
      <c r="AC498" s="20">
        <v>0</v>
      </c>
      <c r="AK498" s="20" t="s">
        <v>3577</v>
      </c>
      <c r="AL498" s="20">
        <v>1</v>
      </c>
      <c r="AM498">
        <v>8</v>
      </c>
    </row>
    <row r="499" spans="1:39" x14ac:dyDescent="0.25">
      <c r="A499" s="20" t="s">
        <v>2363</v>
      </c>
      <c r="B499" s="20" t="s">
        <v>2191</v>
      </c>
      <c r="C499" s="20">
        <v>0</v>
      </c>
      <c r="E499" s="20" t="s">
        <v>1220</v>
      </c>
      <c r="F499" s="20" t="s">
        <v>2191</v>
      </c>
      <c r="G499" s="20">
        <v>0</v>
      </c>
      <c r="AA499" s="20" t="s">
        <v>1912</v>
      </c>
      <c r="AB499" s="20">
        <v>0</v>
      </c>
      <c r="AC499" s="20">
        <v>0</v>
      </c>
      <c r="AK499" s="20" t="s">
        <v>3576</v>
      </c>
      <c r="AL499" s="20">
        <v>4</v>
      </c>
      <c r="AM499">
        <v>7</v>
      </c>
    </row>
    <row r="500" spans="1:39" x14ac:dyDescent="0.25">
      <c r="A500" s="20" t="s">
        <v>2154</v>
      </c>
      <c r="B500" s="20" t="s">
        <v>2191</v>
      </c>
      <c r="C500" s="20">
        <v>0</v>
      </c>
      <c r="E500" s="20" t="s">
        <v>640</v>
      </c>
      <c r="F500" s="20" t="s">
        <v>2191</v>
      </c>
      <c r="G500" s="20">
        <v>0</v>
      </c>
      <c r="AA500" s="20" t="s">
        <v>2468</v>
      </c>
      <c r="AB500" s="20">
        <v>0</v>
      </c>
      <c r="AC500" s="20">
        <v>0</v>
      </c>
      <c r="AK500" s="20" t="s">
        <v>3578</v>
      </c>
      <c r="AL500" s="20">
        <v>0</v>
      </c>
      <c r="AM500">
        <v>2</v>
      </c>
    </row>
    <row r="501" spans="1:39" x14ac:dyDescent="0.25">
      <c r="A501" s="20" t="s">
        <v>106</v>
      </c>
      <c r="B501" s="20" t="s">
        <v>2191</v>
      </c>
      <c r="C501" s="20">
        <v>18343</v>
      </c>
      <c r="E501" s="20" t="s">
        <v>2102</v>
      </c>
      <c r="F501" s="20" t="s">
        <v>2191</v>
      </c>
      <c r="G501" s="20">
        <v>0</v>
      </c>
      <c r="AA501" s="20" t="s">
        <v>2469</v>
      </c>
      <c r="AB501" s="20">
        <v>0</v>
      </c>
      <c r="AC501" s="20">
        <v>0</v>
      </c>
      <c r="AK501" s="20" t="s">
        <v>3582</v>
      </c>
      <c r="AL501" s="20">
        <v>5</v>
      </c>
      <c r="AM501">
        <v>14</v>
      </c>
    </row>
    <row r="502" spans="1:39" x14ac:dyDescent="0.25">
      <c r="A502" s="20" t="s">
        <v>108</v>
      </c>
      <c r="B502" s="20" t="s">
        <v>2191</v>
      </c>
      <c r="C502" s="20">
        <v>0</v>
      </c>
      <c r="E502" s="20" t="s">
        <v>2159</v>
      </c>
      <c r="F502" s="20" t="s">
        <v>2191</v>
      </c>
      <c r="G502" s="20">
        <v>0</v>
      </c>
      <c r="AA502" s="20" t="s">
        <v>2471</v>
      </c>
      <c r="AB502" s="20">
        <v>0</v>
      </c>
      <c r="AC502" s="20">
        <v>0</v>
      </c>
      <c r="AK502" s="20" t="s">
        <v>3588</v>
      </c>
      <c r="AL502" s="20">
        <v>10</v>
      </c>
      <c r="AM502">
        <v>16</v>
      </c>
    </row>
    <row r="503" spans="1:39" x14ac:dyDescent="0.25">
      <c r="A503" s="20" t="s">
        <v>1591</v>
      </c>
      <c r="B503" s="20" t="s">
        <v>2191</v>
      </c>
      <c r="C503" s="20">
        <v>0</v>
      </c>
      <c r="E503" s="20" t="s">
        <v>1845</v>
      </c>
      <c r="F503" s="20" t="s">
        <v>2191</v>
      </c>
      <c r="G503" s="20">
        <v>0</v>
      </c>
      <c r="AA503" s="20" t="s">
        <v>2472</v>
      </c>
      <c r="AB503" s="20">
        <v>0</v>
      </c>
      <c r="AC503" s="20">
        <v>0</v>
      </c>
      <c r="AK503" s="20" t="s">
        <v>3596</v>
      </c>
      <c r="AL503" s="20">
        <v>1</v>
      </c>
      <c r="AM503">
        <v>5</v>
      </c>
    </row>
    <row r="504" spans="1:39" x14ac:dyDescent="0.25">
      <c r="A504" s="20" t="s">
        <v>2042</v>
      </c>
      <c r="B504" s="20" t="s">
        <v>2191</v>
      </c>
      <c r="C504" s="20">
        <v>0</v>
      </c>
      <c r="E504" s="20" t="s">
        <v>294</v>
      </c>
      <c r="F504" s="20" t="s">
        <v>2191</v>
      </c>
      <c r="G504" s="20">
        <v>0</v>
      </c>
      <c r="AA504" s="20" t="s">
        <v>2473</v>
      </c>
      <c r="AB504" s="20">
        <v>0</v>
      </c>
      <c r="AC504" s="20">
        <v>0</v>
      </c>
      <c r="AK504" s="20" t="s">
        <v>3593</v>
      </c>
      <c r="AL504" s="20">
        <v>1</v>
      </c>
      <c r="AM504">
        <v>2</v>
      </c>
    </row>
    <row r="505" spans="1:39" x14ac:dyDescent="0.25">
      <c r="A505" s="20" t="s">
        <v>903</v>
      </c>
      <c r="B505" s="20" t="s">
        <v>2191</v>
      </c>
      <c r="C505" s="20">
        <v>0</v>
      </c>
      <c r="E505" s="20" t="s">
        <v>2111</v>
      </c>
      <c r="F505" s="20" t="s">
        <v>2191</v>
      </c>
      <c r="G505" s="20">
        <v>0</v>
      </c>
      <c r="AA505" s="20" t="s">
        <v>2474</v>
      </c>
      <c r="AB505" s="20">
        <v>0</v>
      </c>
      <c r="AC505" s="20">
        <v>0</v>
      </c>
      <c r="AK505" s="20" t="s">
        <v>3605</v>
      </c>
      <c r="AL505" s="20">
        <v>1</v>
      </c>
      <c r="AM505">
        <v>5</v>
      </c>
    </row>
    <row r="506" spans="1:39" x14ac:dyDescent="0.25">
      <c r="A506" s="20" t="s">
        <v>2364</v>
      </c>
      <c r="B506" s="20" t="s">
        <v>2191</v>
      </c>
      <c r="C506" s="20">
        <v>0</v>
      </c>
      <c r="E506" s="20" t="s">
        <v>2112</v>
      </c>
      <c r="F506" s="20" t="s">
        <v>2191</v>
      </c>
      <c r="G506" s="20">
        <v>0</v>
      </c>
      <c r="AA506" s="20" t="s">
        <v>2475</v>
      </c>
      <c r="AB506" s="20">
        <v>0</v>
      </c>
      <c r="AC506" s="20">
        <v>0</v>
      </c>
      <c r="AK506" s="20" t="s">
        <v>3613</v>
      </c>
      <c r="AL506" s="20">
        <v>1</v>
      </c>
      <c r="AM506">
        <v>1</v>
      </c>
    </row>
    <row r="507" spans="1:39" x14ac:dyDescent="0.25">
      <c r="A507" s="20" t="s">
        <v>2365</v>
      </c>
      <c r="B507" s="20" t="s">
        <v>2191</v>
      </c>
      <c r="C507" s="20">
        <v>0</v>
      </c>
      <c r="E507" s="20" t="s">
        <v>1222</v>
      </c>
      <c r="F507" s="20" t="s">
        <v>2191</v>
      </c>
      <c r="G507" s="20">
        <v>0</v>
      </c>
      <c r="AA507" s="20" t="s">
        <v>2476</v>
      </c>
      <c r="AB507" s="20">
        <v>0</v>
      </c>
      <c r="AC507" s="20">
        <v>0</v>
      </c>
      <c r="AK507" s="20" t="s">
        <v>3626</v>
      </c>
      <c r="AL507" s="20">
        <v>1</v>
      </c>
      <c r="AM507">
        <v>1</v>
      </c>
    </row>
    <row r="508" spans="1:39" x14ac:dyDescent="0.25">
      <c r="A508" s="20" t="s">
        <v>2366</v>
      </c>
      <c r="B508" s="20" t="s">
        <v>2191</v>
      </c>
      <c r="C508" s="20">
        <v>0</v>
      </c>
      <c r="E508" s="20" t="s">
        <v>2052</v>
      </c>
      <c r="F508" s="20" t="s">
        <v>2191</v>
      </c>
      <c r="G508" s="20">
        <v>0</v>
      </c>
      <c r="AA508" s="20" t="s">
        <v>2477</v>
      </c>
      <c r="AB508" s="20">
        <v>0</v>
      </c>
      <c r="AC508" s="20">
        <v>0</v>
      </c>
      <c r="AK508" s="20" t="s">
        <v>3619</v>
      </c>
      <c r="AL508" s="20">
        <v>2</v>
      </c>
      <c r="AM508">
        <v>6</v>
      </c>
    </row>
    <row r="509" spans="1:39" x14ac:dyDescent="0.25">
      <c r="A509" s="20" t="s">
        <v>1907</v>
      </c>
      <c r="B509" s="20" t="s">
        <v>2191</v>
      </c>
      <c r="C509" s="20">
        <v>0</v>
      </c>
      <c r="E509" s="20" t="s">
        <v>1975</v>
      </c>
      <c r="F509" s="20" t="s">
        <v>2191</v>
      </c>
      <c r="G509" s="20">
        <v>0</v>
      </c>
      <c r="AA509" s="20" t="s">
        <v>1612</v>
      </c>
      <c r="AB509" s="20">
        <v>-1333.66</v>
      </c>
      <c r="AC509" s="20">
        <v>0</v>
      </c>
      <c r="AK509" s="20" t="s">
        <v>3628</v>
      </c>
      <c r="AL509" s="20"/>
      <c r="AM509">
        <v>1</v>
      </c>
    </row>
    <row r="510" spans="1:39" x14ac:dyDescent="0.25">
      <c r="A510" s="20" t="s">
        <v>1264</v>
      </c>
      <c r="B510" s="20" t="s">
        <v>2191</v>
      </c>
      <c r="C510" s="20">
        <v>0</v>
      </c>
      <c r="E510" s="20" t="s">
        <v>2014</v>
      </c>
      <c r="F510" s="20" t="s">
        <v>2191</v>
      </c>
      <c r="G510" s="20">
        <v>0</v>
      </c>
      <c r="AA510" s="20" t="s">
        <v>1613</v>
      </c>
      <c r="AB510" s="20">
        <v>-667.7</v>
      </c>
      <c r="AC510" s="20">
        <v>0</v>
      </c>
      <c r="AK510" s="20" t="s">
        <v>3671</v>
      </c>
      <c r="AL510" s="20">
        <v>1</v>
      </c>
      <c r="AM510">
        <v>1</v>
      </c>
    </row>
    <row r="511" spans="1:39" x14ac:dyDescent="0.25">
      <c r="A511" s="20" t="s">
        <v>905</v>
      </c>
      <c r="B511" s="20" t="s">
        <v>2191</v>
      </c>
      <c r="C511" s="20">
        <v>0</v>
      </c>
      <c r="E511" s="20" t="s">
        <v>479</v>
      </c>
      <c r="F511" s="20" t="s">
        <v>2191</v>
      </c>
      <c r="G511" s="20">
        <v>0</v>
      </c>
      <c r="AA511" s="20" t="s">
        <v>2478</v>
      </c>
      <c r="AB511" s="20">
        <v>0</v>
      </c>
      <c r="AC511" s="20">
        <v>0</v>
      </c>
      <c r="AK511" s="20" t="s">
        <v>3662</v>
      </c>
      <c r="AL511" s="20">
        <v>4</v>
      </c>
      <c r="AM511">
        <v>7</v>
      </c>
    </row>
    <row r="512" spans="1:39" x14ac:dyDescent="0.25">
      <c r="A512" s="20" t="s">
        <v>2367</v>
      </c>
      <c r="B512" s="20" t="s">
        <v>2191</v>
      </c>
      <c r="C512" s="20">
        <v>0</v>
      </c>
      <c r="E512" s="20" t="s">
        <v>1936</v>
      </c>
      <c r="F512" s="20" t="s">
        <v>2191</v>
      </c>
      <c r="G512" s="20">
        <v>0</v>
      </c>
      <c r="AA512" s="20" t="s">
        <v>2479</v>
      </c>
      <c r="AB512" s="20">
        <v>0</v>
      </c>
      <c r="AC512" s="20">
        <v>0</v>
      </c>
      <c r="AK512" s="20" t="s">
        <v>584</v>
      </c>
      <c r="AL512" s="20">
        <v>0</v>
      </c>
      <c r="AM512">
        <v>4</v>
      </c>
    </row>
    <row r="513" spans="1:39" x14ac:dyDescent="0.25">
      <c r="A513" s="20" t="s">
        <v>2368</v>
      </c>
      <c r="B513" s="20" t="s">
        <v>2191</v>
      </c>
      <c r="C513" s="20">
        <v>0</v>
      </c>
      <c r="E513" s="20" t="s">
        <v>2016</v>
      </c>
      <c r="F513" s="20" t="s">
        <v>2191</v>
      </c>
      <c r="G513" s="20">
        <v>0</v>
      </c>
      <c r="AA513" s="20" t="s">
        <v>2171</v>
      </c>
      <c r="AB513" s="20">
        <v>0</v>
      </c>
      <c r="AC513" s="20">
        <v>0</v>
      </c>
      <c r="AK513" s="20" t="s">
        <v>1430</v>
      </c>
      <c r="AL513" s="20">
        <v>10</v>
      </c>
      <c r="AM513">
        <v>20</v>
      </c>
    </row>
    <row r="514" spans="1:39" x14ac:dyDescent="0.25">
      <c r="A514" s="20" t="s">
        <v>1592</v>
      </c>
      <c r="B514" s="20" t="s">
        <v>2191</v>
      </c>
      <c r="C514" s="20">
        <v>0</v>
      </c>
      <c r="E514" s="20" t="s">
        <v>467</v>
      </c>
      <c r="F514" s="20" t="s">
        <v>2191</v>
      </c>
      <c r="G514" s="20">
        <v>1684</v>
      </c>
      <c r="AA514" s="20" t="s">
        <v>2480</v>
      </c>
      <c r="AB514" s="20">
        <v>0</v>
      </c>
      <c r="AC514" s="20">
        <v>0</v>
      </c>
      <c r="AK514" s="20" t="s">
        <v>988</v>
      </c>
      <c r="AL514" s="20">
        <v>2</v>
      </c>
      <c r="AM514">
        <v>2</v>
      </c>
    </row>
    <row r="515" spans="1:39" x14ac:dyDescent="0.25">
      <c r="A515" s="20" t="s">
        <v>2369</v>
      </c>
      <c r="B515" s="20" t="s">
        <v>2191</v>
      </c>
      <c r="C515" s="20">
        <v>0</v>
      </c>
      <c r="E515" s="20" t="s">
        <v>641</v>
      </c>
      <c r="F515" s="20" t="s">
        <v>2191</v>
      </c>
      <c r="G515" s="20">
        <v>0</v>
      </c>
      <c r="AA515" s="20" t="s">
        <v>2481</v>
      </c>
      <c r="AB515" s="20">
        <v>0</v>
      </c>
      <c r="AC515" s="20">
        <v>0</v>
      </c>
      <c r="AK515" s="20" t="s">
        <v>586</v>
      </c>
      <c r="AL515" s="20">
        <v>0</v>
      </c>
      <c r="AM515">
        <v>4</v>
      </c>
    </row>
    <row r="516" spans="1:39" x14ac:dyDescent="0.25">
      <c r="A516" s="20" t="s">
        <v>1265</v>
      </c>
      <c r="B516" s="20" t="s">
        <v>2191</v>
      </c>
      <c r="C516" s="20">
        <v>0</v>
      </c>
      <c r="E516" s="20" t="s">
        <v>480</v>
      </c>
      <c r="F516" s="20" t="s">
        <v>2191</v>
      </c>
      <c r="G516" s="20">
        <v>4242</v>
      </c>
      <c r="AA516" s="20" t="s">
        <v>2482</v>
      </c>
      <c r="AB516" s="20">
        <v>0</v>
      </c>
      <c r="AC516" s="20">
        <v>0</v>
      </c>
      <c r="AK516" s="20" t="s">
        <v>1070</v>
      </c>
      <c r="AL516" s="20">
        <v>3</v>
      </c>
      <c r="AM516">
        <v>7</v>
      </c>
    </row>
    <row r="517" spans="1:39" x14ac:dyDescent="0.25">
      <c r="A517" s="20" t="s">
        <v>1593</v>
      </c>
      <c r="B517" s="20" t="s">
        <v>2191</v>
      </c>
      <c r="C517" s="20">
        <v>0</v>
      </c>
      <c r="E517" s="20" t="s">
        <v>917</v>
      </c>
      <c r="F517" s="20" t="s">
        <v>2191</v>
      </c>
      <c r="G517" s="20">
        <v>7319</v>
      </c>
      <c r="AA517" s="20" t="s">
        <v>2483</v>
      </c>
      <c r="AB517" s="20">
        <v>0</v>
      </c>
      <c r="AC517" s="20">
        <v>0</v>
      </c>
    </row>
    <row r="518" spans="1:39" x14ac:dyDescent="0.25">
      <c r="A518" s="20" t="s">
        <v>2006</v>
      </c>
      <c r="B518" s="20" t="s">
        <v>2191</v>
      </c>
      <c r="C518" s="20">
        <v>0</v>
      </c>
      <c r="E518" s="20" t="s">
        <v>483</v>
      </c>
      <c r="F518" s="20" t="s">
        <v>2191</v>
      </c>
      <c r="G518" s="20">
        <v>4370</v>
      </c>
      <c r="AA518" s="20" t="s">
        <v>1614</v>
      </c>
      <c r="AB518" s="20">
        <v>-1186.6199999999999</v>
      </c>
      <c r="AC518" s="20">
        <v>0</v>
      </c>
    </row>
    <row r="519" spans="1:39" x14ac:dyDescent="0.25">
      <c r="A519" s="20" t="s">
        <v>710</v>
      </c>
      <c r="B519" s="20" t="s">
        <v>2191</v>
      </c>
      <c r="C519" s="20">
        <v>0</v>
      </c>
      <c r="E519" s="20" t="s">
        <v>2850</v>
      </c>
      <c r="F519" s="20" t="s">
        <v>2191</v>
      </c>
      <c r="G519" s="20">
        <v>0</v>
      </c>
      <c r="AA519" s="20" t="s">
        <v>2484</v>
      </c>
      <c r="AB519" s="20">
        <v>0</v>
      </c>
      <c r="AC519" s="20">
        <v>0</v>
      </c>
    </row>
    <row r="520" spans="1:39" x14ac:dyDescent="0.25">
      <c r="A520" s="20" t="s">
        <v>2370</v>
      </c>
      <c r="B520" s="20" t="s">
        <v>2191</v>
      </c>
      <c r="C520" s="20">
        <v>0</v>
      </c>
      <c r="E520" s="20" t="s">
        <v>1432</v>
      </c>
      <c r="F520" s="20" t="s">
        <v>2191</v>
      </c>
      <c r="G520" s="20">
        <v>0</v>
      </c>
      <c r="AA520" s="20" t="s">
        <v>1839</v>
      </c>
      <c r="AB520" s="20">
        <v>0</v>
      </c>
      <c r="AC520" s="20">
        <v>0</v>
      </c>
    </row>
    <row r="521" spans="1:39" x14ac:dyDescent="0.25">
      <c r="A521" s="20" t="s">
        <v>2371</v>
      </c>
      <c r="B521" s="20" t="s">
        <v>2191</v>
      </c>
      <c r="C521" s="20">
        <v>0</v>
      </c>
      <c r="E521" s="20" t="s">
        <v>1380</v>
      </c>
      <c r="F521" s="20" t="s">
        <v>2191</v>
      </c>
      <c r="G521" s="20">
        <v>0</v>
      </c>
      <c r="AA521" s="20" t="s">
        <v>2485</v>
      </c>
      <c r="AB521" s="20">
        <v>0</v>
      </c>
      <c r="AC521" s="20">
        <v>0</v>
      </c>
    </row>
    <row r="522" spans="1:39" x14ac:dyDescent="0.25">
      <c r="A522" s="20" t="s">
        <v>2372</v>
      </c>
      <c r="B522" s="20" t="s">
        <v>2191</v>
      </c>
      <c r="C522" s="20">
        <v>0</v>
      </c>
      <c r="E522" s="20" t="s">
        <v>117</v>
      </c>
      <c r="F522" s="20" t="s">
        <v>2191</v>
      </c>
      <c r="G522" s="20">
        <v>0</v>
      </c>
      <c r="AA522" s="20" t="s">
        <v>2486</v>
      </c>
      <c r="AB522" s="20">
        <v>0</v>
      </c>
      <c r="AC522" s="20">
        <v>0</v>
      </c>
    </row>
    <row r="523" spans="1:39" x14ac:dyDescent="0.25">
      <c r="A523" s="20" t="s">
        <v>1835</v>
      </c>
      <c r="B523" s="20" t="s">
        <v>2191</v>
      </c>
      <c r="C523" s="20">
        <v>0</v>
      </c>
      <c r="E523" s="20" t="s">
        <v>1977</v>
      </c>
      <c r="F523" s="20" t="s">
        <v>2191</v>
      </c>
      <c r="G523" s="20">
        <v>0</v>
      </c>
      <c r="AA523" s="20" t="s">
        <v>2487</v>
      </c>
      <c r="AB523" s="20">
        <v>0</v>
      </c>
      <c r="AC523" s="20">
        <v>0</v>
      </c>
    </row>
    <row r="524" spans="1:39" x14ac:dyDescent="0.25">
      <c r="A524" s="20" t="s">
        <v>2373</v>
      </c>
      <c r="B524" s="20" t="s">
        <v>2191</v>
      </c>
      <c r="C524" s="20">
        <v>0</v>
      </c>
      <c r="E524" s="20" t="s">
        <v>2017</v>
      </c>
      <c r="F524" s="20" t="s">
        <v>2191</v>
      </c>
      <c r="G524" s="20">
        <v>0</v>
      </c>
      <c r="AA524" s="20" t="s">
        <v>2488</v>
      </c>
      <c r="AB524" s="20">
        <v>0</v>
      </c>
      <c r="AC524" s="20">
        <v>0</v>
      </c>
    </row>
    <row r="525" spans="1:39" x14ac:dyDescent="0.25">
      <c r="A525" s="20" t="s">
        <v>2093</v>
      </c>
      <c r="B525" s="20" t="s">
        <v>2191</v>
      </c>
      <c r="C525" s="20">
        <v>0</v>
      </c>
      <c r="E525" s="20" t="s">
        <v>643</v>
      </c>
      <c r="F525" s="20" t="s">
        <v>2191</v>
      </c>
      <c r="G525" s="20">
        <v>0</v>
      </c>
      <c r="AA525" s="20" t="s">
        <v>2489</v>
      </c>
      <c r="AB525" s="20">
        <v>0</v>
      </c>
      <c r="AC525" s="20">
        <v>0</v>
      </c>
    </row>
    <row r="526" spans="1:39" x14ac:dyDescent="0.25">
      <c r="A526" s="20" t="s">
        <v>2374</v>
      </c>
      <c r="B526" s="20" t="s">
        <v>2191</v>
      </c>
      <c r="C526" s="20">
        <v>0</v>
      </c>
      <c r="E526" s="20" t="s">
        <v>1690</v>
      </c>
      <c r="F526" s="20" t="s">
        <v>2191</v>
      </c>
      <c r="G526" s="20">
        <v>0</v>
      </c>
      <c r="AA526" s="20" t="s">
        <v>1207</v>
      </c>
      <c r="AB526" s="20">
        <v>12558.04</v>
      </c>
      <c r="AC526" s="20">
        <v>251028.14</v>
      </c>
    </row>
    <row r="527" spans="1:39" x14ac:dyDescent="0.25">
      <c r="A527" s="20" t="s">
        <v>1200</v>
      </c>
      <c r="B527" s="20" t="s">
        <v>2191</v>
      </c>
      <c r="C527" s="20">
        <v>8504</v>
      </c>
      <c r="E527" s="20" t="s">
        <v>1000</v>
      </c>
      <c r="F527" s="20" t="s">
        <v>2191</v>
      </c>
      <c r="G527" s="20">
        <v>2858</v>
      </c>
      <c r="AA527" s="20" t="s">
        <v>2490</v>
      </c>
      <c r="AB527" s="20">
        <v>0</v>
      </c>
      <c r="AC527" s="20">
        <v>0</v>
      </c>
    </row>
    <row r="528" spans="1:39" x14ac:dyDescent="0.25">
      <c r="A528" s="20" t="s">
        <v>1202</v>
      </c>
      <c r="B528" s="20" t="s">
        <v>2191</v>
      </c>
      <c r="C528" s="20">
        <v>0</v>
      </c>
      <c r="E528" s="20" t="s">
        <v>718</v>
      </c>
      <c r="F528" s="20" t="s">
        <v>2191</v>
      </c>
      <c r="G528" s="20">
        <v>0</v>
      </c>
      <c r="AA528" s="20" t="s">
        <v>2491</v>
      </c>
      <c r="AB528" s="20">
        <v>0</v>
      </c>
      <c r="AC528" s="20">
        <v>0</v>
      </c>
    </row>
    <row r="529" spans="1:29" x14ac:dyDescent="0.25">
      <c r="A529" s="20" t="s">
        <v>1098</v>
      </c>
      <c r="B529" s="20" t="s">
        <v>2191</v>
      </c>
      <c r="C529" s="20">
        <v>-1610.82</v>
      </c>
      <c r="E529" s="20" t="s">
        <v>118</v>
      </c>
      <c r="F529" s="20" t="s">
        <v>2191</v>
      </c>
      <c r="G529" s="20">
        <v>0</v>
      </c>
      <c r="AA529" s="20" t="s">
        <v>907</v>
      </c>
      <c r="AB529" s="20">
        <v>-2303.3200000000002</v>
      </c>
      <c r="AC529" s="20">
        <v>44418.41</v>
      </c>
    </row>
    <row r="530" spans="1:29" x14ac:dyDescent="0.25">
      <c r="A530" s="20" t="s">
        <v>2094</v>
      </c>
      <c r="B530" s="20" t="s">
        <v>2191</v>
      </c>
      <c r="C530" s="20">
        <v>0</v>
      </c>
      <c r="E530" s="20" t="s">
        <v>1466</v>
      </c>
      <c r="F530" s="20" t="s">
        <v>2191</v>
      </c>
      <c r="G530" s="20">
        <v>0</v>
      </c>
      <c r="AA530" s="20" t="s">
        <v>2492</v>
      </c>
      <c r="AB530" s="20">
        <v>0</v>
      </c>
      <c r="AC530" s="20">
        <v>0</v>
      </c>
    </row>
    <row r="531" spans="1:29" x14ac:dyDescent="0.25">
      <c r="A531" s="20" t="s">
        <v>2375</v>
      </c>
      <c r="B531" s="20" t="s">
        <v>2191</v>
      </c>
      <c r="C531" s="20">
        <v>0</v>
      </c>
      <c r="E531" s="20" t="s">
        <v>2018</v>
      </c>
      <c r="F531" s="20" t="s">
        <v>2191</v>
      </c>
      <c r="G531" s="20">
        <v>0</v>
      </c>
      <c r="AA531" s="20" t="s">
        <v>2493</v>
      </c>
      <c r="AB531" s="20">
        <v>0</v>
      </c>
      <c r="AC531" s="20">
        <v>0</v>
      </c>
    </row>
    <row r="532" spans="1:29" x14ac:dyDescent="0.25">
      <c r="A532" s="20" t="s">
        <v>2376</v>
      </c>
      <c r="B532" s="20" t="s">
        <v>2191</v>
      </c>
      <c r="C532" s="20">
        <v>0</v>
      </c>
      <c r="E532" s="20" t="s">
        <v>296</v>
      </c>
      <c r="F532" s="20" t="s">
        <v>2191</v>
      </c>
      <c r="G532" s="20">
        <v>-3166.73</v>
      </c>
      <c r="AA532" s="20" t="s">
        <v>1615</v>
      </c>
      <c r="AB532" s="20">
        <v>-2740.16</v>
      </c>
      <c r="AC532" s="20">
        <v>0</v>
      </c>
    </row>
    <row r="533" spans="1:29" x14ac:dyDescent="0.25">
      <c r="A533" s="20" t="s">
        <v>608</v>
      </c>
      <c r="B533" s="20" t="s">
        <v>2191</v>
      </c>
      <c r="C533" s="20">
        <v>0</v>
      </c>
      <c r="E533" s="20" t="s">
        <v>1199</v>
      </c>
      <c r="F533" s="20" t="s">
        <v>2191</v>
      </c>
      <c r="G533" s="20">
        <v>19065</v>
      </c>
      <c r="AA533" s="20" t="s">
        <v>1616</v>
      </c>
      <c r="AB533" s="20">
        <v>-1177.27</v>
      </c>
      <c r="AC533" s="20">
        <v>4571.93</v>
      </c>
    </row>
    <row r="534" spans="1:29" x14ac:dyDescent="0.25">
      <c r="A534" s="20" t="s">
        <v>1594</v>
      </c>
      <c r="B534" s="20" t="s">
        <v>2191</v>
      </c>
      <c r="C534" s="20">
        <v>0</v>
      </c>
      <c r="E534" s="20" t="s">
        <v>2053</v>
      </c>
      <c r="F534" s="20" t="s">
        <v>2191</v>
      </c>
      <c r="G534" s="20">
        <v>0</v>
      </c>
      <c r="AA534" s="20" t="s">
        <v>2494</v>
      </c>
      <c r="AB534" s="20">
        <v>0</v>
      </c>
      <c r="AC534" s="20">
        <v>0</v>
      </c>
    </row>
    <row r="535" spans="1:29" x14ac:dyDescent="0.25">
      <c r="A535" s="20" t="s">
        <v>2377</v>
      </c>
      <c r="B535" s="20" t="s">
        <v>2191</v>
      </c>
      <c r="C535" s="20">
        <v>0</v>
      </c>
      <c r="E535" s="20" t="s">
        <v>119</v>
      </c>
      <c r="F535" s="20" t="s">
        <v>2191</v>
      </c>
      <c r="G535" s="20">
        <v>0</v>
      </c>
      <c r="AA535" s="20" t="s">
        <v>1617</v>
      </c>
      <c r="AB535" s="20">
        <v>-661.44</v>
      </c>
      <c r="AC535" s="20">
        <v>0</v>
      </c>
    </row>
    <row r="536" spans="1:29" x14ac:dyDescent="0.25">
      <c r="A536" s="20" t="s">
        <v>1595</v>
      </c>
      <c r="B536" s="20" t="s">
        <v>2191</v>
      </c>
      <c r="C536" s="20">
        <v>0</v>
      </c>
      <c r="E536" s="20" t="s">
        <v>1467</v>
      </c>
      <c r="F536" s="20" t="s">
        <v>2191</v>
      </c>
      <c r="G536" s="20">
        <v>0</v>
      </c>
      <c r="AA536" s="20" t="s">
        <v>2495</v>
      </c>
      <c r="AB536" s="20">
        <v>0</v>
      </c>
      <c r="AC536" s="20">
        <v>0</v>
      </c>
    </row>
    <row r="537" spans="1:29" x14ac:dyDescent="0.25">
      <c r="A537" s="20" t="s">
        <v>1596</v>
      </c>
      <c r="B537" s="20" t="s">
        <v>2191</v>
      </c>
      <c r="C537" s="20">
        <v>0</v>
      </c>
      <c r="E537" s="20" t="s">
        <v>720</v>
      </c>
      <c r="F537" s="20" t="s">
        <v>2191</v>
      </c>
      <c r="G537" s="20">
        <v>0</v>
      </c>
      <c r="AA537" s="20" t="s">
        <v>2496</v>
      </c>
      <c r="AB537" s="20">
        <v>0</v>
      </c>
      <c r="AC537" s="20">
        <v>0</v>
      </c>
    </row>
    <row r="538" spans="1:29" x14ac:dyDescent="0.25">
      <c r="A538" s="20" t="s">
        <v>109</v>
      </c>
      <c r="B538" s="20" t="s">
        <v>2191</v>
      </c>
      <c r="C538" s="20">
        <v>5766</v>
      </c>
      <c r="E538" s="20" t="s">
        <v>2180</v>
      </c>
      <c r="F538" s="20" t="s">
        <v>2191</v>
      </c>
      <c r="G538" s="20">
        <v>0</v>
      </c>
      <c r="AA538" s="20" t="s">
        <v>2096</v>
      </c>
      <c r="AB538" s="20">
        <v>0</v>
      </c>
      <c r="AC538" s="20">
        <v>0</v>
      </c>
    </row>
    <row r="539" spans="1:29" x14ac:dyDescent="0.25">
      <c r="A539" s="20" t="s">
        <v>110</v>
      </c>
      <c r="B539" s="20" t="s">
        <v>2191</v>
      </c>
      <c r="C539" s="20">
        <v>8066.93</v>
      </c>
      <c r="E539" s="20" t="s">
        <v>1979</v>
      </c>
      <c r="F539" s="20" t="s">
        <v>2191</v>
      </c>
      <c r="G539" s="20">
        <v>0</v>
      </c>
      <c r="AA539" s="20" t="s">
        <v>1618</v>
      </c>
      <c r="AB539" s="20">
        <v>-1384.01</v>
      </c>
      <c r="AC539" s="20">
        <v>0</v>
      </c>
    </row>
    <row r="540" spans="1:29" x14ac:dyDescent="0.25">
      <c r="A540" s="20" t="s">
        <v>1908</v>
      </c>
      <c r="B540" s="20" t="s">
        <v>2191</v>
      </c>
      <c r="C540" s="20">
        <v>0</v>
      </c>
      <c r="E540" s="20" t="s">
        <v>1938</v>
      </c>
      <c r="F540" s="20" t="s">
        <v>2191</v>
      </c>
      <c r="G540" s="20">
        <v>0</v>
      </c>
      <c r="AA540" s="20" t="s">
        <v>2497</v>
      </c>
      <c r="AB540" s="20">
        <v>0</v>
      </c>
      <c r="AC540" s="20">
        <v>0</v>
      </c>
    </row>
    <row r="541" spans="1:29" x14ac:dyDescent="0.25">
      <c r="A541" s="20" t="s">
        <v>258</v>
      </c>
      <c r="B541" s="20" t="s">
        <v>2191</v>
      </c>
      <c r="C541" s="20">
        <v>0</v>
      </c>
      <c r="E541" s="20" t="s">
        <v>646</v>
      </c>
      <c r="F541" s="20" t="s">
        <v>2191</v>
      </c>
      <c r="G541" s="20">
        <v>3453</v>
      </c>
      <c r="AA541" s="20" t="s">
        <v>2498</v>
      </c>
      <c r="AB541" s="20">
        <v>0</v>
      </c>
      <c r="AC541" s="20">
        <v>0</v>
      </c>
    </row>
    <row r="542" spans="1:29" x14ac:dyDescent="0.25">
      <c r="A542" s="20" t="s">
        <v>2378</v>
      </c>
      <c r="B542" s="20" t="s">
        <v>2191</v>
      </c>
      <c r="C542" s="20">
        <v>0</v>
      </c>
      <c r="E542" s="20" t="s">
        <v>1863</v>
      </c>
      <c r="F542" s="20" t="s">
        <v>2191</v>
      </c>
      <c r="G542" s="20">
        <v>0</v>
      </c>
      <c r="AA542" s="20" t="s">
        <v>2156</v>
      </c>
      <c r="AB542" s="20">
        <v>0</v>
      </c>
      <c r="AC542" s="20">
        <v>0</v>
      </c>
    </row>
    <row r="543" spans="1:29" x14ac:dyDescent="0.25">
      <c r="A543" s="20" t="s">
        <v>2379</v>
      </c>
      <c r="B543" s="20" t="s">
        <v>2191</v>
      </c>
      <c r="C543" s="20">
        <v>0</v>
      </c>
      <c r="E543" s="20" t="s">
        <v>1219</v>
      </c>
      <c r="F543" s="20" t="s">
        <v>2191</v>
      </c>
      <c r="G543" s="20">
        <v>0</v>
      </c>
      <c r="AA543" s="20" t="s">
        <v>2499</v>
      </c>
      <c r="AB543" s="20">
        <v>0</v>
      </c>
      <c r="AC543" s="20">
        <v>0</v>
      </c>
    </row>
    <row r="544" spans="1:29" x14ac:dyDescent="0.25">
      <c r="A544" s="20" t="s">
        <v>1966</v>
      </c>
      <c r="B544" s="20" t="s">
        <v>2191</v>
      </c>
      <c r="C544" s="20">
        <v>0</v>
      </c>
      <c r="E544" s="20" t="s">
        <v>2161</v>
      </c>
      <c r="F544" s="20" t="s">
        <v>2191</v>
      </c>
      <c r="G544" s="20">
        <v>0</v>
      </c>
      <c r="AA544" s="20" t="s">
        <v>2501</v>
      </c>
      <c r="AB544" s="20">
        <v>0</v>
      </c>
      <c r="AC544" s="20">
        <v>0</v>
      </c>
    </row>
    <row r="545" spans="1:29" x14ac:dyDescent="0.25">
      <c r="A545" s="20" t="s">
        <v>2380</v>
      </c>
      <c r="B545" s="20" t="s">
        <v>2191</v>
      </c>
      <c r="C545" s="20">
        <v>0</v>
      </c>
      <c r="E545" s="20" t="s">
        <v>668</v>
      </c>
      <c r="F545" s="20" t="s">
        <v>2191</v>
      </c>
      <c r="G545" s="20">
        <v>11253</v>
      </c>
      <c r="AA545" s="20" t="s">
        <v>1619</v>
      </c>
      <c r="AB545" s="20">
        <v>-1349.98</v>
      </c>
      <c r="AC545" s="20">
        <v>0</v>
      </c>
    </row>
    <row r="546" spans="1:29" x14ac:dyDescent="0.25">
      <c r="A546" s="20" t="s">
        <v>2381</v>
      </c>
      <c r="B546" s="20" t="s">
        <v>2191</v>
      </c>
      <c r="C546" s="20">
        <v>0</v>
      </c>
      <c r="E546" s="20" t="s">
        <v>1125</v>
      </c>
      <c r="F546" s="20" t="s">
        <v>2191</v>
      </c>
      <c r="G546" s="20">
        <v>0</v>
      </c>
      <c r="AA546" s="20" t="s">
        <v>2502</v>
      </c>
      <c r="AB546" s="20">
        <v>0</v>
      </c>
      <c r="AC546" s="20">
        <v>0</v>
      </c>
    </row>
    <row r="547" spans="1:29" x14ac:dyDescent="0.25">
      <c r="A547" s="20" t="s">
        <v>2382</v>
      </c>
      <c r="B547" s="20" t="s">
        <v>2191</v>
      </c>
      <c r="C547" s="20">
        <v>0</v>
      </c>
      <c r="E547" s="20" t="s">
        <v>1126</v>
      </c>
      <c r="F547" s="20" t="s">
        <v>2191</v>
      </c>
      <c r="G547" s="20">
        <v>0</v>
      </c>
      <c r="AA547" s="20" t="s">
        <v>2503</v>
      </c>
      <c r="AB547" s="20">
        <v>0</v>
      </c>
      <c r="AC547" s="20">
        <v>0</v>
      </c>
    </row>
    <row r="548" spans="1:29" x14ac:dyDescent="0.25">
      <c r="A548" s="20" t="s">
        <v>1597</v>
      </c>
      <c r="B548" s="20" t="s">
        <v>2191</v>
      </c>
      <c r="C548" s="20">
        <v>0</v>
      </c>
      <c r="E548" s="20" t="s">
        <v>1892</v>
      </c>
      <c r="F548" s="20" t="s">
        <v>2191</v>
      </c>
      <c r="G548" s="20">
        <v>0</v>
      </c>
      <c r="AA548" s="20" t="s">
        <v>2504</v>
      </c>
      <c r="AB548" s="20">
        <v>0</v>
      </c>
      <c r="AC548" s="20">
        <v>0</v>
      </c>
    </row>
    <row r="549" spans="1:29" x14ac:dyDescent="0.25">
      <c r="A549" s="20" t="s">
        <v>2126</v>
      </c>
      <c r="B549" s="20" t="s">
        <v>2191</v>
      </c>
      <c r="C549" s="20">
        <v>0</v>
      </c>
      <c r="E549" s="20" t="s">
        <v>121</v>
      </c>
      <c r="F549" s="20" t="s">
        <v>2191</v>
      </c>
      <c r="G549" s="20">
        <v>0</v>
      </c>
      <c r="AA549" s="20" t="s">
        <v>2505</v>
      </c>
      <c r="AB549" s="20">
        <v>0</v>
      </c>
      <c r="AC549" s="20">
        <v>0</v>
      </c>
    </row>
    <row r="550" spans="1:29" x14ac:dyDescent="0.25">
      <c r="A550" s="20" t="s">
        <v>2383</v>
      </c>
      <c r="B550" s="20" t="s">
        <v>2191</v>
      </c>
      <c r="C550" s="20">
        <v>0</v>
      </c>
      <c r="E550" s="20" t="s">
        <v>1127</v>
      </c>
      <c r="F550" s="20" t="s">
        <v>2191</v>
      </c>
      <c r="G550" s="20">
        <v>1611</v>
      </c>
      <c r="AA550" s="20" t="s">
        <v>2506</v>
      </c>
      <c r="AB550" s="20">
        <v>0</v>
      </c>
      <c r="AC550" s="20">
        <v>0</v>
      </c>
    </row>
    <row r="551" spans="1:29" x14ac:dyDescent="0.25">
      <c r="A551" s="20" t="s">
        <v>2384</v>
      </c>
      <c r="B551" s="20" t="s">
        <v>2191</v>
      </c>
      <c r="C551" s="20">
        <v>0</v>
      </c>
      <c r="E551" s="20" t="s">
        <v>1893</v>
      </c>
      <c r="F551" s="20" t="s">
        <v>2191</v>
      </c>
      <c r="G551" s="20">
        <v>0</v>
      </c>
      <c r="AA551" s="20" t="s">
        <v>2507</v>
      </c>
      <c r="AB551" s="20">
        <v>0</v>
      </c>
      <c r="AC551" s="20">
        <v>0</v>
      </c>
    </row>
    <row r="552" spans="1:29" x14ac:dyDescent="0.25">
      <c r="A552" s="20" t="s">
        <v>2385</v>
      </c>
      <c r="B552" s="20" t="s">
        <v>2191</v>
      </c>
      <c r="C552" s="20">
        <v>0</v>
      </c>
      <c r="E552" s="20" t="s">
        <v>298</v>
      </c>
      <c r="F552" s="20" t="s">
        <v>2191</v>
      </c>
      <c r="G552" s="20">
        <v>0</v>
      </c>
      <c r="AA552" s="20" t="s">
        <v>2508</v>
      </c>
      <c r="AB552" s="20">
        <v>0</v>
      </c>
      <c r="AC552" s="20">
        <v>0</v>
      </c>
    </row>
    <row r="553" spans="1:29" x14ac:dyDescent="0.25">
      <c r="A553" s="20" t="s">
        <v>2386</v>
      </c>
      <c r="B553" s="20" t="s">
        <v>2191</v>
      </c>
      <c r="C553" s="20">
        <v>0</v>
      </c>
      <c r="E553" s="20" t="s">
        <v>2984</v>
      </c>
      <c r="F553" s="20" t="s">
        <v>2191</v>
      </c>
      <c r="G553" s="20">
        <v>0</v>
      </c>
      <c r="AA553" s="20" t="s">
        <v>2509</v>
      </c>
      <c r="AB553" s="20">
        <v>0</v>
      </c>
      <c r="AC553" s="20">
        <v>0</v>
      </c>
    </row>
    <row r="554" spans="1:29" x14ac:dyDescent="0.25">
      <c r="A554" s="20" t="s">
        <v>1440</v>
      </c>
      <c r="B554" s="20" t="s">
        <v>2191</v>
      </c>
      <c r="C554" s="20">
        <v>0</v>
      </c>
      <c r="E554" s="20" t="s">
        <v>1011</v>
      </c>
      <c r="F554" s="20" t="s">
        <v>2191</v>
      </c>
      <c r="G554" s="20">
        <v>0</v>
      </c>
      <c r="AA554" s="20" t="s">
        <v>2510</v>
      </c>
      <c r="AB554" s="20">
        <v>0</v>
      </c>
      <c r="AC554" s="20">
        <v>0</v>
      </c>
    </row>
    <row r="555" spans="1:29" x14ac:dyDescent="0.25">
      <c r="A555" s="20" t="s">
        <v>2387</v>
      </c>
      <c r="B555" s="20" t="s">
        <v>2191</v>
      </c>
      <c r="C555" s="20">
        <v>0</v>
      </c>
      <c r="E555" s="20" t="s">
        <v>721</v>
      </c>
      <c r="F555" s="20" t="s">
        <v>2191</v>
      </c>
      <c r="G555" s="20">
        <v>0</v>
      </c>
      <c r="AA555" s="20" t="s">
        <v>1968</v>
      </c>
      <c r="AB555" s="20">
        <v>0</v>
      </c>
      <c r="AC555" s="20">
        <v>0</v>
      </c>
    </row>
    <row r="556" spans="1:29" x14ac:dyDescent="0.25">
      <c r="A556" s="20" t="s">
        <v>1598</v>
      </c>
      <c r="B556" s="20" t="s">
        <v>2191</v>
      </c>
      <c r="C556" s="20">
        <v>0</v>
      </c>
      <c r="E556" s="20" t="s">
        <v>300</v>
      </c>
      <c r="F556" s="20" t="s">
        <v>2191</v>
      </c>
      <c r="G556" s="20">
        <v>0</v>
      </c>
      <c r="AA556" s="20" t="s">
        <v>2511</v>
      </c>
      <c r="AB556" s="20">
        <v>0</v>
      </c>
      <c r="AC556" s="20">
        <v>0</v>
      </c>
    </row>
    <row r="557" spans="1:29" x14ac:dyDescent="0.25">
      <c r="A557" s="20" t="s">
        <v>1373</v>
      </c>
      <c r="B557" s="20" t="s">
        <v>2191</v>
      </c>
      <c r="C557" s="20">
        <v>17203.36</v>
      </c>
      <c r="E557" s="20" t="s">
        <v>487</v>
      </c>
      <c r="F557" s="20" t="s">
        <v>2191</v>
      </c>
      <c r="G557" s="20">
        <v>13001</v>
      </c>
      <c r="AA557" s="20" t="s">
        <v>1621</v>
      </c>
      <c r="AB557" s="20">
        <v>-725.8</v>
      </c>
      <c r="AC557" s="20">
        <v>0</v>
      </c>
    </row>
    <row r="558" spans="1:29" x14ac:dyDescent="0.25">
      <c r="A558" s="20" t="s">
        <v>2388</v>
      </c>
      <c r="B558" s="20" t="s">
        <v>2191</v>
      </c>
      <c r="C558" s="20">
        <v>0</v>
      </c>
      <c r="E558" s="20" t="s">
        <v>2137</v>
      </c>
      <c r="F558" s="20" t="s">
        <v>2191</v>
      </c>
      <c r="G558" s="20">
        <v>0</v>
      </c>
      <c r="AA558" s="20" t="s">
        <v>2512</v>
      </c>
      <c r="AB558" s="20">
        <v>0</v>
      </c>
      <c r="AC558" s="20">
        <v>0</v>
      </c>
    </row>
    <row r="559" spans="1:29" x14ac:dyDescent="0.25">
      <c r="A559" s="20" t="s">
        <v>1204</v>
      </c>
      <c r="B559" s="20" t="s">
        <v>2191</v>
      </c>
      <c r="C559" s="20">
        <v>0</v>
      </c>
      <c r="E559" s="20" t="s">
        <v>122</v>
      </c>
      <c r="F559" s="20" t="s">
        <v>2191</v>
      </c>
      <c r="G559" s="20">
        <v>0</v>
      </c>
      <c r="AA559" s="20" t="s">
        <v>2513</v>
      </c>
      <c r="AB559" s="20">
        <v>0</v>
      </c>
      <c r="AC559" s="20">
        <v>0</v>
      </c>
    </row>
    <row r="560" spans="1:29" x14ac:dyDescent="0.25">
      <c r="A560" s="20" t="s">
        <v>2389</v>
      </c>
      <c r="B560" s="20" t="s">
        <v>2191</v>
      </c>
      <c r="C560" s="20">
        <v>0</v>
      </c>
      <c r="E560" s="20" t="s">
        <v>922</v>
      </c>
      <c r="F560" s="20" t="s">
        <v>2191</v>
      </c>
      <c r="G560" s="20">
        <v>0</v>
      </c>
      <c r="AA560" s="20" t="s">
        <v>2514</v>
      </c>
      <c r="AB560" s="20">
        <v>0</v>
      </c>
      <c r="AC560" s="20">
        <v>0</v>
      </c>
    </row>
    <row r="561" spans="1:29" x14ac:dyDescent="0.25">
      <c r="A561" s="20" t="s">
        <v>2390</v>
      </c>
      <c r="B561" s="20" t="s">
        <v>2191</v>
      </c>
      <c r="C561" s="20">
        <v>0</v>
      </c>
      <c r="E561" s="20" t="s">
        <v>1290</v>
      </c>
      <c r="F561" s="20" t="s">
        <v>2191</v>
      </c>
      <c r="G561" s="20">
        <v>0</v>
      </c>
      <c r="AA561" s="20" t="s">
        <v>2515</v>
      </c>
      <c r="AB561" s="20">
        <v>0</v>
      </c>
      <c r="AC561" s="20">
        <v>0</v>
      </c>
    </row>
    <row r="562" spans="1:29" x14ac:dyDescent="0.25">
      <c r="A562" s="20" t="s">
        <v>2391</v>
      </c>
      <c r="B562" s="20" t="s">
        <v>2191</v>
      </c>
      <c r="C562" s="20">
        <v>0</v>
      </c>
      <c r="E562" s="20" t="s">
        <v>135</v>
      </c>
      <c r="F562" s="20" t="s">
        <v>2191</v>
      </c>
      <c r="G562" s="20">
        <v>0</v>
      </c>
      <c r="AA562" s="20" t="s">
        <v>2516</v>
      </c>
      <c r="AB562" s="20">
        <v>0</v>
      </c>
      <c r="AC562" s="20">
        <v>0</v>
      </c>
    </row>
    <row r="563" spans="1:29" x14ac:dyDescent="0.25">
      <c r="A563" s="20" t="s">
        <v>2392</v>
      </c>
      <c r="B563" s="20" t="s">
        <v>2191</v>
      </c>
      <c r="C563" s="20">
        <v>0</v>
      </c>
      <c r="E563" s="20" t="s">
        <v>489</v>
      </c>
      <c r="F563" s="20" t="s">
        <v>2191</v>
      </c>
      <c r="G563" s="20">
        <v>0</v>
      </c>
      <c r="AA563" s="20" t="s">
        <v>2517</v>
      </c>
      <c r="AB563" s="20">
        <v>0</v>
      </c>
      <c r="AC563" s="20">
        <v>0</v>
      </c>
    </row>
    <row r="564" spans="1:29" x14ac:dyDescent="0.25">
      <c r="A564" s="20" t="s">
        <v>2007</v>
      </c>
      <c r="B564" s="20" t="s">
        <v>2191</v>
      </c>
      <c r="C564" s="20">
        <v>0</v>
      </c>
      <c r="E564" s="20" t="s">
        <v>1012</v>
      </c>
      <c r="F564" s="20" t="s">
        <v>2191</v>
      </c>
      <c r="G564" s="20">
        <v>0</v>
      </c>
      <c r="AA564" s="20" t="s">
        <v>2518</v>
      </c>
      <c r="AB564" s="20">
        <v>0</v>
      </c>
      <c r="AC564" s="20">
        <v>0</v>
      </c>
    </row>
    <row r="565" spans="1:29" x14ac:dyDescent="0.25">
      <c r="A565" s="20" t="s">
        <v>1967</v>
      </c>
      <c r="B565" s="20" t="s">
        <v>2191</v>
      </c>
      <c r="C565" s="20">
        <v>0</v>
      </c>
      <c r="E565" s="20" t="s">
        <v>1517</v>
      </c>
      <c r="F565" s="20" t="s">
        <v>2191</v>
      </c>
      <c r="G565" s="20">
        <v>0</v>
      </c>
      <c r="AA565" s="20" t="s">
        <v>2519</v>
      </c>
      <c r="AB565" s="20">
        <v>0</v>
      </c>
      <c r="AC565" s="20">
        <v>0</v>
      </c>
    </row>
    <row r="566" spans="1:29" x14ac:dyDescent="0.25">
      <c r="A566" s="20" t="s">
        <v>2393</v>
      </c>
      <c r="B566" s="20" t="s">
        <v>2191</v>
      </c>
      <c r="C566" s="20">
        <v>0</v>
      </c>
      <c r="E566" s="20" t="s">
        <v>302</v>
      </c>
      <c r="F566" s="20" t="s">
        <v>2191</v>
      </c>
      <c r="G566" s="20">
        <v>0</v>
      </c>
      <c r="AA566" s="20" t="s">
        <v>2520</v>
      </c>
      <c r="AB566" s="20">
        <v>0</v>
      </c>
      <c r="AC566" s="20">
        <v>0</v>
      </c>
    </row>
    <row r="567" spans="1:29" x14ac:dyDescent="0.25">
      <c r="A567" s="20" t="s">
        <v>2394</v>
      </c>
      <c r="B567" s="20" t="s">
        <v>2191</v>
      </c>
      <c r="C567" s="20">
        <v>0</v>
      </c>
      <c r="E567" s="20" t="s">
        <v>1292</v>
      </c>
      <c r="F567" s="20" t="s">
        <v>2191</v>
      </c>
      <c r="G567" s="20">
        <v>0</v>
      </c>
      <c r="AA567" s="20" t="s">
        <v>2521</v>
      </c>
      <c r="AB567" s="20">
        <v>0</v>
      </c>
      <c r="AC567" s="20">
        <v>0</v>
      </c>
    </row>
    <row r="568" spans="1:29" x14ac:dyDescent="0.25">
      <c r="A568" s="20" t="s">
        <v>2395</v>
      </c>
      <c r="B568" s="20" t="s">
        <v>2191</v>
      </c>
      <c r="C568" s="20">
        <v>0</v>
      </c>
      <c r="E568" s="20" t="s">
        <v>303</v>
      </c>
      <c r="F568" s="20" t="s">
        <v>2191</v>
      </c>
      <c r="G568" s="20">
        <v>1644</v>
      </c>
      <c r="AA568" s="20" t="s">
        <v>2522</v>
      </c>
      <c r="AB568" s="20">
        <v>0</v>
      </c>
      <c r="AC568" s="20">
        <v>0</v>
      </c>
    </row>
    <row r="569" spans="1:29" x14ac:dyDescent="0.25">
      <c r="A569" s="20" t="s">
        <v>1909</v>
      </c>
      <c r="B569" s="20" t="s">
        <v>2191</v>
      </c>
      <c r="C569" s="20">
        <v>0</v>
      </c>
      <c r="E569" s="20" t="s">
        <v>1293</v>
      </c>
      <c r="F569" s="20" t="s">
        <v>2191</v>
      </c>
      <c r="G569" s="20">
        <v>0</v>
      </c>
      <c r="AA569" s="20" t="s">
        <v>2127</v>
      </c>
      <c r="AB569" s="20">
        <v>0</v>
      </c>
      <c r="AC569" s="20">
        <v>0</v>
      </c>
    </row>
    <row r="570" spans="1:29" x14ac:dyDescent="0.25">
      <c r="A570" s="20" t="s">
        <v>2095</v>
      </c>
      <c r="B570" s="20" t="s">
        <v>2191</v>
      </c>
      <c r="C570" s="20">
        <v>0</v>
      </c>
      <c r="E570" s="20" t="s">
        <v>492</v>
      </c>
      <c r="F570" s="20" t="s">
        <v>2191</v>
      </c>
      <c r="G570" s="20">
        <v>17913</v>
      </c>
      <c r="AA570" s="20" t="s">
        <v>2525</v>
      </c>
      <c r="AB570" s="20">
        <v>0</v>
      </c>
      <c r="AC570" s="20">
        <v>0</v>
      </c>
    </row>
    <row r="571" spans="1:29" x14ac:dyDescent="0.25">
      <c r="A571" s="20" t="s">
        <v>2396</v>
      </c>
      <c r="B571" s="20" t="s">
        <v>2191</v>
      </c>
      <c r="C571" s="20">
        <v>0</v>
      </c>
      <c r="E571" s="20" t="s">
        <v>305</v>
      </c>
      <c r="F571" s="20" t="s">
        <v>2191</v>
      </c>
      <c r="G571" s="20">
        <v>0</v>
      </c>
      <c r="AA571" s="20" t="s">
        <v>113</v>
      </c>
      <c r="AB571" s="20">
        <v>181687.17</v>
      </c>
      <c r="AC571" s="20">
        <v>971030.32</v>
      </c>
    </row>
    <row r="572" spans="1:29" x14ac:dyDescent="0.25">
      <c r="A572" s="20" t="s">
        <v>260</v>
      </c>
      <c r="B572" s="20" t="s">
        <v>2191</v>
      </c>
      <c r="C572" s="20">
        <v>0</v>
      </c>
      <c r="E572" s="20" t="s">
        <v>1295</v>
      </c>
      <c r="F572" s="20" t="s">
        <v>2191</v>
      </c>
      <c r="G572" s="20">
        <v>0</v>
      </c>
      <c r="AA572" s="20" t="s">
        <v>2526</v>
      </c>
      <c r="AB572" s="20">
        <v>0</v>
      </c>
      <c r="AC572" s="20">
        <v>0</v>
      </c>
    </row>
    <row r="573" spans="1:29" x14ac:dyDescent="0.25">
      <c r="A573" s="20" t="s">
        <v>1599</v>
      </c>
      <c r="B573" s="20" t="s">
        <v>2191</v>
      </c>
      <c r="C573" s="20">
        <v>0</v>
      </c>
      <c r="E573" s="20" t="s">
        <v>307</v>
      </c>
      <c r="F573" s="20" t="s">
        <v>2191</v>
      </c>
      <c r="G573" s="20">
        <v>3407</v>
      </c>
      <c r="AA573" s="20" t="s">
        <v>2527</v>
      </c>
      <c r="AB573" s="20">
        <v>0</v>
      </c>
      <c r="AC573" s="20">
        <v>0</v>
      </c>
    </row>
    <row r="574" spans="1:29" x14ac:dyDescent="0.25">
      <c r="A574" s="20" t="s">
        <v>1910</v>
      </c>
      <c r="B574" s="20" t="s">
        <v>2191</v>
      </c>
      <c r="C574" s="20">
        <v>0</v>
      </c>
      <c r="E574" s="20" t="s">
        <v>1227</v>
      </c>
      <c r="F574" s="20" t="s">
        <v>2191</v>
      </c>
      <c r="G574" s="20">
        <v>0</v>
      </c>
      <c r="AA574" s="20" t="s">
        <v>2528</v>
      </c>
      <c r="AB574" s="20">
        <v>0</v>
      </c>
      <c r="AC574" s="20">
        <v>0</v>
      </c>
    </row>
    <row r="575" spans="1:29" x14ac:dyDescent="0.25">
      <c r="A575" s="20" t="s">
        <v>2397</v>
      </c>
      <c r="B575" s="20" t="s">
        <v>2191</v>
      </c>
      <c r="C575" s="20">
        <v>0</v>
      </c>
      <c r="E575" s="20" t="s">
        <v>493</v>
      </c>
      <c r="F575" s="20" t="s">
        <v>2191</v>
      </c>
      <c r="G575" s="20">
        <v>0</v>
      </c>
      <c r="AA575" s="20" t="s">
        <v>1623</v>
      </c>
      <c r="AB575" s="20">
        <v>-647.02</v>
      </c>
      <c r="AC575" s="20">
        <v>0</v>
      </c>
    </row>
    <row r="576" spans="1:29" x14ac:dyDescent="0.25">
      <c r="A576" s="20" t="s">
        <v>2398</v>
      </c>
      <c r="B576" s="20" t="s">
        <v>2191</v>
      </c>
      <c r="C576" s="20">
        <v>0</v>
      </c>
      <c r="E576" s="20" t="s">
        <v>309</v>
      </c>
      <c r="F576" s="20" t="s">
        <v>2191</v>
      </c>
      <c r="G576" s="20">
        <v>0</v>
      </c>
      <c r="AA576" s="20" t="s">
        <v>2530</v>
      </c>
      <c r="AB576" s="20">
        <v>0</v>
      </c>
      <c r="AC576" s="20">
        <v>0</v>
      </c>
    </row>
    <row r="577" spans="1:29" x14ac:dyDescent="0.25">
      <c r="A577" s="20" t="s">
        <v>2399</v>
      </c>
      <c r="B577" s="20" t="s">
        <v>2191</v>
      </c>
      <c r="C577" s="20">
        <v>0</v>
      </c>
      <c r="E577" s="20" t="s">
        <v>1014</v>
      </c>
      <c r="F577" s="20" t="s">
        <v>2191</v>
      </c>
      <c r="G577" s="20">
        <v>0</v>
      </c>
      <c r="AA577" s="20" t="s">
        <v>2531</v>
      </c>
      <c r="AB577" s="20">
        <v>0</v>
      </c>
      <c r="AC577" s="20">
        <v>0</v>
      </c>
    </row>
    <row r="578" spans="1:29" x14ac:dyDescent="0.25">
      <c r="A578" s="20" t="s">
        <v>2400</v>
      </c>
      <c r="B578" s="20" t="s">
        <v>2191</v>
      </c>
      <c r="C578" s="20">
        <v>0</v>
      </c>
      <c r="E578" s="20" t="s">
        <v>633</v>
      </c>
      <c r="F578" s="20" t="s">
        <v>2191</v>
      </c>
      <c r="G578" s="20">
        <v>14100</v>
      </c>
      <c r="AA578" s="20" t="s">
        <v>2532</v>
      </c>
      <c r="AB578" s="20">
        <v>0</v>
      </c>
      <c r="AC578" s="20">
        <v>0</v>
      </c>
    </row>
    <row r="579" spans="1:29" x14ac:dyDescent="0.25">
      <c r="A579" s="20" t="s">
        <v>2008</v>
      </c>
      <c r="B579" s="20" t="s">
        <v>2191</v>
      </c>
      <c r="C579" s="20">
        <v>0</v>
      </c>
      <c r="E579" s="20" t="s">
        <v>1846</v>
      </c>
      <c r="F579" s="20" t="s">
        <v>2191</v>
      </c>
      <c r="G579" s="20">
        <v>0</v>
      </c>
      <c r="AA579" s="20" t="s">
        <v>2533</v>
      </c>
      <c r="AB579" s="20">
        <v>0</v>
      </c>
      <c r="AC579" s="20">
        <v>0</v>
      </c>
    </row>
    <row r="580" spans="1:29" x14ac:dyDescent="0.25">
      <c r="A580" s="20" t="s">
        <v>424</v>
      </c>
      <c r="B580" s="20" t="s">
        <v>2191</v>
      </c>
      <c r="C580" s="20">
        <v>21430</v>
      </c>
      <c r="E580" s="20" t="s">
        <v>1228</v>
      </c>
      <c r="F580" s="20" t="s">
        <v>2191</v>
      </c>
      <c r="G580" s="20">
        <v>0</v>
      </c>
      <c r="AA580" s="20" t="s">
        <v>1624</v>
      </c>
      <c r="AB580" s="20">
        <v>-916.49</v>
      </c>
      <c r="AC580" s="20">
        <v>0</v>
      </c>
    </row>
    <row r="581" spans="1:29" x14ac:dyDescent="0.25">
      <c r="A581" s="20" t="s">
        <v>1911</v>
      </c>
      <c r="B581" s="20" t="s">
        <v>2191</v>
      </c>
      <c r="C581" s="20">
        <v>0</v>
      </c>
      <c r="E581" s="20" t="s">
        <v>311</v>
      </c>
      <c r="F581" s="20" t="s">
        <v>2191</v>
      </c>
      <c r="G581" s="20">
        <v>0</v>
      </c>
      <c r="AA581" s="20" t="s">
        <v>2534</v>
      </c>
      <c r="AB581" s="20">
        <v>0</v>
      </c>
      <c r="AC581" s="20">
        <v>0</v>
      </c>
    </row>
    <row r="582" spans="1:29" x14ac:dyDescent="0.25">
      <c r="A582" s="20" t="s">
        <v>1836</v>
      </c>
      <c r="B582" s="20" t="s">
        <v>2191</v>
      </c>
      <c r="C582" s="20">
        <v>0</v>
      </c>
      <c r="E582" s="20" t="s">
        <v>1980</v>
      </c>
      <c r="F582" s="20" t="s">
        <v>2191</v>
      </c>
      <c r="G582" s="20">
        <v>0</v>
      </c>
      <c r="AA582" s="20" t="s">
        <v>2535</v>
      </c>
      <c r="AB582" s="20">
        <v>0</v>
      </c>
      <c r="AC582" s="20">
        <v>0</v>
      </c>
    </row>
    <row r="583" spans="1:29" x14ac:dyDescent="0.25">
      <c r="A583" s="20" t="s">
        <v>1837</v>
      </c>
      <c r="B583" s="20" t="s">
        <v>2191</v>
      </c>
      <c r="C583" s="20">
        <v>0</v>
      </c>
      <c r="E583" s="20" t="s">
        <v>98</v>
      </c>
      <c r="F583" s="20" t="s">
        <v>2191</v>
      </c>
      <c r="G583" s="20">
        <v>0</v>
      </c>
      <c r="AA583" s="20" t="s">
        <v>1625</v>
      </c>
      <c r="AB583" s="20">
        <v>-121.1</v>
      </c>
      <c r="AC583" s="20">
        <v>0</v>
      </c>
    </row>
    <row r="584" spans="1:29" x14ac:dyDescent="0.25">
      <c r="A584" s="20" t="s">
        <v>2401</v>
      </c>
      <c r="B584" s="20" t="s">
        <v>2191</v>
      </c>
      <c r="C584" s="20">
        <v>0</v>
      </c>
      <c r="E584" s="20" t="s">
        <v>1847</v>
      </c>
      <c r="F584" s="20" t="s">
        <v>2191</v>
      </c>
      <c r="G584" s="20">
        <v>0</v>
      </c>
      <c r="AA584" s="20" t="s">
        <v>263</v>
      </c>
      <c r="AB584" s="20">
        <v>-2596.77</v>
      </c>
      <c r="AC584" s="20">
        <v>85274.559999999998</v>
      </c>
    </row>
    <row r="585" spans="1:29" x14ac:dyDescent="0.25">
      <c r="A585" s="20" t="s">
        <v>2402</v>
      </c>
      <c r="B585" s="20" t="s">
        <v>2191</v>
      </c>
      <c r="C585" s="20">
        <v>0</v>
      </c>
      <c r="E585" s="20" t="s">
        <v>1296</v>
      </c>
      <c r="F585" s="20" t="s">
        <v>2191</v>
      </c>
      <c r="G585" s="20">
        <v>3008.21</v>
      </c>
      <c r="AA585" s="20" t="s">
        <v>2128</v>
      </c>
      <c r="AB585" s="20">
        <v>0</v>
      </c>
      <c r="AC585" s="20">
        <v>0</v>
      </c>
    </row>
    <row r="586" spans="1:29" x14ac:dyDescent="0.25">
      <c r="A586" s="20" t="s">
        <v>2403</v>
      </c>
      <c r="B586" s="20" t="s">
        <v>2191</v>
      </c>
      <c r="C586" s="20">
        <v>0</v>
      </c>
      <c r="E586" s="20" t="s">
        <v>495</v>
      </c>
      <c r="F586" s="20" t="s">
        <v>2191</v>
      </c>
      <c r="G586" s="20">
        <v>1491</v>
      </c>
      <c r="AA586" s="20" t="s">
        <v>2536</v>
      </c>
      <c r="AB586" s="20">
        <v>5361.96</v>
      </c>
      <c r="AC586" s="20">
        <v>158666.84</v>
      </c>
    </row>
    <row r="587" spans="1:29" x14ac:dyDescent="0.25">
      <c r="A587" s="20" t="s">
        <v>2404</v>
      </c>
      <c r="B587" s="20" t="s">
        <v>2191</v>
      </c>
      <c r="C587" s="20">
        <v>0</v>
      </c>
      <c r="E587" s="20" t="s">
        <v>2182</v>
      </c>
      <c r="F587" s="20" t="s">
        <v>2191</v>
      </c>
      <c r="G587" s="20">
        <v>0</v>
      </c>
      <c r="AA587" s="20" t="s">
        <v>909</v>
      </c>
      <c r="AB587" s="20">
        <v>0</v>
      </c>
      <c r="AC587" s="20">
        <v>0</v>
      </c>
    </row>
    <row r="588" spans="1:29" x14ac:dyDescent="0.25">
      <c r="A588" s="20" t="s">
        <v>2405</v>
      </c>
      <c r="B588" s="20" t="s">
        <v>2191</v>
      </c>
      <c r="C588" s="20">
        <v>0</v>
      </c>
      <c r="E588" s="20" t="s">
        <v>1297</v>
      </c>
      <c r="F588" s="20" t="s">
        <v>2191</v>
      </c>
      <c r="G588" s="20">
        <v>0</v>
      </c>
      <c r="AA588" s="20" t="s">
        <v>2537</v>
      </c>
      <c r="AB588" s="20">
        <v>0</v>
      </c>
      <c r="AC588" s="20">
        <v>0</v>
      </c>
    </row>
    <row r="589" spans="1:29" x14ac:dyDescent="0.25">
      <c r="A589" s="20" t="s">
        <v>2406</v>
      </c>
      <c r="B589" s="20" t="s">
        <v>2191</v>
      </c>
      <c r="C589" s="20">
        <v>0</v>
      </c>
      <c r="E589" s="20" t="s">
        <v>1469</v>
      </c>
      <c r="F589" s="20" t="s">
        <v>2191</v>
      </c>
      <c r="G589" s="20">
        <v>0</v>
      </c>
      <c r="AA589" s="20" t="s">
        <v>2538</v>
      </c>
      <c r="AB589" s="20">
        <v>0</v>
      </c>
      <c r="AC589" s="20">
        <v>0</v>
      </c>
    </row>
    <row r="590" spans="1:29" x14ac:dyDescent="0.25">
      <c r="A590" s="20" t="s">
        <v>2044</v>
      </c>
      <c r="B590" s="20" t="s">
        <v>2191</v>
      </c>
      <c r="C590" s="20">
        <v>0</v>
      </c>
      <c r="E590" s="20" t="s">
        <v>499</v>
      </c>
      <c r="F590" s="20" t="s">
        <v>2191</v>
      </c>
      <c r="G590" s="20">
        <v>0</v>
      </c>
      <c r="AA590" s="20" t="s">
        <v>2539</v>
      </c>
      <c r="AB590" s="20">
        <v>0</v>
      </c>
      <c r="AC590" s="20">
        <v>0</v>
      </c>
    </row>
    <row r="591" spans="1:29" x14ac:dyDescent="0.25">
      <c r="A591" s="20" t="s">
        <v>2407</v>
      </c>
      <c r="B591" s="20" t="s">
        <v>2191</v>
      </c>
      <c r="C591" s="20">
        <v>0</v>
      </c>
      <c r="E591" s="20" t="s">
        <v>2183</v>
      </c>
      <c r="F591" s="20" t="s">
        <v>2191</v>
      </c>
      <c r="G591" s="20">
        <v>0</v>
      </c>
      <c r="AA591" s="20" t="s">
        <v>2540</v>
      </c>
      <c r="AB591" s="20">
        <v>0</v>
      </c>
      <c r="AC591" s="20">
        <v>0</v>
      </c>
    </row>
    <row r="592" spans="1:29" x14ac:dyDescent="0.25">
      <c r="A592" s="20" t="s">
        <v>2408</v>
      </c>
      <c r="B592" s="20" t="s">
        <v>2191</v>
      </c>
      <c r="C592" s="20">
        <v>0</v>
      </c>
      <c r="E592" s="20" t="s">
        <v>1015</v>
      </c>
      <c r="F592" s="20" t="s">
        <v>2191</v>
      </c>
      <c r="G592" s="20">
        <v>0</v>
      </c>
      <c r="AA592" s="20" t="s">
        <v>2541</v>
      </c>
      <c r="AB592" s="20">
        <v>0</v>
      </c>
      <c r="AC592" s="20">
        <v>0</v>
      </c>
    </row>
    <row r="593" spans="1:29" x14ac:dyDescent="0.25">
      <c r="A593" s="20" t="s">
        <v>1600</v>
      </c>
      <c r="B593" s="20" t="s">
        <v>2191</v>
      </c>
      <c r="C593" s="20">
        <v>0</v>
      </c>
      <c r="E593" s="20" t="s">
        <v>312</v>
      </c>
      <c r="F593" s="20" t="s">
        <v>2191</v>
      </c>
      <c r="G593" s="20">
        <v>0</v>
      </c>
      <c r="AA593" s="20" t="s">
        <v>1626</v>
      </c>
      <c r="AB593" s="20">
        <v>-764.86</v>
      </c>
      <c r="AC593" s="20">
        <v>0</v>
      </c>
    </row>
    <row r="594" spans="1:29" x14ac:dyDescent="0.25">
      <c r="A594" s="20" t="s">
        <v>1857</v>
      </c>
      <c r="B594" s="20" t="s">
        <v>2191</v>
      </c>
      <c r="C594" s="20">
        <v>0</v>
      </c>
      <c r="E594" s="20" t="s">
        <v>1131</v>
      </c>
      <c r="F594" s="20" t="s">
        <v>2191</v>
      </c>
      <c r="G594" s="20">
        <v>0</v>
      </c>
      <c r="AA594" s="20" t="s">
        <v>1627</v>
      </c>
      <c r="AB594" s="20">
        <v>-2680.92</v>
      </c>
      <c r="AC594" s="20">
        <v>0</v>
      </c>
    </row>
    <row r="595" spans="1:29" x14ac:dyDescent="0.25">
      <c r="A595" s="20" t="s">
        <v>2009</v>
      </c>
      <c r="B595" s="20" t="s">
        <v>2191</v>
      </c>
      <c r="C595" s="20">
        <v>0</v>
      </c>
      <c r="E595" s="20" t="s">
        <v>1016</v>
      </c>
      <c r="F595" s="20" t="s">
        <v>2191</v>
      </c>
      <c r="G595" s="20">
        <v>0</v>
      </c>
      <c r="AA595" s="20" t="s">
        <v>2542</v>
      </c>
      <c r="AB595" s="20">
        <v>0</v>
      </c>
      <c r="AC595" s="20">
        <v>0</v>
      </c>
    </row>
    <row r="596" spans="1:29" x14ac:dyDescent="0.25">
      <c r="A596" s="20" t="s">
        <v>2409</v>
      </c>
      <c r="B596" s="20" t="s">
        <v>2191</v>
      </c>
      <c r="C596" s="20">
        <v>0</v>
      </c>
      <c r="E596" s="20" t="s">
        <v>1299</v>
      </c>
      <c r="F596" s="20" t="s">
        <v>2191</v>
      </c>
      <c r="G596" s="20">
        <v>0</v>
      </c>
      <c r="AA596" s="20" t="s">
        <v>1841</v>
      </c>
      <c r="AB596" s="20">
        <v>0</v>
      </c>
      <c r="AC596" s="20">
        <v>0</v>
      </c>
    </row>
    <row r="597" spans="1:29" x14ac:dyDescent="0.25">
      <c r="A597" s="20" t="s">
        <v>2410</v>
      </c>
      <c r="B597" s="20" t="s">
        <v>2191</v>
      </c>
      <c r="C597" s="20">
        <v>0</v>
      </c>
      <c r="E597" s="20" t="s">
        <v>1300</v>
      </c>
      <c r="F597" s="20" t="s">
        <v>2191</v>
      </c>
      <c r="G597" s="20">
        <v>0</v>
      </c>
      <c r="AA597" s="20" t="s">
        <v>1628</v>
      </c>
      <c r="AB597" s="20">
        <v>-2116.29</v>
      </c>
      <c r="AC597" s="20">
        <v>0</v>
      </c>
    </row>
    <row r="598" spans="1:29" x14ac:dyDescent="0.25">
      <c r="A598" s="20" t="s">
        <v>1601</v>
      </c>
      <c r="B598" s="20" t="s">
        <v>2191</v>
      </c>
      <c r="C598" s="20">
        <v>0</v>
      </c>
      <c r="E598" s="20" t="s">
        <v>723</v>
      </c>
      <c r="F598" s="20" t="s">
        <v>2191</v>
      </c>
      <c r="G598" s="20">
        <v>83675.490000000005</v>
      </c>
      <c r="AA598" s="20" t="s">
        <v>2543</v>
      </c>
      <c r="AB598" s="20">
        <v>0</v>
      </c>
      <c r="AC598" s="20">
        <v>0</v>
      </c>
    </row>
    <row r="599" spans="1:29" x14ac:dyDescent="0.25">
      <c r="A599" s="20" t="s">
        <v>2411</v>
      </c>
      <c r="B599" s="20" t="s">
        <v>2191</v>
      </c>
      <c r="C599" s="20">
        <v>0</v>
      </c>
      <c r="E599" s="20" t="s">
        <v>2055</v>
      </c>
      <c r="F599" s="20" t="s">
        <v>2191</v>
      </c>
      <c r="G599" s="20">
        <v>0</v>
      </c>
      <c r="AA599" s="20" t="s">
        <v>2544</v>
      </c>
      <c r="AB599" s="20">
        <v>0</v>
      </c>
      <c r="AC599" s="20">
        <v>0</v>
      </c>
    </row>
    <row r="600" spans="1:29" x14ac:dyDescent="0.25">
      <c r="A600" s="20" t="s">
        <v>2412</v>
      </c>
      <c r="B600" s="20" t="s">
        <v>2191</v>
      </c>
      <c r="C600" s="20">
        <v>0</v>
      </c>
      <c r="E600" s="20" t="s">
        <v>126</v>
      </c>
      <c r="F600" s="20" t="s">
        <v>2191</v>
      </c>
      <c r="G600" s="20">
        <v>0</v>
      </c>
      <c r="AA600" s="20" t="s">
        <v>2545</v>
      </c>
      <c r="AB600" s="20">
        <v>0</v>
      </c>
      <c r="AC600" s="20">
        <v>0</v>
      </c>
    </row>
    <row r="601" spans="1:29" x14ac:dyDescent="0.25">
      <c r="A601" s="20" t="s">
        <v>2413</v>
      </c>
      <c r="B601" s="20" t="s">
        <v>2191</v>
      </c>
      <c r="C601" s="20">
        <v>0</v>
      </c>
      <c r="E601" s="20" t="s">
        <v>127</v>
      </c>
      <c r="F601" s="20" t="s">
        <v>2191</v>
      </c>
      <c r="G601" s="20">
        <v>0</v>
      </c>
      <c r="AA601" s="20" t="s">
        <v>2546</v>
      </c>
      <c r="AB601" s="20">
        <v>0</v>
      </c>
      <c r="AC601" s="20">
        <v>0</v>
      </c>
    </row>
    <row r="602" spans="1:29" x14ac:dyDescent="0.25">
      <c r="A602" s="20" t="s">
        <v>1602</v>
      </c>
      <c r="B602" s="20" t="s">
        <v>2191</v>
      </c>
      <c r="C602" s="20">
        <v>0</v>
      </c>
      <c r="E602" s="20" t="s">
        <v>1459</v>
      </c>
      <c r="F602" s="20" t="s">
        <v>2191</v>
      </c>
      <c r="G602" s="20">
        <v>11308.65</v>
      </c>
      <c r="AA602" s="20" t="s">
        <v>2547</v>
      </c>
      <c r="AB602" s="20">
        <v>0</v>
      </c>
      <c r="AC602" s="20">
        <v>0</v>
      </c>
    </row>
    <row r="603" spans="1:29" x14ac:dyDescent="0.25">
      <c r="A603" s="20" t="s">
        <v>1603</v>
      </c>
      <c r="B603" s="20" t="s">
        <v>2191</v>
      </c>
      <c r="C603" s="20">
        <v>0</v>
      </c>
      <c r="E603" s="20" t="s">
        <v>2056</v>
      </c>
      <c r="F603" s="20" t="s">
        <v>2191</v>
      </c>
      <c r="G603" s="20">
        <v>0</v>
      </c>
      <c r="AA603" s="20" t="s">
        <v>2548</v>
      </c>
      <c r="AB603" s="20">
        <v>0</v>
      </c>
      <c r="AC603" s="20">
        <v>0</v>
      </c>
    </row>
    <row r="604" spans="1:29" x14ac:dyDescent="0.25">
      <c r="A604" s="20" t="s">
        <v>2414</v>
      </c>
      <c r="B604" s="20" t="s">
        <v>2191</v>
      </c>
      <c r="C604" s="20">
        <v>0</v>
      </c>
      <c r="E604" s="20" t="s">
        <v>1018</v>
      </c>
      <c r="F604" s="20" t="s">
        <v>2191</v>
      </c>
      <c r="G604" s="20">
        <v>0</v>
      </c>
      <c r="AA604" s="20" t="s">
        <v>1629</v>
      </c>
      <c r="AB604" s="20">
        <v>-93.22</v>
      </c>
      <c r="AC604" s="20">
        <v>0</v>
      </c>
    </row>
    <row r="605" spans="1:29" x14ac:dyDescent="0.25">
      <c r="A605" s="20" t="s">
        <v>2415</v>
      </c>
      <c r="B605" s="20" t="s">
        <v>2191</v>
      </c>
      <c r="C605" s="20">
        <v>0</v>
      </c>
      <c r="E605" s="20" t="s">
        <v>1020</v>
      </c>
      <c r="F605" s="20" t="s">
        <v>2191</v>
      </c>
      <c r="G605" s="20">
        <v>0</v>
      </c>
      <c r="AA605" s="20" t="s">
        <v>2549</v>
      </c>
      <c r="AB605" s="20">
        <v>0</v>
      </c>
      <c r="AC605" s="20">
        <v>0</v>
      </c>
    </row>
    <row r="606" spans="1:29" x14ac:dyDescent="0.25">
      <c r="A606" s="20" t="s">
        <v>2416</v>
      </c>
      <c r="B606" s="20" t="s">
        <v>2191</v>
      </c>
      <c r="C606" s="20">
        <v>0</v>
      </c>
      <c r="E606" s="20" t="s">
        <v>503</v>
      </c>
      <c r="F606" s="20" t="s">
        <v>2191</v>
      </c>
      <c r="G606" s="20">
        <v>53719.23</v>
      </c>
      <c r="AA606" s="20" t="s">
        <v>1630</v>
      </c>
      <c r="AB606" s="20">
        <v>-1586.09</v>
      </c>
      <c r="AC606" s="20">
        <v>0</v>
      </c>
    </row>
    <row r="607" spans="1:29" x14ac:dyDescent="0.25">
      <c r="A607" s="20" t="s">
        <v>2417</v>
      </c>
      <c r="B607" s="20" t="s">
        <v>2191</v>
      </c>
      <c r="C607" s="20">
        <v>0</v>
      </c>
      <c r="E607" s="20" t="s">
        <v>1896</v>
      </c>
      <c r="F607" s="20" t="s">
        <v>2191</v>
      </c>
      <c r="G607" s="20">
        <v>0</v>
      </c>
      <c r="AA607" s="20" t="s">
        <v>2550</v>
      </c>
      <c r="AB607" s="20">
        <v>0</v>
      </c>
      <c r="AC607" s="20">
        <v>0</v>
      </c>
    </row>
    <row r="608" spans="1:29" x14ac:dyDescent="0.25">
      <c r="A608" s="20" t="s">
        <v>2418</v>
      </c>
      <c r="B608" s="20" t="s">
        <v>2191</v>
      </c>
      <c r="C608" s="20">
        <v>0</v>
      </c>
      <c r="E608" s="20" t="s">
        <v>924</v>
      </c>
      <c r="F608" s="20" t="s">
        <v>2191</v>
      </c>
      <c r="G608" s="20">
        <v>0</v>
      </c>
      <c r="AA608" s="20" t="s">
        <v>2552</v>
      </c>
      <c r="AB608" s="20">
        <v>0</v>
      </c>
      <c r="AC608" s="20">
        <v>0</v>
      </c>
    </row>
    <row r="609" spans="1:29" x14ac:dyDescent="0.25">
      <c r="A609" s="20" t="s">
        <v>2419</v>
      </c>
      <c r="B609" s="20" t="s">
        <v>2191</v>
      </c>
      <c r="C609" s="20">
        <v>0</v>
      </c>
      <c r="E609" s="20" t="s">
        <v>2184</v>
      </c>
      <c r="F609" s="20" t="s">
        <v>2191</v>
      </c>
      <c r="G609" s="20">
        <v>0</v>
      </c>
      <c r="AA609" s="20" t="s">
        <v>2553</v>
      </c>
      <c r="AB609" s="20">
        <v>0</v>
      </c>
      <c r="AC609" s="20">
        <v>0</v>
      </c>
    </row>
    <row r="610" spans="1:29" x14ac:dyDescent="0.25">
      <c r="A610" s="20" t="s">
        <v>2420</v>
      </c>
      <c r="B610" s="20" t="s">
        <v>2191</v>
      </c>
      <c r="C610" s="20">
        <v>0</v>
      </c>
      <c r="E610" s="20" t="s">
        <v>81</v>
      </c>
      <c r="F610" s="20" t="s">
        <v>2191</v>
      </c>
      <c r="G610" s="20">
        <v>7074</v>
      </c>
      <c r="AA610" s="20" t="s">
        <v>2554</v>
      </c>
      <c r="AB610" s="20">
        <v>0</v>
      </c>
      <c r="AC610" s="20">
        <v>0</v>
      </c>
    </row>
    <row r="611" spans="1:29" x14ac:dyDescent="0.25">
      <c r="A611" s="20" t="s">
        <v>2421</v>
      </c>
      <c r="B611" s="20" t="s">
        <v>2191</v>
      </c>
      <c r="C611" s="20">
        <v>0</v>
      </c>
      <c r="E611" s="20" t="s">
        <v>128</v>
      </c>
      <c r="F611" s="20" t="s">
        <v>2191</v>
      </c>
      <c r="G611" s="20">
        <v>0</v>
      </c>
      <c r="AA611" s="20" t="s">
        <v>2557</v>
      </c>
      <c r="AB611" s="20">
        <v>0</v>
      </c>
      <c r="AC611" s="20">
        <v>0</v>
      </c>
    </row>
    <row r="612" spans="1:29" x14ac:dyDescent="0.25">
      <c r="A612" s="20" t="s">
        <v>2422</v>
      </c>
      <c r="B612" s="20" t="s">
        <v>2191</v>
      </c>
      <c r="C612" s="20">
        <v>0</v>
      </c>
      <c r="E612" s="20" t="s">
        <v>648</v>
      </c>
      <c r="F612" s="20" t="s">
        <v>2191</v>
      </c>
      <c r="G612" s="20">
        <v>3863.11</v>
      </c>
      <c r="AA612" s="20" t="s">
        <v>2010</v>
      </c>
      <c r="AB612" s="20">
        <v>0</v>
      </c>
      <c r="AC612" s="20">
        <v>0</v>
      </c>
    </row>
    <row r="613" spans="1:29" x14ac:dyDescent="0.25">
      <c r="A613" s="20" t="s">
        <v>1604</v>
      </c>
      <c r="B613" s="20" t="s">
        <v>2191</v>
      </c>
      <c r="C613" s="20">
        <v>0</v>
      </c>
      <c r="E613" s="20" t="s">
        <v>1866</v>
      </c>
      <c r="F613" s="20" t="s">
        <v>2191</v>
      </c>
      <c r="G613" s="20">
        <v>0</v>
      </c>
      <c r="AA613" s="20" t="s">
        <v>2559</v>
      </c>
      <c r="AB613" s="20">
        <v>0</v>
      </c>
      <c r="AC613" s="20">
        <v>0</v>
      </c>
    </row>
    <row r="614" spans="1:29" x14ac:dyDescent="0.25">
      <c r="A614" s="20" t="s">
        <v>2423</v>
      </c>
      <c r="B614" s="20" t="s">
        <v>2191</v>
      </c>
      <c r="C614" s="20">
        <v>0</v>
      </c>
      <c r="E614" s="20" t="s">
        <v>172</v>
      </c>
      <c r="F614" s="20" t="s">
        <v>2191</v>
      </c>
      <c r="G614" s="20">
        <v>0</v>
      </c>
      <c r="AA614" s="20" t="s">
        <v>2560</v>
      </c>
      <c r="AB614" s="20">
        <v>0</v>
      </c>
      <c r="AC614" s="20">
        <v>0</v>
      </c>
    </row>
    <row r="615" spans="1:29" x14ac:dyDescent="0.25">
      <c r="A615" s="20" t="s">
        <v>2424</v>
      </c>
      <c r="B615" s="20" t="s">
        <v>2191</v>
      </c>
      <c r="C615" s="20">
        <v>0</v>
      </c>
      <c r="E615" s="20" t="s">
        <v>926</v>
      </c>
      <c r="F615" s="20" t="s">
        <v>2191</v>
      </c>
      <c r="G615" s="20">
        <v>1263</v>
      </c>
      <c r="AA615" s="20" t="s">
        <v>2561</v>
      </c>
      <c r="AB615" s="20">
        <v>0</v>
      </c>
      <c r="AC615" s="20">
        <v>0</v>
      </c>
    </row>
    <row r="616" spans="1:29" x14ac:dyDescent="0.25">
      <c r="A616" s="20" t="s">
        <v>2425</v>
      </c>
      <c r="B616" s="20" t="s">
        <v>2191</v>
      </c>
      <c r="C616" s="20">
        <v>0</v>
      </c>
      <c r="E616" s="20" t="s">
        <v>1229</v>
      </c>
      <c r="F616" s="20" t="s">
        <v>2191</v>
      </c>
      <c r="G616" s="20">
        <v>54</v>
      </c>
      <c r="AA616" s="20" t="s">
        <v>1842</v>
      </c>
      <c r="AB616" s="20">
        <v>0</v>
      </c>
      <c r="AC616" s="20">
        <v>0</v>
      </c>
    </row>
    <row r="617" spans="1:29" x14ac:dyDescent="0.25">
      <c r="A617" s="20" t="s">
        <v>1605</v>
      </c>
      <c r="B617" s="20" t="s">
        <v>2191</v>
      </c>
      <c r="C617" s="20">
        <v>0</v>
      </c>
      <c r="E617" s="20" t="s">
        <v>1939</v>
      </c>
      <c r="F617" s="20" t="s">
        <v>2191</v>
      </c>
      <c r="G617" s="20">
        <v>0</v>
      </c>
      <c r="AA617" s="20" t="s">
        <v>2562</v>
      </c>
      <c r="AB617" s="20">
        <v>0</v>
      </c>
      <c r="AC617" s="20">
        <v>0</v>
      </c>
    </row>
    <row r="618" spans="1:29" x14ac:dyDescent="0.25">
      <c r="A618" s="20" t="s">
        <v>2426</v>
      </c>
      <c r="B618" s="20" t="s">
        <v>2191</v>
      </c>
      <c r="C618" s="20">
        <v>0</v>
      </c>
      <c r="E618" s="20" t="s">
        <v>1472</v>
      </c>
      <c r="F618" s="20" t="s">
        <v>2191</v>
      </c>
      <c r="G618" s="20">
        <v>0</v>
      </c>
      <c r="AA618" s="20" t="s">
        <v>1632</v>
      </c>
      <c r="AB618" s="20">
        <v>-2013.23</v>
      </c>
      <c r="AC618" s="20">
        <v>28.22</v>
      </c>
    </row>
    <row r="619" spans="1:29" x14ac:dyDescent="0.25">
      <c r="A619" s="20" t="s">
        <v>2427</v>
      </c>
      <c r="B619" s="20" t="s">
        <v>2191</v>
      </c>
      <c r="C619" s="20">
        <v>0</v>
      </c>
      <c r="E619" s="20" t="s">
        <v>725</v>
      </c>
      <c r="F619" s="20" t="s">
        <v>2191</v>
      </c>
      <c r="G619" s="20">
        <v>0</v>
      </c>
      <c r="AA619" s="20" t="s">
        <v>2563</v>
      </c>
      <c r="AB619" s="20">
        <v>0</v>
      </c>
      <c r="AC619" s="20">
        <v>0</v>
      </c>
    </row>
    <row r="620" spans="1:29" x14ac:dyDescent="0.25">
      <c r="A620" s="20" t="s">
        <v>2428</v>
      </c>
      <c r="B620" s="20" t="s">
        <v>2191</v>
      </c>
      <c r="C620" s="20">
        <v>0</v>
      </c>
      <c r="E620" s="20" t="s">
        <v>1940</v>
      </c>
      <c r="F620" s="20" t="s">
        <v>2191</v>
      </c>
      <c r="G620" s="20">
        <v>0</v>
      </c>
      <c r="AA620" s="20" t="s">
        <v>2564</v>
      </c>
      <c r="AB620" s="20">
        <v>0</v>
      </c>
      <c r="AC620" s="20">
        <v>0</v>
      </c>
    </row>
    <row r="621" spans="1:29" x14ac:dyDescent="0.25">
      <c r="A621" s="20" t="s">
        <v>1513</v>
      </c>
      <c r="B621" s="20" t="s">
        <v>2191</v>
      </c>
      <c r="C621" s="20">
        <v>0</v>
      </c>
      <c r="E621" s="20" t="s">
        <v>1303</v>
      </c>
      <c r="F621" s="20" t="s">
        <v>2191</v>
      </c>
      <c r="G621" s="20">
        <v>0</v>
      </c>
      <c r="AA621" s="20" t="s">
        <v>2565</v>
      </c>
      <c r="AB621" s="20">
        <v>0</v>
      </c>
      <c r="AC621" s="20">
        <v>0</v>
      </c>
    </row>
    <row r="622" spans="1:29" x14ac:dyDescent="0.25">
      <c r="A622" s="20" t="s">
        <v>2155</v>
      </c>
      <c r="B622" s="20" t="s">
        <v>2191</v>
      </c>
      <c r="C622" s="20">
        <v>0</v>
      </c>
      <c r="E622" s="20" t="s">
        <v>1897</v>
      </c>
      <c r="F622" s="20" t="s">
        <v>2191</v>
      </c>
      <c r="G622" s="20">
        <v>0</v>
      </c>
      <c r="AA622" s="20" t="s">
        <v>2566</v>
      </c>
      <c r="AB622" s="20">
        <v>0</v>
      </c>
      <c r="AC622" s="20">
        <v>0</v>
      </c>
    </row>
    <row r="623" spans="1:29" x14ac:dyDescent="0.25">
      <c r="A623" s="20" t="s">
        <v>1606</v>
      </c>
      <c r="B623" s="20" t="s">
        <v>2191</v>
      </c>
      <c r="C623" s="20">
        <v>0</v>
      </c>
      <c r="E623" s="20" t="s">
        <v>650</v>
      </c>
      <c r="F623" s="20" t="s">
        <v>2191</v>
      </c>
      <c r="G623" s="20">
        <v>1595</v>
      </c>
      <c r="AA623" s="20" t="s">
        <v>2567</v>
      </c>
      <c r="AB623" s="20">
        <v>0</v>
      </c>
      <c r="AC623" s="20">
        <v>0</v>
      </c>
    </row>
    <row r="624" spans="1:29" x14ac:dyDescent="0.25">
      <c r="A624" s="20" t="s">
        <v>1514</v>
      </c>
      <c r="B624" s="20" t="s">
        <v>2191</v>
      </c>
      <c r="C624" s="20">
        <v>0</v>
      </c>
      <c r="E624" s="20" t="s">
        <v>2058</v>
      </c>
      <c r="F624" s="20" t="s">
        <v>2191</v>
      </c>
      <c r="G624" s="20">
        <v>0</v>
      </c>
      <c r="AA624" s="20" t="s">
        <v>2568</v>
      </c>
      <c r="AB624" s="20">
        <v>0</v>
      </c>
      <c r="AC624" s="20">
        <v>0</v>
      </c>
    </row>
    <row r="625" spans="1:29" x14ac:dyDescent="0.25">
      <c r="A625" s="20" t="s">
        <v>2429</v>
      </c>
      <c r="B625" s="20" t="s">
        <v>2191</v>
      </c>
      <c r="C625" s="20">
        <v>0</v>
      </c>
      <c r="E625" s="20" t="s">
        <v>1898</v>
      </c>
      <c r="F625" s="20" t="s">
        <v>2191</v>
      </c>
      <c r="G625" s="20">
        <v>0</v>
      </c>
      <c r="AA625" s="20" t="s">
        <v>2569</v>
      </c>
      <c r="AB625" s="20">
        <v>0</v>
      </c>
      <c r="AC625" s="20">
        <v>0</v>
      </c>
    </row>
    <row r="626" spans="1:29" x14ac:dyDescent="0.25">
      <c r="A626" s="20" t="s">
        <v>1838</v>
      </c>
      <c r="B626" s="20" t="s">
        <v>2191</v>
      </c>
      <c r="C626" s="20">
        <v>0</v>
      </c>
      <c r="E626" s="20" t="s">
        <v>2162</v>
      </c>
      <c r="F626" s="20" t="s">
        <v>2191</v>
      </c>
      <c r="G626" s="20">
        <v>0</v>
      </c>
      <c r="AA626" s="20" t="s">
        <v>2570</v>
      </c>
      <c r="AB626" s="20">
        <v>0</v>
      </c>
      <c r="AC626" s="20">
        <v>0</v>
      </c>
    </row>
    <row r="627" spans="1:29" x14ac:dyDescent="0.25">
      <c r="A627" s="20" t="s">
        <v>2430</v>
      </c>
      <c r="B627" s="20" t="s">
        <v>2191</v>
      </c>
      <c r="C627" s="20">
        <v>0</v>
      </c>
      <c r="E627" s="20" t="s">
        <v>508</v>
      </c>
      <c r="F627" s="20" t="s">
        <v>2191</v>
      </c>
      <c r="G627" s="20">
        <v>0</v>
      </c>
      <c r="AA627" s="20" t="s">
        <v>2571</v>
      </c>
      <c r="AB627" s="20">
        <v>0</v>
      </c>
      <c r="AC627" s="20">
        <v>0</v>
      </c>
    </row>
    <row r="628" spans="1:29" x14ac:dyDescent="0.25">
      <c r="A628" s="20" t="s">
        <v>2431</v>
      </c>
      <c r="B628" s="20" t="s">
        <v>2191</v>
      </c>
      <c r="C628" s="20">
        <v>0</v>
      </c>
      <c r="E628" s="20" t="s">
        <v>129</v>
      </c>
      <c r="F628" s="20" t="s">
        <v>2191</v>
      </c>
      <c r="G628" s="20">
        <v>9745.5</v>
      </c>
      <c r="AA628" s="20" t="s">
        <v>2572</v>
      </c>
      <c r="AB628" s="20">
        <v>0</v>
      </c>
      <c r="AC628" s="20">
        <v>0</v>
      </c>
    </row>
    <row r="629" spans="1:29" x14ac:dyDescent="0.25">
      <c r="A629" s="20" t="s">
        <v>2045</v>
      </c>
      <c r="B629" s="20" t="s">
        <v>2191</v>
      </c>
      <c r="C629" s="20">
        <v>0</v>
      </c>
      <c r="E629" s="20" t="s">
        <v>652</v>
      </c>
      <c r="F629" s="20" t="s">
        <v>2191</v>
      </c>
      <c r="G629" s="20">
        <v>0</v>
      </c>
      <c r="AA629" s="20" t="s">
        <v>2573</v>
      </c>
      <c r="AB629" s="20">
        <v>0</v>
      </c>
      <c r="AC629" s="20">
        <v>0</v>
      </c>
    </row>
    <row r="630" spans="1:29" x14ac:dyDescent="0.25">
      <c r="A630" s="20" t="s">
        <v>112</v>
      </c>
      <c r="B630" s="20" t="s">
        <v>2191</v>
      </c>
      <c r="C630" s="20">
        <v>0</v>
      </c>
      <c r="E630" s="20" t="s">
        <v>1705</v>
      </c>
      <c r="F630" s="20" t="s">
        <v>2191</v>
      </c>
      <c r="G630" s="20">
        <v>6608</v>
      </c>
      <c r="AA630" s="20" t="s">
        <v>2574</v>
      </c>
      <c r="AB630" s="20">
        <v>0</v>
      </c>
      <c r="AC630" s="20">
        <v>0</v>
      </c>
    </row>
    <row r="631" spans="1:29" x14ac:dyDescent="0.25">
      <c r="A631" s="20" t="s">
        <v>2432</v>
      </c>
      <c r="B631" s="20" t="s">
        <v>2191</v>
      </c>
      <c r="C631" s="20">
        <v>0</v>
      </c>
      <c r="E631" s="20" t="s">
        <v>2139</v>
      </c>
      <c r="F631" s="20" t="s">
        <v>2191</v>
      </c>
      <c r="G631" s="20">
        <v>0</v>
      </c>
      <c r="AA631" s="20" t="s">
        <v>2575</v>
      </c>
      <c r="AB631" s="20">
        <v>0</v>
      </c>
      <c r="AC631" s="20">
        <v>0</v>
      </c>
    </row>
    <row r="632" spans="1:29" x14ac:dyDescent="0.25">
      <c r="A632" s="20" t="s">
        <v>2433</v>
      </c>
      <c r="B632" s="20" t="s">
        <v>2191</v>
      </c>
      <c r="C632" s="20">
        <v>0</v>
      </c>
      <c r="E632" s="20" t="s">
        <v>510</v>
      </c>
      <c r="F632" s="20" t="s">
        <v>2191</v>
      </c>
      <c r="G632" s="20">
        <v>0</v>
      </c>
      <c r="AA632" s="20" t="s">
        <v>2576</v>
      </c>
      <c r="AB632" s="20">
        <v>0</v>
      </c>
      <c r="AC632" s="20">
        <v>0</v>
      </c>
    </row>
    <row r="633" spans="1:29" x14ac:dyDescent="0.25">
      <c r="A633" s="20" t="s">
        <v>2434</v>
      </c>
      <c r="B633" s="20" t="s">
        <v>2191</v>
      </c>
      <c r="C633" s="20">
        <v>0</v>
      </c>
      <c r="E633" s="20" t="s">
        <v>1867</v>
      </c>
      <c r="F633" s="20" t="s">
        <v>2191</v>
      </c>
      <c r="G633" s="20">
        <v>0</v>
      </c>
      <c r="AA633" s="20" t="s">
        <v>2577</v>
      </c>
      <c r="AB633" s="20">
        <v>0</v>
      </c>
      <c r="AC633" s="20">
        <v>0</v>
      </c>
    </row>
    <row r="634" spans="1:29" x14ac:dyDescent="0.25">
      <c r="A634" s="20" t="s">
        <v>2435</v>
      </c>
      <c r="B634" s="20" t="s">
        <v>2191</v>
      </c>
      <c r="C634" s="20">
        <v>0</v>
      </c>
      <c r="E634" s="20" t="s">
        <v>928</v>
      </c>
      <c r="F634" s="20" t="s">
        <v>2191</v>
      </c>
      <c r="G634" s="20">
        <v>0</v>
      </c>
      <c r="AA634" s="20" t="s">
        <v>2578</v>
      </c>
      <c r="AB634" s="20">
        <v>0</v>
      </c>
      <c r="AC634" s="20">
        <v>0</v>
      </c>
    </row>
    <row r="635" spans="1:29" x14ac:dyDescent="0.25">
      <c r="A635" s="20" t="s">
        <v>2436</v>
      </c>
      <c r="B635" s="20" t="s">
        <v>2191</v>
      </c>
      <c r="C635" s="20">
        <v>0</v>
      </c>
      <c r="E635" s="20" t="s">
        <v>1382</v>
      </c>
      <c r="F635" s="20" t="s">
        <v>2191</v>
      </c>
      <c r="G635" s="20">
        <v>0</v>
      </c>
      <c r="AA635" s="20" t="s">
        <v>2579</v>
      </c>
      <c r="AB635" s="20">
        <v>0</v>
      </c>
      <c r="AC635" s="20">
        <v>0</v>
      </c>
    </row>
    <row r="636" spans="1:29" x14ac:dyDescent="0.25">
      <c r="A636" s="20" t="s">
        <v>2437</v>
      </c>
      <c r="B636" s="20" t="s">
        <v>2191</v>
      </c>
      <c r="C636" s="20">
        <v>0</v>
      </c>
      <c r="E636" s="20" t="s">
        <v>131</v>
      </c>
      <c r="F636" s="20" t="s">
        <v>2191</v>
      </c>
      <c r="G636" s="20">
        <v>32346</v>
      </c>
      <c r="AA636" s="20" t="s">
        <v>2580</v>
      </c>
      <c r="AB636" s="20">
        <v>0</v>
      </c>
      <c r="AC636" s="20">
        <v>0</v>
      </c>
    </row>
    <row r="637" spans="1:29" x14ac:dyDescent="0.25">
      <c r="A637" s="20" t="s">
        <v>2438</v>
      </c>
      <c r="B637" s="20" t="s">
        <v>2191</v>
      </c>
      <c r="C637" s="20">
        <v>0</v>
      </c>
      <c r="E637" s="20" t="s">
        <v>512</v>
      </c>
      <c r="F637" s="20" t="s">
        <v>2191</v>
      </c>
      <c r="G637" s="20">
        <v>0</v>
      </c>
      <c r="AA637" s="20" t="s">
        <v>2581</v>
      </c>
      <c r="AB637" s="20">
        <v>0</v>
      </c>
      <c r="AC637" s="20">
        <v>0</v>
      </c>
    </row>
    <row r="638" spans="1:29" x14ac:dyDescent="0.25">
      <c r="A638" s="20" t="s">
        <v>1607</v>
      </c>
      <c r="B638" s="20" t="s">
        <v>2191</v>
      </c>
      <c r="C638" s="20">
        <v>0</v>
      </c>
      <c r="E638" s="20" t="s">
        <v>2060</v>
      </c>
      <c r="F638" s="20" t="s">
        <v>2191</v>
      </c>
      <c r="G638" s="20">
        <v>0</v>
      </c>
      <c r="AA638" s="20" t="s">
        <v>2583</v>
      </c>
      <c r="AB638" s="20">
        <v>0</v>
      </c>
      <c r="AC638" s="20">
        <v>0</v>
      </c>
    </row>
    <row r="639" spans="1:29" x14ac:dyDescent="0.25">
      <c r="A639" s="20" t="s">
        <v>2439</v>
      </c>
      <c r="B639" s="20" t="s">
        <v>2191</v>
      </c>
      <c r="C639" s="20">
        <v>0</v>
      </c>
      <c r="E639" s="20" t="s">
        <v>295</v>
      </c>
      <c r="F639" s="20" t="s">
        <v>2191</v>
      </c>
      <c r="G639" s="20">
        <v>0</v>
      </c>
      <c r="AA639" s="20" t="s">
        <v>2584</v>
      </c>
      <c r="AB639" s="20">
        <v>0</v>
      </c>
      <c r="AC639" s="20">
        <v>0</v>
      </c>
    </row>
    <row r="640" spans="1:29" x14ac:dyDescent="0.25">
      <c r="A640" s="20" t="s">
        <v>1100</v>
      </c>
      <c r="B640" s="20" t="s">
        <v>2191</v>
      </c>
      <c r="C640" s="20">
        <v>0</v>
      </c>
      <c r="E640" s="20" t="s">
        <v>2116</v>
      </c>
      <c r="F640" s="20" t="s">
        <v>2191</v>
      </c>
      <c r="G640" s="20">
        <v>0</v>
      </c>
      <c r="AA640" s="20" t="s">
        <v>712</v>
      </c>
      <c r="AB640" s="20">
        <v>17864.080000000002</v>
      </c>
      <c r="AC640" s="20">
        <v>71278.87</v>
      </c>
    </row>
    <row r="641" spans="1:29" x14ac:dyDescent="0.25">
      <c r="A641" s="20" t="s">
        <v>2440</v>
      </c>
      <c r="B641" s="20" t="s">
        <v>2191</v>
      </c>
      <c r="C641" s="20">
        <v>0</v>
      </c>
      <c r="E641" s="20" t="s">
        <v>2061</v>
      </c>
      <c r="F641" s="20" t="s">
        <v>2191</v>
      </c>
      <c r="G641" s="20">
        <v>0</v>
      </c>
      <c r="AA641" s="20" t="s">
        <v>1633</v>
      </c>
      <c r="AB641" s="20">
        <v>-965.37</v>
      </c>
      <c r="AC641" s="20">
        <v>0</v>
      </c>
    </row>
    <row r="642" spans="1:29" x14ac:dyDescent="0.25">
      <c r="A642" s="20" t="s">
        <v>1608</v>
      </c>
      <c r="B642" s="20" t="s">
        <v>2191</v>
      </c>
      <c r="C642" s="20">
        <v>0</v>
      </c>
      <c r="E642" s="20" t="s">
        <v>1988</v>
      </c>
      <c r="F642" s="20" t="s">
        <v>2191</v>
      </c>
      <c r="G642" s="20">
        <v>0</v>
      </c>
      <c r="AA642" s="20" t="s">
        <v>124</v>
      </c>
      <c r="AB642" s="20">
        <v>64825.04</v>
      </c>
      <c r="AC642" s="20">
        <v>965368.01</v>
      </c>
    </row>
    <row r="643" spans="1:29" x14ac:dyDescent="0.25">
      <c r="A643" s="20" t="s">
        <v>2441</v>
      </c>
      <c r="B643" s="20" t="s">
        <v>2191</v>
      </c>
      <c r="C643" s="20">
        <v>0</v>
      </c>
      <c r="E643" s="20" t="s">
        <v>315</v>
      </c>
      <c r="F643" s="20" t="s">
        <v>2191</v>
      </c>
      <c r="G643" s="20">
        <v>0</v>
      </c>
      <c r="AA643" s="20" t="s">
        <v>1634</v>
      </c>
      <c r="AB643" s="20">
        <v>-4929.5</v>
      </c>
      <c r="AC643" s="20">
        <v>1011.56</v>
      </c>
    </row>
    <row r="644" spans="1:29" x14ac:dyDescent="0.25">
      <c r="A644" s="20" t="s">
        <v>2442</v>
      </c>
      <c r="B644" s="20" t="s">
        <v>2191</v>
      </c>
      <c r="C644" s="20">
        <v>0</v>
      </c>
      <c r="E644" s="20" t="s">
        <v>1474</v>
      </c>
      <c r="F644" s="20" t="s">
        <v>2191</v>
      </c>
      <c r="G644" s="20">
        <v>0</v>
      </c>
      <c r="AA644" s="20" t="s">
        <v>2585</v>
      </c>
      <c r="AB644" s="20">
        <v>0</v>
      </c>
      <c r="AC644" s="20">
        <v>0</v>
      </c>
    </row>
    <row r="645" spans="1:29" x14ac:dyDescent="0.25">
      <c r="A645" s="20" t="s">
        <v>2443</v>
      </c>
      <c r="B645" s="20" t="s">
        <v>2191</v>
      </c>
      <c r="C645" s="20">
        <v>0</v>
      </c>
      <c r="E645" s="20" t="s">
        <v>1475</v>
      </c>
      <c r="F645" s="20" t="s">
        <v>2191</v>
      </c>
      <c r="G645" s="20">
        <v>0</v>
      </c>
      <c r="AA645" s="20" t="s">
        <v>1635</v>
      </c>
      <c r="AB645" s="20">
        <v>-827.52</v>
      </c>
      <c r="AC645" s="20">
        <v>0</v>
      </c>
    </row>
    <row r="646" spans="1:29" x14ac:dyDescent="0.25">
      <c r="A646" s="20" t="s">
        <v>2071</v>
      </c>
      <c r="B646" s="20" t="s">
        <v>2191</v>
      </c>
      <c r="C646" s="20">
        <v>0</v>
      </c>
      <c r="E646" s="20" t="s">
        <v>2186</v>
      </c>
      <c r="F646" s="20" t="s">
        <v>2191</v>
      </c>
      <c r="G646" s="20">
        <v>0</v>
      </c>
      <c r="AA646" s="20" t="s">
        <v>2586</v>
      </c>
      <c r="AB646" s="20">
        <v>0</v>
      </c>
      <c r="AC646" s="20">
        <v>0</v>
      </c>
    </row>
    <row r="647" spans="1:29" x14ac:dyDescent="0.25">
      <c r="A647" s="20" t="s">
        <v>2444</v>
      </c>
      <c r="B647" s="20" t="s">
        <v>2191</v>
      </c>
      <c r="C647" s="20">
        <v>0</v>
      </c>
      <c r="E647" s="20" t="s">
        <v>2918</v>
      </c>
      <c r="F647" s="20" t="s">
        <v>2191</v>
      </c>
      <c r="G647" s="20">
        <v>0</v>
      </c>
      <c r="AA647" s="20" t="s">
        <v>2587</v>
      </c>
      <c r="AB647" s="20">
        <v>0</v>
      </c>
      <c r="AC647" s="20">
        <v>0</v>
      </c>
    </row>
    <row r="648" spans="1:29" x14ac:dyDescent="0.25">
      <c r="A648" s="20" t="s">
        <v>2445</v>
      </c>
      <c r="B648" s="20" t="s">
        <v>2191</v>
      </c>
      <c r="C648" s="20">
        <v>0</v>
      </c>
      <c r="E648" s="20" t="s">
        <v>1476</v>
      </c>
      <c r="F648" s="20" t="s">
        <v>2191</v>
      </c>
      <c r="G648" s="20">
        <v>0</v>
      </c>
      <c r="AA648" s="20" t="s">
        <v>2046</v>
      </c>
      <c r="AB648" s="20">
        <v>0</v>
      </c>
      <c r="AC648" s="20">
        <v>0</v>
      </c>
    </row>
    <row r="649" spans="1:29" x14ac:dyDescent="0.25">
      <c r="A649" s="20" t="s">
        <v>2446</v>
      </c>
      <c r="B649" s="20" t="s">
        <v>2191</v>
      </c>
      <c r="C649" s="20">
        <v>0</v>
      </c>
      <c r="E649" s="20" t="s">
        <v>727</v>
      </c>
      <c r="F649" s="20" t="s">
        <v>2191</v>
      </c>
      <c r="G649" s="20">
        <v>0</v>
      </c>
      <c r="AA649" s="20" t="s">
        <v>2011</v>
      </c>
      <c r="AB649" s="20">
        <v>0</v>
      </c>
      <c r="AC649" s="20">
        <v>0</v>
      </c>
    </row>
    <row r="650" spans="1:29" x14ac:dyDescent="0.25">
      <c r="A650" s="20" t="s">
        <v>1609</v>
      </c>
      <c r="B650" s="20" t="s">
        <v>2191</v>
      </c>
      <c r="C650" s="20">
        <v>0</v>
      </c>
      <c r="E650" s="20" t="s">
        <v>2062</v>
      </c>
      <c r="F650" s="20" t="s">
        <v>2191</v>
      </c>
      <c r="G650" s="20">
        <v>0</v>
      </c>
      <c r="AA650" s="20" t="s">
        <v>2588</v>
      </c>
      <c r="AB650" s="20">
        <v>0</v>
      </c>
      <c r="AC650" s="20">
        <v>0</v>
      </c>
    </row>
    <row r="651" spans="1:29" x14ac:dyDescent="0.25">
      <c r="A651" s="20" t="s">
        <v>2447</v>
      </c>
      <c r="B651" s="20" t="s">
        <v>2191</v>
      </c>
      <c r="C651" s="20">
        <v>0</v>
      </c>
      <c r="E651" s="20" t="s">
        <v>134</v>
      </c>
      <c r="F651" s="20" t="s">
        <v>2191</v>
      </c>
      <c r="G651" s="20">
        <v>0</v>
      </c>
      <c r="AA651" s="20" t="s">
        <v>2589</v>
      </c>
      <c r="AB651" s="20">
        <v>0</v>
      </c>
      <c r="AC651" s="20">
        <v>0</v>
      </c>
    </row>
    <row r="652" spans="1:29" x14ac:dyDescent="0.25">
      <c r="A652" s="20" t="s">
        <v>2448</v>
      </c>
      <c r="B652" s="20" t="s">
        <v>2191</v>
      </c>
      <c r="C652" s="20">
        <v>0</v>
      </c>
      <c r="E652" s="20" t="s">
        <v>1026</v>
      </c>
      <c r="F652" s="20" t="s">
        <v>2191</v>
      </c>
      <c r="G652" s="20">
        <v>0</v>
      </c>
      <c r="AA652" s="20" t="s">
        <v>2591</v>
      </c>
      <c r="AB652" s="20">
        <v>0</v>
      </c>
      <c r="AC652" s="20">
        <v>0</v>
      </c>
    </row>
    <row r="653" spans="1:29" x14ac:dyDescent="0.25">
      <c r="A653" s="20" t="s">
        <v>2449</v>
      </c>
      <c r="B653" s="20" t="s">
        <v>2191</v>
      </c>
      <c r="C653" s="20">
        <v>0</v>
      </c>
      <c r="E653" s="20" t="s">
        <v>1028</v>
      </c>
      <c r="F653" s="20" t="s">
        <v>2191</v>
      </c>
      <c r="G653" s="20">
        <v>0</v>
      </c>
      <c r="AA653" s="20" t="s">
        <v>2592</v>
      </c>
      <c r="AB653" s="20">
        <v>0</v>
      </c>
      <c r="AC653" s="20">
        <v>0</v>
      </c>
    </row>
    <row r="654" spans="1:29" x14ac:dyDescent="0.25">
      <c r="A654" s="20" t="s">
        <v>2450</v>
      </c>
      <c r="B654" s="20" t="s">
        <v>2191</v>
      </c>
      <c r="C654" s="20">
        <v>0</v>
      </c>
      <c r="E654" s="20" t="s">
        <v>316</v>
      </c>
      <c r="F654" s="20" t="s">
        <v>2191</v>
      </c>
      <c r="G654" s="20">
        <v>0</v>
      </c>
      <c r="AA654" s="20" t="s">
        <v>2593</v>
      </c>
      <c r="AB654" s="20">
        <v>0</v>
      </c>
      <c r="AC654" s="20">
        <v>0</v>
      </c>
    </row>
    <row r="655" spans="1:29" x14ac:dyDescent="0.25">
      <c r="A655" s="20" t="s">
        <v>2451</v>
      </c>
      <c r="B655" s="20" t="s">
        <v>2191</v>
      </c>
      <c r="C655" s="20">
        <v>0</v>
      </c>
      <c r="E655" s="20" t="s">
        <v>930</v>
      </c>
      <c r="F655" s="20" t="s">
        <v>2191</v>
      </c>
      <c r="G655" s="20">
        <v>6772</v>
      </c>
      <c r="AA655" s="20" t="s">
        <v>2594</v>
      </c>
      <c r="AB655" s="20">
        <v>0</v>
      </c>
      <c r="AC655" s="20">
        <v>0</v>
      </c>
    </row>
    <row r="656" spans="1:29" x14ac:dyDescent="0.25">
      <c r="A656" s="20" t="s">
        <v>2452</v>
      </c>
      <c r="B656" s="20" t="s">
        <v>2191</v>
      </c>
      <c r="C656" s="20">
        <v>0</v>
      </c>
      <c r="E656" s="20" t="s">
        <v>2187</v>
      </c>
      <c r="F656" s="20" t="s">
        <v>2191</v>
      </c>
      <c r="G656" s="20">
        <v>0</v>
      </c>
      <c r="AA656" s="20" t="s">
        <v>2595</v>
      </c>
      <c r="AB656" s="20">
        <v>0</v>
      </c>
      <c r="AC656" s="20">
        <v>0</v>
      </c>
    </row>
    <row r="657" spans="1:29" x14ac:dyDescent="0.25">
      <c r="A657" s="20" t="s">
        <v>2453</v>
      </c>
      <c r="B657" s="20" t="s">
        <v>2191</v>
      </c>
      <c r="C657" s="20">
        <v>0</v>
      </c>
      <c r="E657" s="20" t="s">
        <v>728</v>
      </c>
      <c r="F657" s="20" t="s">
        <v>2191</v>
      </c>
      <c r="G657" s="20">
        <v>175457</v>
      </c>
      <c r="AA657" s="20" t="s">
        <v>2596</v>
      </c>
      <c r="AB657" s="20">
        <v>0</v>
      </c>
      <c r="AC657" s="20">
        <v>0</v>
      </c>
    </row>
    <row r="658" spans="1:29" x14ac:dyDescent="0.25">
      <c r="A658" s="20" t="s">
        <v>2454</v>
      </c>
      <c r="B658" s="20" t="s">
        <v>2191</v>
      </c>
      <c r="C658" s="20">
        <v>0</v>
      </c>
      <c r="E658" s="20" t="s">
        <v>318</v>
      </c>
      <c r="F658" s="20" t="s">
        <v>2191</v>
      </c>
      <c r="G658" s="20">
        <v>0</v>
      </c>
      <c r="AA658" s="20" t="s">
        <v>2129</v>
      </c>
      <c r="AB658" s="20">
        <v>0</v>
      </c>
      <c r="AC658" s="20">
        <v>0</v>
      </c>
    </row>
    <row r="659" spans="1:29" x14ac:dyDescent="0.25">
      <c r="A659" s="20" t="s">
        <v>2455</v>
      </c>
      <c r="B659" s="20" t="s">
        <v>2191</v>
      </c>
      <c r="C659" s="20">
        <v>0</v>
      </c>
      <c r="E659" s="20" t="s">
        <v>319</v>
      </c>
      <c r="F659" s="20" t="s">
        <v>2191</v>
      </c>
      <c r="G659" s="20">
        <v>0</v>
      </c>
      <c r="AA659" s="20" t="s">
        <v>2597</v>
      </c>
      <c r="AB659" s="20">
        <v>0</v>
      </c>
      <c r="AC659" s="20">
        <v>0</v>
      </c>
    </row>
    <row r="660" spans="1:29" x14ac:dyDescent="0.25">
      <c r="A660" s="20" t="s">
        <v>2456</v>
      </c>
      <c r="B660" s="20" t="s">
        <v>2191</v>
      </c>
      <c r="C660" s="20">
        <v>0</v>
      </c>
      <c r="E660" s="20" t="s">
        <v>321</v>
      </c>
      <c r="F660" s="20" t="s">
        <v>2191</v>
      </c>
      <c r="G660" s="20">
        <v>5868.79</v>
      </c>
      <c r="AA660" s="20" t="s">
        <v>2598</v>
      </c>
      <c r="AB660" s="20">
        <v>0</v>
      </c>
      <c r="AC660" s="20">
        <v>0</v>
      </c>
    </row>
    <row r="661" spans="1:29" x14ac:dyDescent="0.25">
      <c r="A661" s="20" t="s">
        <v>2457</v>
      </c>
      <c r="B661" s="20" t="s">
        <v>2191</v>
      </c>
      <c r="C661" s="20">
        <v>0</v>
      </c>
      <c r="E661" s="20" t="s">
        <v>1133</v>
      </c>
      <c r="F661" s="20" t="s">
        <v>2191</v>
      </c>
      <c r="G661" s="20">
        <v>0</v>
      </c>
      <c r="AA661" s="20" t="s">
        <v>2599</v>
      </c>
      <c r="AB661" s="20">
        <v>0</v>
      </c>
      <c r="AC661" s="20">
        <v>0</v>
      </c>
    </row>
    <row r="662" spans="1:29" x14ac:dyDescent="0.25">
      <c r="A662" s="20" t="s">
        <v>2458</v>
      </c>
      <c r="B662" s="20" t="s">
        <v>2191</v>
      </c>
      <c r="C662" s="20">
        <v>0</v>
      </c>
      <c r="E662" s="20" t="s">
        <v>1135</v>
      </c>
      <c r="F662" s="20" t="s">
        <v>2191</v>
      </c>
      <c r="G662" s="20">
        <v>0</v>
      </c>
      <c r="AA662" s="20" t="s">
        <v>1636</v>
      </c>
      <c r="AB662" s="20">
        <v>-2483.1799999999998</v>
      </c>
      <c r="AC662" s="20">
        <v>0</v>
      </c>
    </row>
    <row r="663" spans="1:29" x14ac:dyDescent="0.25">
      <c r="A663" s="20" t="s">
        <v>1610</v>
      </c>
      <c r="B663" s="20" t="s">
        <v>2191</v>
      </c>
      <c r="C663" s="20">
        <v>0</v>
      </c>
      <c r="E663" s="20" t="s">
        <v>322</v>
      </c>
      <c r="F663" s="20" t="s">
        <v>2191</v>
      </c>
      <c r="G663" s="20">
        <v>0</v>
      </c>
      <c r="AA663" s="20" t="s">
        <v>2600</v>
      </c>
      <c r="AB663" s="20">
        <v>0</v>
      </c>
      <c r="AC663" s="20">
        <v>0</v>
      </c>
    </row>
    <row r="664" spans="1:29" x14ac:dyDescent="0.25">
      <c r="A664" s="20" t="s">
        <v>2459</v>
      </c>
      <c r="B664" s="20" t="s">
        <v>2191</v>
      </c>
      <c r="C664" s="20">
        <v>0</v>
      </c>
      <c r="E664" s="20" t="s">
        <v>932</v>
      </c>
      <c r="F664" s="20" t="s">
        <v>2191</v>
      </c>
      <c r="G664" s="20">
        <v>0</v>
      </c>
      <c r="AA664" s="20" t="s">
        <v>2601</v>
      </c>
      <c r="AB664" s="20">
        <v>0</v>
      </c>
      <c r="AC664" s="20">
        <v>0</v>
      </c>
    </row>
    <row r="665" spans="1:29" x14ac:dyDescent="0.25">
      <c r="A665" s="20" t="s">
        <v>2460</v>
      </c>
      <c r="B665" s="20" t="s">
        <v>2191</v>
      </c>
      <c r="C665" s="20">
        <v>0</v>
      </c>
      <c r="E665" s="20" t="s">
        <v>1045</v>
      </c>
      <c r="F665" s="20" t="s">
        <v>2191</v>
      </c>
      <c r="G665" s="20">
        <v>0</v>
      </c>
      <c r="AA665" s="20" t="s">
        <v>2602</v>
      </c>
      <c r="AB665" s="20">
        <v>0</v>
      </c>
      <c r="AC665" s="20">
        <v>0</v>
      </c>
    </row>
    <row r="666" spans="1:29" x14ac:dyDescent="0.25">
      <c r="A666" s="20" t="s">
        <v>2461</v>
      </c>
      <c r="B666" s="20" t="s">
        <v>2191</v>
      </c>
      <c r="C666" s="20">
        <v>0</v>
      </c>
      <c r="E666" s="20" t="s">
        <v>1899</v>
      </c>
      <c r="F666" s="20" t="s">
        <v>2191</v>
      </c>
      <c r="G666" s="20">
        <v>0</v>
      </c>
      <c r="AA666" s="20" t="s">
        <v>2603</v>
      </c>
      <c r="AB666" s="20">
        <v>0</v>
      </c>
      <c r="AC666" s="20">
        <v>0</v>
      </c>
    </row>
    <row r="667" spans="1:29" x14ac:dyDescent="0.25">
      <c r="A667" s="20" t="s">
        <v>1611</v>
      </c>
      <c r="B667" s="20" t="s">
        <v>2191</v>
      </c>
      <c r="C667" s="20">
        <v>0</v>
      </c>
      <c r="E667" s="20" t="s">
        <v>2020</v>
      </c>
      <c r="F667" s="20" t="s">
        <v>2191</v>
      </c>
      <c r="G667" s="20">
        <v>0</v>
      </c>
      <c r="AA667" s="20" t="s">
        <v>2098</v>
      </c>
      <c r="AB667" s="20">
        <v>0</v>
      </c>
      <c r="AC667" s="20">
        <v>0</v>
      </c>
    </row>
    <row r="668" spans="1:29" x14ac:dyDescent="0.25">
      <c r="A668" s="20" t="s">
        <v>2462</v>
      </c>
      <c r="B668" s="20" t="s">
        <v>2191</v>
      </c>
      <c r="C668" s="20">
        <v>0</v>
      </c>
      <c r="E668" s="20" t="s">
        <v>1305</v>
      </c>
      <c r="F668" s="20" t="s">
        <v>2191</v>
      </c>
      <c r="G668" s="20">
        <v>0</v>
      </c>
      <c r="AA668" s="20" t="s">
        <v>2605</v>
      </c>
      <c r="AB668" s="20">
        <v>0</v>
      </c>
      <c r="AC668" s="20">
        <v>0</v>
      </c>
    </row>
    <row r="669" spans="1:29" x14ac:dyDescent="0.25">
      <c r="A669" s="20" t="s">
        <v>2463</v>
      </c>
      <c r="B669" s="20" t="s">
        <v>2191</v>
      </c>
      <c r="C669" s="20">
        <v>0</v>
      </c>
      <c r="E669" s="20" t="s">
        <v>1942</v>
      </c>
      <c r="F669" s="20" t="s">
        <v>2191</v>
      </c>
      <c r="G669" s="20">
        <v>0</v>
      </c>
      <c r="AA669" s="20" t="s">
        <v>2099</v>
      </c>
      <c r="AB669" s="20">
        <v>0</v>
      </c>
      <c r="AC669" s="20">
        <v>0</v>
      </c>
    </row>
    <row r="670" spans="1:29" x14ac:dyDescent="0.25">
      <c r="A670" s="20" t="s">
        <v>2464</v>
      </c>
      <c r="B670" s="20" t="s">
        <v>2191</v>
      </c>
      <c r="C670" s="20">
        <v>0</v>
      </c>
      <c r="E670" s="20" t="s">
        <v>1990</v>
      </c>
      <c r="F670" s="20" t="s">
        <v>2191</v>
      </c>
      <c r="G670" s="20">
        <v>0</v>
      </c>
      <c r="AA670" s="20" t="s">
        <v>2606</v>
      </c>
      <c r="AB670" s="20">
        <v>0</v>
      </c>
      <c r="AC670" s="20">
        <v>0</v>
      </c>
    </row>
    <row r="671" spans="1:29" x14ac:dyDescent="0.25">
      <c r="A671" s="20" t="s">
        <v>1877</v>
      </c>
      <c r="B671" s="20" t="s">
        <v>2191</v>
      </c>
      <c r="C671" s="20">
        <v>0</v>
      </c>
      <c r="E671" s="20" t="s">
        <v>2021</v>
      </c>
      <c r="F671" s="20" t="s">
        <v>2191</v>
      </c>
      <c r="G671" s="20">
        <v>0</v>
      </c>
      <c r="AA671" s="20" t="s">
        <v>2048</v>
      </c>
      <c r="AB671" s="20">
        <v>0</v>
      </c>
      <c r="AC671" s="20">
        <v>0</v>
      </c>
    </row>
    <row r="672" spans="1:29" x14ac:dyDescent="0.25">
      <c r="A672" s="20" t="s">
        <v>2465</v>
      </c>
      <c r="B672" s="20" t="s">
        <v>2191</v>
      </c>
      <c r="C672" s="20">
        <v>0</v>
      </c>
      <c r="E672" s="20" t="s">
        <v>517</v>
      </c>
      <c r="F672" s="20" t="s">
        <v>2191</v>
      </c>
      <c r="G672" s="20">
        <v>0</v>
      </c>
      <c r="AA672" s="20" t="s">
        <v>1637</v>
      </c>
      <c r="AB672" s="20">
        <v>-659.72</v>
      </c>
      <c r="AC672" s="20">
        <v>9792.6299999999992</v>
      </c>
    </row>
    <row r="673" spans="1:29" x14ac:dyDescent="0.25">
      <c r="A673" s="20" t="s">
        <v>2466</v>
      </c>
      <c r="B673" s="20" t="s">
        <v>2191</v>
      </c>
      <c r="C673" s="20">
        <v>0</v>
      </c>
      <c r="E673" s="20" t="s">
        <v>1478</v>
      </c>
      <c r="F673" s="20" t="s">
        <v>2191</v>
      </c>
      <c r="G673" s="20">
        <v>0</v>
      </c>
      <c r="AA673" s="20" t="s">
        <v>2607</v>
      </c>
      <c r="AB673" s="20">
        <v>0</v>
      </c>
      <c r="AC673" s="20">
        <v>0</v>
      </c>
    </row>
    <row r="674" spans="1:29" x14ac:dyDescent="0.25">
      <c r="A674" s="20" t="s">
        <v>2467</v>
      </c>
      <c r="B674" s="20" t="s">
        <v>2191</v>
      </c>
      <c r="C674" s="20">
        <v>0</v>
      </c>
      <c r="E674" s="20" t="s">
        <v>477</v>
      </c>
      <c r="F674" s="20" t="s">
        <v>2191</v>
      </c>
      <c r="G674" s="20">
        <v>0</v>
      </c>
      <c r="AA674" s="20" t="s">
        <v>2608</v>
      </c>
      <c r="AB674" s="20">
        <v>0</v>
      </c>
      <c r="AC674" s="20">
        <v>0</v>
      </c>
    </row>
    <row r="675" spans="1:29" x14ac:dyDescent="0.25">
      <c r="A675" s="20" t="s">
        <v>1912</v>
      </c>
      <c r="B675" s="20" t="s">
        <v>2191</v>
      </c>
      <c r="C675" s="20">
        <v>0</v>
      </c>
      <c r="E675" s="20" t="s">
        <v>459</v>
      </c>
      <c r="F675" s="20" t="s">
        <v>2191</v>
      </c>
      <c r="G675" s="20">
        <v>1228</v>
      </c>
      <c r="AA675" s="20" t="s">
        <v>2609</v>
      </c>
      <c r="AB675" s="20">
        <v>0</v>
      </c>
      <c r="AC675" s="20">
        <v>0</v>
      </c>
    </row>
    <row r="676" spans="1:29" x14ac:dyDescent="0.25">
      <c r="A676" s="20" t="s">
        <v>2468</v>
      </c>
      <c r="B676" s="20" t="s">
        <v>2191</v>
      </c>
      <c r="C676" s="20">
        <v>0</v>
      </c>
      <c r="E676" s="20" t="s">
        <v>520</v>
      </c>
      <c r="F676" s="20" t="s">
        <v>2191</v>
      </c>
      <c r="G676" s="20">
        <v>2328.08</v>
      </c>
      <c r="AA676" s="20" t="s">
        <v>2610</v>
      </c>
      <c r="AB676" s="20">
        <v>0</v>
      </c>
      <c r="AC676" s="20">
        <v>0</v>
      </c>
    </row>
    <row r="677" spans="1:29" x14ac:dyDescent="0.25">
      <c r="A677" s="20" t="s">
        <v>2469</v>
      </c>
      <c r="B677" s="20" t="s">
        <v>2191</v>
      </c>
      <c r="C677" s="20">
        <v>0</v>
      </c>
      <c r="E677" s="20" t="s">
        <v>1232</v>
      </c>
      <c r="F677" s="20" t="s">
        <v>2191</v>
      </c>
      <c r="G677" s="20">
        <v>0</v>
      </c>
      <c r="AA677" s="20" t="s">
        <v>2611</v>
      </c>
      <c r="AB677" s="20">
        <v>0</v>
      </c>
      <c r="AC677" s="20">
        <v>0</v>
      </c>
    </row>
    <row r="678" spans="1:29" x14ac:dyDescent="0.25">
      <c r="A678" s="20" t="s">
        <v>2470</v>
      </c>
      <c r="B678" s="20" t="s">
        <v>2191</v>
      </c>
      <c r="C678" s="20">
        <v>0</v>
      </c>
      <c r="E678" s="20" t="s">
        <v>75</v>
      </c>
      <c r="F678" s="20" t="s">
        <v>2191</v>
      </c>
      <c r="G678" s="20">
        <v>7791</v>
      </c>
      <c r="AA678" s="20" t="s">
        <v>1878</v>
      </c>
      <c r="AB678" s="20">
        <v>0</v>
      </c>
      <c r="AC678" s="20">
        <v>0</v>
      </c>
    </row>
    <row r="679" spans="1:29" x14ac:dyDescent="0.25">
      <c r="A679" s="20" t="s">
        <v>2471</v>
      </c>
      <c r="B679" s="20" t="s">
        <v>2191</v>
      </c>
      <c r="C679" s="20">
        <v>0</v>
      </c>
      <c r="E679" s="20" t="s">
        <v>1519</v>
      </c>
      <c r="F679" s="20" t="s">
        <v>2191</v>
      </c>
      <c r="G679" s="20">
        <v>0</v>
      </c>
      <c r="AA679" s="20" t="s">
        <v>1916</v>
      </c>
      <c r="AB679" s="20">
        <v>0</v>
      </c>
      <c r="AC679" s="20">
        <v>0</v>
      </c>
    </row>
    <row r="680" spans="1:29" x14ac:dyDescent="0.25">
      <c r="A680" s="20" t="s">
        <v>2472</v>
      </c>
      <c r="B680" s="20" t="s">
        <v>2191</v>
      </c>
      <c r="C680" s="20">
        <v>0</v>
      </c>
      <c r="E680" s="20" t="s">
        <v>2022</v>
      </c>
      <c r="F680" s="20" t="s">
        <v>2191</v>
      </c>
      <c r="G680" s="20">
        <v>0</v>
      </c>
      <c r="AA680" s="20" t="s">
        <v>1639</v>
      </c>
      <c r="AB680" s="20">
        <v>-812.27</v>
      </c>
      <c r="AC680" s="20">
        <v>0</v>
      </c>
    </row>
    <row r="681" spans="1:29" x14ac:dyDescent="0.25">
      <c r="A681" s="20" t="s">
        <v>2473</v>
      </c>
      <c r="B681" s="20" t="s">
        <v>2191</v>
      </c>
      <c r="C681" s="20">
        <v>0</v>
      </c>
      <c r="E681" s="20" t="s">
        <v>2083</v>
      </c>
      <c r="F681" s="20" t="s">
        <v>2191</v>
      </c>
      <c r="G681" s="20">
        <v>0</v>
      </c>
      <c r="AA681" s="20" t="s">
        <v>1641</v>
      </c>
      <c r="AB681" s="20">
        <v>-52.01</v>
      </c>
      <c r="AC681" s="20">
        <v>0</v>
      </c>
    </row>
    <row r="682" spans="1:29" x14ac:dyDescent="0.25">
      <c r="A682" s="20" t="s">
        <v>2474</v>
      </c>
      <c r="B682" s="20" t="s">
        <v>2191</v>
      </c>
      <c r="C682" s="20">
        <v>0</v>
      </c>
      <c r="E682" s="20" t="s">
        <v>736</v>
      </c>
      <c r="F682" s="20" t="s">
        <v>2191</v>
      </c>
      <c r="G682" s="20">
        <v>0</v>
      </c>
      <c r="AA682" s="20" t="s">
        <v>2612</v>
      </c>
      <c r="AB682" s="20">
        <v>0</v>
      </c>
      <c r="AC682" s="20">
        <v>0</v>
      </c>
    </row>
    <row r="683" spans="1:29" x14ac:dyDescent="0.25">
      <c r="A683" s="20" t="s">
        <v>2475</v>
      </c>
      <c r="B683" s="20" t="s">
        <v>2191</v>
      </c>
      <c r="C683" s="20">
        <v>0</v>
      </c>
      <c r="E683" s="20" t="s">
        <v>1234</v>
      </c>
      <c r="F683" s="20" t="s">
        <v>2191</v>
      </c>
      <c r="G683" s="20">
        <v>38885.78</v>
      </c>
      <c r="AA683" s="20" t="s">
        <v>2613</v>
      </c>
      <c r="AB683" s="20">
        <v>0</v>
      </c>
      <c r="AC683" s="20">
        <v>0</v>
      </c>
    </row>
    <row r="684" spans="1:29" x14ac:dyDescent="0.25">
      <c r="A684" s="20" t="s">
        <v>2476</v>
      </c>
      <c r="B684" s="20" t="s">
        <v>2191</v>
      </c>
      <c r="C684" s="20">
        <v>0</v>
      </c>
      <c r="E684" s="20" t="s">
        <v>2933</v>
      </c>
      <c r="F684" s="20" t="s">
        <v>2191</v>
      </c>
      <c r="G684" s="20">
        <v>0</v>
      </c>
      <c r="AA684" s="20" t="s">
        <v>2614</v>
      </c>
      <c r="AB684" s="20">
        <v>0</v>
      </c>
      <c r="AC684" s="20">
        <v>0</v>
      </c>
    </row>
    <row r="685" spans="1:29" x14ac:dyDescent="0.25">
      <c r="A685" s="20" t="s">
        <v>2477</v>
      </c>
      <c r="B685" s="20" t="s">
        <v>2191</v>
      </c>
      <c r="C685" s="20">
        <v>0</v>
      </c>
      <c r="E685" s="20" t="s">
        <v>1138</v>
      </c>
      <c r="F685" s="20" t="s">
        <v>2191</v>
      </c>
      <c r="G685" s="20">
        <v>0</v>
      </c>
      <c r="AA685" s="20" t="s">
        <v>2615</v>
      </c>
      <c r="AB685" s="20">
        <v>0</v>
      </c>
      <c r="AC685" s="20">
        <v>0</v>
      </c>
    </row>
    <row r="686" spans="1:29" x14ac:dyDescent="0.25">
      <c r="A686" s="20" t="s">
        <v>1612</v>
      </c>
      <c r="B686" s="20" t="s">
        <v>2191</v>
      </c>
      <c r="C686" s="20">
        <v>0</v>
      </c>
      <c r="E686" s="20" t="s">
        <v>1480</v>
      </c>
      <c r="F686" s="20" t="s">
        <v>2191</v>
      </c>
      <c r="G686" s="20">
        <v>0</v>
      </c>
      <c r="AA686" s="20" t="s">
        <v>2616</v>
      </c>
      <c r="AB686" s="20">
        <v>0</v>
      </c>
      <c r="AC686" s="20">
        <v>0</v>
      </c>
    </row>
    <row r="687" spans="1:29" x14ac:dyDescent="0.25">
      <c r="A687" s="20" t="s">
        <v>1613</v>
      </c>
      <c r="B687" s="20" t="s">
        <v>2191</v>
      </c>
      <c r="C687" s="20">
        <v>0</v>
      </c>
      <c r="E687" s="20" t="s">
        <v>737</v>
      </c>
      <c r="F687" s="20" t="s">
        <v>2191</v>
      </c>
      <c r="G687" s="20">
        <v>146669.29</v>
      </c>
      <c r="AA687" s="20" t="s">
        <v>2617</v>
      </c>
      <c r="AB687" s="20">
        <v>0</v>
      </c>
      <c r="AC687" s="20">
        <v>0</v>
      </c>
    </row>
    <row r="688" spans="1:29" x14ac:dyDescent="0.25">
      <c r="A688" s="20" t="s">
        <v>2478</v>
      </c>
      <c r="B688" s="20" t="s">
        <v>2191</v>
      </c>
      <c r="C688" s="20">
        <v>0</v>
      </c>
      <c r="E688" s="20" t="s">
        <v>2142</v>
      </c>
      <c r="F688" s="20" t="s">
        <v>2191</v>
      </c>
      <c r="G688" s="20">
        <v>0</v>
      </c>
      <c r="AA688" s="20" t="s">
        <v>2618</v>
      </c>
      <c r="AB688" s="20">
        <v>0</v>
      </c>
      <c r="AC688" s="20">
        <v>0</v>
      </c>
    </row>
    <row r="689" spans="1:29" x14ac:dyDescent="0.25">
      <c r="A689" s="20" t="s">
        <v>2479</v>
      </c>
      <c r="B689" s="20" t="s">
        <v>2191</v>
      </c>
      <c r="C689" s="20">
        <v>0</v>
      </c>
      <c r="E689" s="20" t="s">
        <v>225</v>
      </c>
      <c r="F689" s="20" t="s">
        <v>2191</v>
      </c>
      <c r="G689" s="20">
        <v>0</v>
      </c>
      <c r="AA689" s="20" t="s">
        <v>2619</v>
      </c>
      <c r="AB689" s="20">
        <v>0</v>
      </c>
      <c r="AC689" s="20">
        <v>0</v>
      </c>
    </row>
    <row r="690" spans="1:29" x14ac:dyDescent="0.25">
      <c r="A690" s="20" t="s">
        <v>1101</v>
      </c>
      <c r="B690" s="20" t="s">
        <v>2191</v>
      </c>
      <c r="C690" s="20">
        <v>0</v>
      </c>
      <c r="E690" s="20" t="s">
        <v>934</v>
      </c>
      <c r="F690" s="20" t="s">
        <v>2191</v>
      </c>
      <c r="G690" s="20">
        <v>3445</v>
      </c>
      <c r="AA690" s="20" t="s">
        <v>1009</v>
      </c>
      <c r="AB690" s="20">
        <v>1152.3699999999999</v>
      </c>
      <c r="AC690" s="20">
        <v>15431.24</v>
      </c>
    </row>
    <row r="691" spans="1:29" x14ac:dyDescent="0.25">
      <c r="A691" s="20" t="s">
        <v>2171</v>
      </c>
      <c r="B691" s="20" t="s">
        <v>2191</v>
      </c>
      <c r="C691" s="20">
        <v>0</v>
      </c>
      <c r="E691" s="20" t="s">
        <v>935</v>
      </c>
      <c r="F691" s="20" t="s">
        <v>2191</v>
      </c>
      <c r="G691" s="20">
        <v>0</v>
      </c>
      <c r="AA691" s="20" t="s">
        <v>2620</v>
      </c>
      <c r="AB691" s="20">
        <v>0</v>
      </c>
      <c r="AC691" s="20">
        <v>0</v>
      </c>
    </row>
    <row r="692" spans="1:29" x14ac:dyDescent="0.25">
      <c r="A692" s="20" t="s">
        <v>2480</v>
      </c>
      <c r="B692" s="20" t="s">
        <v>2191</v>
      </c>
      <c r="C692" s="20">
        <v>0</v>
      </c>
      <c r="E692" s="20" t="s">
        <v>1140</v>
      </c>
      <c r="F692" s="20" t="s">
        <v>2191</v>
      </c>
      <c r="G692" s="20">
        <v>0</v>
      </c>
      <c r="AA692" s="20" t="s">
        <v>2621</v>
      </c>
      <c r="AB692" s="20">
        <v>0</v>
      </c>
      <c r="AC692" s="20">
        <v>0</v>
      </c>
    </row>
    <row r="693" spans="1:29" x14ac:dyDescent="0.25">
      <c r="A693" s="20" t="s">
        <v>2481</v>
      </c>
      <c r="B693" s="20" t="s">
        <v>2191</v>
      </c>
      <c r="C693" s="20">
        <v>0</v>
      </c>
      <c r="E693" s="20" t="s">
        <v>326</v>
      </c>
      <c r="F693" s="20" t="s">
        <v>2191</v>
      </c>
      <c r="G693" s="20">
        <v>0</v>
      </c>
      <c r="AA693" s="20" t="s">
        <v>2622</v>
      </c>
      <c r="AB693" s="20">
        <v>0</v>
      </c>
      <c r="AC693" s="20">
        <v>0</v>
      </c>
    </row>
    <row r="694" spans="1:29" x14ac:dyDescent="0.25">
      <c r="A694" s="20" t="s">
        <v>2482</v>
      </c>
      <c r="B694" s="20" t="s">
        <v>2191</v>
      </c>
      <c r="C694" s="20">
        <v>0</v>
      </c>
      <c r="E694" s="20" t="s">
        <v>2190</v>
      </c>
      <c r="F694" s="20" t="s">
        <v>2191</v>
      </c>
      <c r="G694" s="20">
        <v>0</v>
      </c>
      <c r="AA694" s="20" t="s">
        <v>2623</v>
      </c>
      <c r="AB694" s="20">
        <v>0</v>
      </c>
      <c r="AC694" s="20">
        <v>0</v>
      </c>
    </row>
    <row r="695" spans="1:29" x14ac:dyDescent="0.25">
      <c r="A695" s="20" t="s">
        <v>2483</v>
      </c>
      <c r="B695" s="20" t="s">
        <v>2191</v>
      </c>
      <c r="C695" s="20">
        <v>0</v>
      </c>
      <c r="E695" s="20" t="s">
        <v>521</v>
      </c>
      <c r="F695" s="20" t="s">
        <v>2191</v>
      </c>
      <c r="G695" s="20">
        <v>0</v>
      </c>
      <c r="AA695" s="20" t="s">
        <v>2624</v>
      </c>
      <c r="AB695" s="20">
        <v>0</v>
      </c>
      <c r="AC695" s="20">
        <v>0</v>
      </c>
    </row>
    <row r="696" spans="1:29" x14ac:dyDescent="0.25">
      <c r="A696" s="20" t="s">
        <v>1614</v>
      </c>
      <c r="B696" s="20" t="s">
        <v>2191</v>
      </c>
      <c r="C696" s="20">
        <v>0</v>
      </c>
      <c r="E696" s="20" t="s">
        <v>2163</v>
      </c>
      <c r="F696" s="20" t="s">
        <v>2191</v>
      </c>
      <c r="G696" s="20">
        <v>0</v>
      </c>
      <c r="AA696" s="20" t="s">
        <v>2625</v>
      </c>
      <c r="AB696" s="20">
        <v>0</v>
      </c>
      <c r="AC696" s="20">
        <v>0</v>
      </c>
    </row>
    <row r="697" spans="1:29" x14ac:dyDescent="0.25">
      <c r="A697" s="20" t="s">
        <v>2484</v>
      </c>
      <c r="B697" s="20" t="s">
        <v>2191</v>
      </c>
      <c r="C697" s="20">
        <v>0</v>
      </c>
      <c r="E697" s="20" t="s">
        <v>137</v>
      </c>
      <c r="F697" s="20" t="s">
        <v>2191</v>
      </c>
      <c r="G697" s="20">
        <v>0</v>
      </c>
      <c r="AA697" s="20" t="s">
        <v>1267</v>
      </c>
      <c r="AB697" s="20">
        <v>-1304.25</v>
      </c>
      <c r="AC697" s="20">
        <v>3286.28</v>
      </c>
    </row>
    <row r="698" spans="1:29" x14ac:dyDescent="0.25">
      <c r="A698" s="20" t="s">
        <v>1839</v>
      </c>
      <c r="B698" s="20" t="s">
        <v>2191</v>
      </c>
      <c r="C698" s="20">
        <v>0</v>
      </c>
      <c r="E698" s="20" t="s">
        <v>2188</v>
      </c>
      <c r="F698" s="20" t="s">
        <v>2191</v>
      </c>
      <c r="G698" s="20">
        <v>0</v>
      </c>
      <c r="AA698" s="20" t="s">
        <v>1270</v>
      </c>
      <c r="AB698" s="20">
        <v>-9806.67</v>
      </c>
      <c r="AC698" s="20">
        <v>2456.6</v>
      </c>
    </row>
    <row r="699" spans="1:29" x14ac:dyDescent="0.25">
      <c r="A699" s="20" t="s">
        <v>2485</v>
      </c>
      <c r="B699" s="20" t="s">
        <v>2191</v>
      </c>
      <c r="C699" s="20">
        <v>0</v>
      </c>
      <c r="E699" s="20" t="s">
        <v>1023</v>
      </c>
      <c r="F699" s="20" t="s">
        <v>2191</v>
      </c>
      <c r="G699" s="20">
        <v>0</v>
      </c>
      <c r="AA699" s="20" t="s">
        <v>1266</v>
      </c>
      <c r="AB699" s="20">
        <v>15055.38</v>
      </c>
      <c r="AC699" s="20">
        <v>180629.48</v>
      </c>
    </row>
    <row r="700" spans="1:29" x14ac:dyDescent="0.25">
      <c r="A700" s="20" t="s">
        <v>2486</v>
      </c>
      <c r="B700" s="20" t="s">
        <v>2191</v>
      </c>
      <c r="C700" s="20">
        <v>0</v>
      </c>
      <c r="E700" s="20" t="s">
        <v>1311</v>
      </c>
      <c r="F700" s="20" t="s">
        <v>2191</v>
      </c>
      <c r="G700" s="20">
        <v>0</v>
      </c>
      <c r="AA700" s="20" t="s">
        <v>1642</v>
      </c>
      <c r="AB700" s="20">
        <v>-182.82</v>
      </c>
      <c r="AC700" s="20">
        <v>12631.15</v>
      </c>
    </row>
    <row r="701" spans="1:29" x14ac:dyDescent="0.25">
      <c r="A701" s="20" t="s">
        <v>2487</v>
      </c>
      <c r="B701" s="20" t="s">
        <v>2191</v>
      </c>
      <c r="C701" s="20">
        <v>0</v>
      </c>
      <c r="E701" s="20" t="s">
        <v>1144</v>
      </c>
      <c r="F701" s="20" t="s">
        <v>2191</v>
      </c>
      <c r="G701" s="20">
        <v>0</v>
      </c>
      <c r="AA701" s="20" t="s">
        <v>2626</v>
      </c>
      <c r="AB701" s="20">
        <v>0</v>
      </c>
      <c r="AC701" s="20">
        <v>0</v>
      </c>
    </row>
    <row r="702" spans="1:29" x14ac:dyDescent="0.25">
      <c r="A702" s="20" t="s">
        <v>2488</v>
      </c>
      <c r="B702" s="20" t="s">
        <v>2191</v>
      </c>
      <c r="C702" s="20">
        <v>0</v>
      </c>
      <c r="E702" s="20" t="s">
        <v>2084</v>
      </c>
      <c r="F702" s="20" t="s">
        <v>2191</v>
      </c>
      <c r="G702" s="20">
        <v>0</v>
      </c>
      <c r="AA702" s="20" t="s">
        <v>2627</v>
      </c>
      <c r="AB702" s="20">
        <v>0</v>
      </c>
      <c r="AC702" s="20">
        <v>0</v>
      </c>
    </row>
    <row r="703" spans="1:29" x14ac:dyDescent="0.25">
      <c r="A703" s="20" t="s">
        <v>2489</v>
      </c>
      <c r="B703" s="20" t="s">
        <v>2191</v>
      </c>
      <c r="C703" s="20">
        <v>0</v>
      </c>
      <c r="E703" s="20" t="s">
        <v>936</v>
      </c>
      <c r="F703" s="20" t="s">
        <v>2191</v>
      </c>
      <c r="G703" s="20">
        <v>0</v>
      </c>
      <c r="AA703" s="20" t="s">
        <v>2131</v>
      </c>
      <c r="AB703" s="20">
        <v>0</v>
      </c>
      <c r="AC703" s="20">
        <v>0</v>
      </c>
    </row>
    <row r="704" spans="1:29" x14ac:dyDescent="0.25">
      <c r="A704" s="20" t="s">
        <v>1207</v>
      </c>
      <c r="B704" s="20" t="s">
        <v>2191</v>
      </c>
      <c r="C704" s="20">
        <v>5239</v>
      </c>
      <c r="E704" s="20" t="s">
        <v>1025</v>
      </c>
      <c r="F704" s="20" t="s">
        <v>2191</v>
      </c>
      <c r="G704" s="20">
        <v>0</v>
      </c>
      <c r="AA704" s="20" t="s">
        <v>3317</v>
      </c>
      <c r="AB704" s="20">
        <v>6390.11</v>
      </c>
      <c r="AC704" s="20">
        <v>0</v>
      </c>
    </row>
    <row r="705" spans="1:29" x14ac:dyDescent="0.25">
      <c r="A705" s="20" t="s">
        <v>2490</v>
      </c>
      <c r="B705" s="20" t="s">
        <v>2191</v>
      </c>
      <c r="C705" s="20">
        <v>0</v>
      </c>
      <c r="E705" s="20" t="s">
        <v>1146</v>
      </c>
      <c r="F705" s="20" t="s">
        <v>2191</v>
      </c>
      <c r="G705" s="20">
        <v>0</v>
      </c>
      <c r="AA705" s="20" t="s">
        <v>1274</v>
      </c>
      <c r="AB705" s="20">
        <v>-1808.15</v>
      </c>
      <c r="AC705" s="20">
        <v>12334.96</v>
      </c>
    </row>
    <row r="706" spans="1:29" x14ac:dyDescent="0.25">
      <c r="A706" s="20" t="s">
        <v>2491</v>
      </c>
      <c r="B706" s="20" t="s">
        <v>2191</v>
      </c>
      <c r="C706" s="20">
        <v>0</v>
      </c>
      <c r="E706" s="20" t="s">
        <v>522</v>
      </c>
      <c r="F706" s="20" t="s">
        <v>2191</v>
      </c>
      <c r="G706" s="20">
        <v>6642</v>
      </c>
      <c r="AA706" s="20" t="s">
        <v>1275</v>
      </c>
      <c r="AB706" s="20">
        <v>-1616.73</v>
      </c>
      <c r="AC706" s="20">
        <v>63828.38</v>
      </c>
    </row>
    <row r="707" spans="1:29" x14ac:dyDescent="0.25">
      <c r="A707" s="20" t="s">
        <v>907</v>
      </c>
      <c r="B707" s="20" t="s">
        <v>2191</v>
      </c>
      <c r="C707" s="20">
        <v>0</v>
      </c>
      <c r="E707" s="20" t="s">
        <v>524</v>
      </c>
      <c r="F707" s="20" t="s">
        <v>2191</v>
      </c>
      <c r="G707" s="20">
        <v>0</v>
      </c>
      <c r="AA707" s="20" t="s">
        <v>1277</v>
      </c>
      <c r="AB707" s="20">
        <v>26120.46</v>
      </c>
      <c r="AC707" s="20">
        <v>212753.84</v>
      </c>
    </row>
    <row r="708" spans="1:29" x14ac:dyDescent="0.25">
      <c r="A708" s="20" t="s">
        <v>2492</v>
      </c>
      <c r="B708" s="20" t="s">
        <v>2191</v>
      </c>
      <c r="C708" s="20">
        <v>0</v>
      </c>
      <c r="E708" s="20" t="s">
        <v>912</v>
      </c>
      <c r="F708" s="20" t="s">
        <v>2191</v>
      </c>
      <c r="G708" s="20">
        <v>0</v>
      </c>
      <c r="AA708" s="20" t="s">
        <v>2629</v>
      </c>
      <c r="AB708" s="20">
        <v>0</v>
      </c>
      <c r="AC708" s="20">
        <v>0</v>
      </c>
    </row>
    <row r="709" spans="1:29" x14ac:dyDescent="0.25">
      <c r="A709" s="20" t="s">
        <v>2493</v>
      </c>
      <c r="B709" s="20" t="s">
        <v>2191</v>
      </c>
      <c r="C709" s="20">
        <v>0</v>
      </c>
      <c r="E709" s="20" t="s">
        <v>526</v>
      </c>
      <c r="F709" s="20" t="s">
        <v>2191</v>
      </c>
      <c r="G709" s="20">
        <v>0</v>
      </c>
      <c r="AA709" s="20" t="s">
        <v>1254</v>
      </c>
      <c r="AB709" s="20">
        <v>9452.57</v>
      </c>
      <c r="AC709" s="20">
        <v>410902.13</v>
      </c>
    </row>
    <row r="710" spans="1:29" x14ac:dyDescent="0.25">
      <c r="A710" s="20" t="s">
        <v>1615</v>
      </c>
      <c r="B710" s="20" t="s">
        <v>2191</v>
      </c>
      <c r="C710" s="20">
        <v>0</v>
      </c>
      <c r="E710" s="20" t="s">
        <v>139</v>
      </c>
      <c r="F710" s="20" t="s">
        <v>2191</v>
      </c>
      <c r="G710" s="20">
        <v>0</v>
      </c>
      <c r="AA710" s="20" t="s">
        <v>2630</v>
      </c>
      <c r="AB710" s="20">
        <v>0</v>
      </c>
      <c r="AC710" s="20">
        <v>0</v>
      </c>
    </row>
    <row r="711" spans="1:29" x14ac:dyDescent="0.25">
      <c r="A711" s="20" t="s">
        <v>1616</v>
      </c>
      <c r="B711" s="20" t="s">
        <v>2191</v>
      </c>
      <c r="C711" s="20">
        <v>0</v>
      </c>
      <c r="E711" s="20" t="s">
        <v>2085</v>
      </c>
      <c r="F711" s="20" t="s">
        <v>2191</v>
      </c>
      <c r="G711" s="20">
        <v>0</v>
      </c>
      <c r="AA711" s="20" t="s">
        <v>429</v>
      </c>
      <c r="AB711" s="20">
        <v>21458.78</v>
      </c>
      <c r="AC711" s="20">
        <v>87610.55</v>
      </c>
    </row>
    <row r="712" spans="1:29" x14ac:dyDescent="0.25">
      <c r="A712" s="20" t="s">
        <v>2494</v>
      </c>
      <c r="B712" s="20" t="s">
        <v>2191</v>
      </c>
      <c r="C712" s="20">
        <v>0</v>
      </c>
      <c r="E712" s="20" t="s">
        <v>140</v>
      </c>
      <c r="F712" s="20" t="s">
        <v>2191</v>
      </c>
      <c r="G712" s="20">
        <v>6183</v>
      </c>
      <c r="AA712" s="20" t="s">
        <v>2631</v>
      </c>
      <c r="AB712" s="20">
        <v>0</v>
      </c>
      <c r="AC712" s="20">
        <v>0</v>
      </c>
    </row>
    <row r="713" spans="1:29" x14ac:dyDescent="0.25">
      <c r="A713" s="20" t="s">
        <v>1617</v>
      </c>
      <c r="B713" s="20" t="s">
        <v>2191</v>
      </c>
      <c r="C713" s="20">
        <v>0</v>
      </c>
      <c r="E713" s="20" t="s">
        <v>1149</v>
      </c>
      <c r="F713" s="20" t="s">
        <v>2191</v>
      </c>
      <c r="G713" s="20">
        <v>0</v>
      </c>
      <c r="AA713" s="20" t="s">
        <v>2132</v>
      </c>
      <c r="AB713" s="20">
        <v>0</v>
      </c>
      <c r="AC713" s="20">
        <v>0</v>
      </c>
    </row>
    <row r="714" spans="1:29" x14ac:dyDescent="0.25">
      <c r="A714" s="20" t="s">
        <v>2495</v>
      </c>
      <c r="B714" s="20" t="s">
        <v>2191</v>
      </c>
      <c r="C714" s="20">
        <v>0</v>
      </c>
      <c r="E714" s="20" t="s">
        <v>739</v>
      </c>
      <c r="F714" s="20" t="s">
        <v>2191</v>
      </c>
      <c r="G714" s="20">
        <v>18673.5</v>
      </c>
      <c r="AA714" s="20" t="s">
        <v>1253</v>
      </c>
      <c r="AB714" s="20">
        <v>-9768.01</v>
      </c>
      <c r="AC714" s="20">
        <v>0</v>
      </c>
    </row>
    <row r="715" spans="1:29" x14ac:dyDescent="0.25">
      <c r="A715" s="20" t="s">
        <v>2496</v>
      </c>
      <c r="B715" s="20" t="s">
        <v>2191</v>
      </c>
      <c r="C715" s="20">
        <v>0</v>
      </c>
      <c r="E715" s="20" t="s">
        <v>1482</v>
      </c>
      <c r="F715" s="20" t="s">
        <v>2191</v>
      </c>
      <c r="G715" s="20">
        <v>14244.12</v>
      </c>
      <c r="AA715" s="20" t="s">
        <v>612</v>
      </c>
      <c r="AB715" s="20">
        <v>0</v>
      </c>
      <c r="AC715" s="20">
        <v>0</v>
      </c>
    </row>
    <row r="716" spans="1:29" x14ac:dyDescent="0.25">
      <c r="A716" s="20" t="s">
        <v>2096</v>
      </c>
      <c r="B716" s="20" t="s">
        <v>2191</v>
      </c>
      <c r="C716" s="20">
        <v>0</v>
      </c>
      <c r="E716" s="20" t="s">
        <v>1385</v>
      </c>
      <c r="F716" s="20" t="s">
        <v>2191</v>
      </c>
      <c r="G716" s="20">
        <v>2806</v>
      </c>
      <c r="AA716" s="20" t="s">
        <v>1643</v>
      </c>
      <c r="AB716" s="20">
        <v>-1811.86</v>
      </c>
      <c r="AC716" s="20">
        <v>0</v>
      </c>
    </row>
    <row r="717" spans="1:29" x14ac:dyDescent="0.25">
      <c r="A717" s="20" t="s">
        <v>1618</v>
      </c>
      <c r="B717" s="20" t="s">
        <v>2191</v>
      </c>
      <c r="C717" s="20">
        <v>0</v>
      </c>
      <c r="E717" s="20" t="s">
        <v>144</v>
      </c>
      <c r="F717" s="20" t="s">
        <v>2191</v>
      </c>
      <c r="G717" s="20">
        <v>15187</v>
      </c>
      <c r="AA717" s="20" t="s">
        <v>2633</v>
      </c>
      <c r="AB717" s="20">
        <v>0</v>
      </c>
      <c r="AC717" s="20">
        <v>0</v>
      </c>
    </row>
    <row r="718" spans="1:29" x14ac:dyDescent="0.25">
      <c r="A718" s="20" t="s">
        <v>2497</v>
      </c>
      <c r="B718" s="20" t="s">
        <v>2191</v>
      </c>
      <c r="C718" s="20">
        <v>0</v>
      </c>
      <c r="E718" s="20" t="s">
        <v>655</v>
      </c>
      <c r="F718" s="20" t="s">
        <v>2191</v>
      </c>
      <c r="G718" s="20">
        <v>1839</v>
      </c>
      <c r="AA718" s="20" t="s">
        <v>1860</v>
      </c>
      <c r="AB718" s="20">
        <v>0</v>
      </c>
      <c r="AC718" s="20">
        <v>0</v>
      </c>
    </row>
    <row r="719" spans="1:29" x14ac:dyDescent="0.25">
      <c r="A719" s="20" t="s">
        <v>2498</v>
      </c>
      <c r="B719" s="20" t="s">
        <v>2191</v>
      </c>
      <c r="C719" s="20">
        <v>0</v>
      </c>
      <c r="E719" s="20" t="s">
        <v>146</v>
      </c>
      <c r="F719" s="20" t="s">
        <v>2191</v>
      </c>
      <c r="G719" s="20">
        <v>0</v>
      </c>
      <c r="AA719" s="20" t="s">
        <v>2074</v>
      </c>
      <c r="AB719" s="20">
        <v>0</v>
      </c>
      <c r="AC719" s="20">
        <v>0</v>
      </c>
    </row>
    <row r="720" spans="1:29" x14ac:dyDescent="0.25">
      <c r="A720" s="20" t="s">
        <v>2156</v>
      </c>
      <c r="B720" s="20" t="s">
        <v>2191</v>
      </c>
      <c r="C720" s="20">
        <v>0</v>
      </c>
      <c r="E720" s="20" t="s">
        <v>645</v>
      </c>
      <c r="F720" s="20" t="s">
        <v>2191</v>
      </c>
      <c r="G720" s="20">
        <v>0</v>
      </c>
      <c r="AA720" s="20" t="s">
        <v>270</v>
      </c>
      <c r="AB720" s="20">
        <v>1363819.31</v>
      </c>
      <c r="AC720" s="20">
        <v>4769775.21</v>
      </c>
    </row>
    <row r="721" spans="1:29" x14ac:dyDescent="0.25">
      <c r="A721" s="20" t="s">
        <v>2499</v>
      </c>
      <c r="B721" s="20" t="s">
        <v>2191</v>
      </c>
      <c r="C721" s="20">
        <v>0</v>
      </c>
      <c r="E721" s="20" t="s">
        <v>1387</v>
      </c>
      <c r="F721" s="20" t="s">
        <v>2191</v>
      </c>
      <c r="G721" s="20">
        <v>0</v>
      </c>
      <c r="AA721" s="20" t="s">
        <v>1645</v>
      </c>
      <c r="AB721" s="20">
        <v>-849.73</v>
      </c>
      <c r="AC721" s="20">
        <v>0</v>
      </c>
    </row>
    <row r="722" spans="1:29" x14ac:dyDescent="0.25">
      <c r="A722" s="20" t="s">
        <v>2500</v>
      </c>
      <c r="B722" s="20" t="s">
        <v>2191</v>
      </c>
      <c r="C722" s="20">
        <v>0</v>
      </c>
      <c r="E722" s="20" t="s">
        <v>2086</v>
      </c>
      <c r="F722" s="20" t="s">
        <v>2191</v>
      </c>
      <c r="G722" s="20">
        <v>0</v>
      </c>
      <c r="AA722" s="20" t="s">
        <v>1104</v>
      </c>
      <c r="AB722" s="20">
        <v>-5847.89</v>
      </c>
      <c r="AC722" s="20">
        <v>101572.61</v>
      </c>
    </row>
    <row r="723" spans="1:29" x14ac:dyDescent="0.25">
      <c r="A723" s="20" t="s">
        <v>2501</v>
      </c>
      <c r="B723" s="20" t="s">
        <v>2191</v>
      </c>
      <c r="C723" s="20">
        <v>0</v>
      </c>
      <c r="E723" s="20" t="s">
        <v>1154</v>
      </c>
      <c r="F723" s="20" t="s">
        <v>2191</v>
      </c>
      <c r="G723" s="20">
        <v>0</v>
      </c>
      <c r="AA723" s="20" t="s">
        <v>2077</v>
      </c>
      <c r="AB723" s="20">
        <v>0</v>
      </c>
      <c r="AC723" s="20">
        <v>0</v>
      </c>
    </row>
    <row r="724" spans="1:29" x14ac:dyDescent="0.25">
      <c r="A724" s="20" t="s">
        <v>1619</v>
      </c>
      <c r="B724" s="20" t="s">
        <v>2191</v>
      </c>
      <c r="C724" s="20">
        <v>0</v>
      </c>
      <c r="E724" s="20" t="s">
        <v>1484</v>
      </c>
      <c r="F724" s="20" t="s">
        <v>2191</v>
      </c>
      <c r="G724" s="20">
        <v>0</v>
      </c>
      <c r="AA724" s="20" t="s">
        <v>2100</v>
      </c>
      <c r="AB724" s="20">
        <v>0</v>
      </c>
      <c r="AC724" s="20">
        <v>0</v>
      </c>
    </row>
    <row r="725" spans="1:29" x14ac:dyDescent="0.25">
      <c r="A725" s="20" t="s">
        <v>2502</v>
      </c>
      <c r="B725" s="20" t="s">
        <v>2191</v>
      </c>
      <c r="C725" s="20">
        <v>0</v>
      </c>
      <c r="E725" s="20" t="s">
        <v>333</v>
      </c>
      <c r="F725" s="20" t="s">
        <v>2191</v>
      </c>
      <c r="G725" s="20">
        <v>0</v>
      </c>
      <c r="AA725" s="20" t="s">
        <v>1107</v>
      </c>
      <c r="AB725" s="20">
        <v>86580.11</v>
      </c>
      <c r="AC725" s="20">
        <v>1096396.6100000001</v>
      </c>
    </row>
    <row r="726" spans="1:29" x14ac:dyDescent="0.25">
      <c r="A726" s="20" t="s">
        <v>2503</v>
      </c>
      <c r="B726" s="20" t="s">
        <v>2191</v>
      </c>
      <c r="C726" s="20">
        <v>0</v>
      </c>
      <c r="E726" s="20" t="s">
        <v>218</v>
      </c>
      <c r="F726" s="20" t="s">
        <v>2191</v>
      </c>
      <c r="G726" s="20">
        <v>38.19</v>
      </c>
      <c r="AA726" s="20" t="s">
        <v>2635</v>
      </c>
      <c r="AB726" s="20">
        <v>0</v>
      </c>
      <c r="AC726" s="20">
        <v>0</v>
      </c>
    </row>
    <row r="727" spans="1:29" x14ac:dyDescent="0.25">
      <c r="A727" s="20" t="s">
        <v>2504</v>
      </c>
      <c r="B727" s="20" t="s">
        <v>2191</v>
      </c>
      <c r="C727" s="20">
        <v>0</v>
      </c>
      <c r="E727" s="20" t="s">
        <v>1032</v>
      </c>
      <c r="F727" s="20" t="s">
        <v>2191</v>
      </c>
      <c r="G727" s="20">
        <v>0</v>
      </c>
      <c r="AA727" s="20" t="s">
        <v>1109</v>
      </c>
      <c r="AB727" s="20">
        <v>2491.38</v>
      </c>
      <c r="AC727" s="20">
        <v>131734.82999999999</v>
      </c>
    </row>
    <row r="728" spans="1:29" x14ac:dyDescent="0.25">
      <c r="A728" s="20" t="s">
        <v>2505</v>
      </c>
      <c r="B728" s="20" t="s">
        <v>2191</v>
      </c>
      <c r="C728" s="20">
        <v>0</v>
      </c>
      <c r="E728" s="20" t="s">
        <v>658</v>
      </c>
      <c r="F728" s="20" t="s">
        <v>2191</v>
      </c>
      <c r="G728" s="20">
        <v>0</v>
      </c>
      <c r="AA728" s="20" t="s">
        <v>280</v>
      </c>
      <c r="AB728" s="20">
        <v>74096.960000000006</v>
      </c>
      <c r="AC728" s="20">
        <v>327240.90000000002</v>
      </c>
    </row>
    <row r="729" spans="1:29" x14ac:dyDescent="0.25">
      <c r="A729" s="20" t="s">
        <v>2506</v>
      </c>
      <c r="B729" s="20" t="s">
        <v>2191</v>
      </c>
      <c r="C729" s="20">
        <v>0</v>
      </c>
      <c r="E729" s="20" t="s">
        <v>1156</v>
      </c>
      <c r="F729" s="20" t="s">
        <v>2191</v>
      </c>
      <c r="G729" s="20">
        <v>0</v>
      </c>
      <c r="AA729" s="20" t="s">
        <v>2101</v>
      </c>
      <c r="AB729" s="20">
        <v>0</v>
      </c>
      <c r="AC729" s="20">
        <v>0</v>
      </c>
    </row>
    <row r="730" spans="1:29" x14ac:dyDescent="0.25">
      <c r="A730" s="20" t="s">
        <v>2507</v>
      </c>
      <c r="B730" s="20" t="s">
        <v>2191</v>
      </c>
      <c r="C730" s="20">
        <v>0</v>
      </c>
      <c r="E730" s="20" t="s">
        <v>1943</v>
      </c>
      <c r="F730" s="20" t="s">
        <v>2191</v>
      </c>
      <c r="G730" s="20">
        <v>0</v>
      </c>
      <c r="AA730" s="20" t="s">
        <v>241</v>
      </c>
      <c r="AB730" s="20">
        <v>207697.59</v>
      </c>
      <c r="AC730" s="20">
        <v>991745.5</v>
      </c>
    </row>
    <row r="731" spans="1:29" x14ac:dyDescent="0.25">
      <c r="A731" s="20" t="s">
        <v>1620</v>
      </c>
      <c r="B731" s="20" t="s">
        <v>2191</v>
      </c>
      <c r="C731" s="20">
        <v>0</v>
      </c>
      <c r="E731" s="20" t="s">
        <v>741</v>
      </c>
      <c r="F731" s="20" t="s">
        <v>2191</v>
      </c>
      <c r="G731" s="20">
        <v>0</v>
      </c>
      <c r="AA731" s="20" t="s">
        <v>252</v>
      </c>
      <c r="AB731" s="20">
        <v>451730.81</v>
      </c>
      <c r="AC731" s="20">
        <v>1432289.33</v>
      </c>
    </row>
    <row r="732" spans="1:29" x14ac:dyDescent="0.25">
      <c r="A732" s="20" t="s">
        <v>2508</v>
      </c>
      <c r="B732" s="20" t="s">
        <v>2191</v>
      </c>
      <c r="C732" s="20">
        <v>0</v>
      </c>
      <c r="E732" s="20" t="s">
        <v>1522</v>
      </c>
      <c r="F732" s="20" t="s">
        <v>2191</v>
      </c>
      <c r="G732" s="20">
        <v>0</v>
      </c>
      <c r="AA732" s="20" t="s">
        <v>1646</v>
      </c>
      <c r="AB732" s="20">
        <v>-1712.53</v>
      </c>
      <c r="AC732" s="20">
        <v>6483.17</v>
      </c>
    </row>
    <row r="733" spans="1:29" x14ac:dyDescent="0.25">
      <c r="A733" s="20" t="s">
        <v>2509</v>
      </c>
      <c r="B733" s="20" t="s">
        <v>2191</v>
      </c>
      <c r="C733" s="20">
        <v>0</v>
      </c>
      <c r="E733" s="20" t="s">
        <v>743</v>
      </c>
      <c r="F733" s="20" t="s">
        <v>2191</v>
      </c>
      <c r="G733" s="20">
        <v>0</v>
      </c>
      <c r="AA733" s="20" t="s">
        <v>1647</v>
      </c>
      <c r="AB733" s="20">
        <v>-3307.54</v>
      </c>
      <c r="AC733" s="20">
        <v>0</v>
      </c>
    </row>
    <row r="734" spans="1:29" x14ac:dyDescent="0.25">
      <c r="A734" s="20" t="s">
        <v>2510</v>
      </c>
      <c r="B734" s="20" t="s">
        <v>2191</v>
      </c>
      <c r="C734" s="20">
        <v>0</v>
      </c>
      <c r="E734" s="20" t="s">
        <v>1523</v>
      </c>
      <c r="F734" s="20" t="s">
        <v>2191</v>
      </c>
      <c r="G734" s="20">
        <v>0</v>
      </c>
      <c r="AA734" s="20" t="s">
        <v>287</v>
      </c>
      <c r="AB734" s="20">
        <v>28949.93</v>
      </c>
      <c r="AC734" s="20">
        <v>942086.26</v>
      </c>
    </row>
    <row r="735" spans="1:29" x14ac:dyDescent="0.25">
      <c r="A735" s="20" t="s">
        <v>1968</v>
      </c>
      <c r="B735" s="20" t="s">
        <v>2191</v>
      </c>
      <c r="C735" s="20">
        <v>0</v>
      </c>
      <c r="E735" s="20" t="s">
        <v>1312</v>
      </c>
      <c r="F735" s="20" t="s">
        <v>2191</v>
      </c>
      <c r="G735" s="20">
        <v>0</v>
      </c>
      <c r="AA735" s="20" t="s">
        <v>2636</v>
      </c>
      <c r="AB735" s="20">
        <v>3968.39</v>
      </c>
      <c r="AC735" s="20">
        <v>22594.05</v>
      </c>
    </row>
    <row r="736" spans="1:29" x14ac:dyDescent="0.25">
      <c r="A736" s="20" t="s">
        <v>2511</v>
      </c>
      <c r="B736" s="20" t="s">
        <v>2191</v>
      </c>
      <c r="C736" s="20">
        <v>0</v>
      </c>
      <c r="E736" s="20" t="s">
        <v>919</v>
      </c>
      <c r="F736" s="20" t="s">
        <v>2191</v>
      </c>
      <c r="G736" s="20">
        <v>0</v>
      </c>
      <c r="AA736" s="20" t="s">
        <v>289</v>
      </c>
      <c r="AB736" s="20">
        <v>211274.18</v>
      </c>
      <c r="AC736" s="20">
        <v>1865169.24</v>
      </c>
    </row>
    <row r="737" spans="1:29" x14ac:dyDescent="0.25">
      <c r="A737" s="20" t="s">
        <v>1621</v>
      </c>
      <c r="B737" s="20" t="s">
        <v>2191</v>
      </c>
      <c r="C737" s="20">
        <v>0</v>
      </c>
      <c r="E737" s="20" t="s">
        <v>1525</v>
      </c>
      <c r="F737" s="20" t="s">
        <v>2191</v>
      </c>
      <c r="G737" s="20">
        <v>0</v>
      </c>
      <c r="AA737" s="20" t="s">
        <v>1113</v>
      </c>
      <c r="AB737" s="20">
        <v>524794.51</v>
      </c>
      <c r="AC737" s="20">
        <v>258852.58</v>
      </c>
    </row>
    <row r="738" spans="1:29" x14ac:dyDescent="0.25">
      <c r="A738" s="20" t="s">
        <v>2512</v>
      </c>
      <c r="B738" s="20" t="s">
        <v>2191</v>
      </c>
      <c r="C738" s="20">
        <v>0</v>
      </c>
      <c r="E738" s="20" t="s">
        <v>1033</v>
      </c>
      <c r="F738" s="20" t="s">
        <v>2191</v>
      </c>
      <c r="G738" s="20">
        <v>0</v>
      </c>
      <c r="AA738" s="20" t="s">
        <v>291</v>
      </c>
      <c r="AB738" s="20">
        <v>14386.07</v>
      </c>
      <c r="AC738" s="20">
        <v>255583.49</v>
      </c>
    </row>
    <row r="739" spans="1:29" x14ac:dyDescent="0.25">
      <c r="A739" s="20" t="s">
        <v>2513</v>
      </c>
      <c r="B739" s="20" t="s">
        <v>2191</v>
      </c>
      <c r="C739" s="20">
        <v>0</v>
      </c>
      <c r="E739" s="20" t="s">
        <v>1527</v>
      </c>
      <c r="F739" s="20" t="s">
        <v>2191</v>
      </c>
      <c r="G739" s="20">
        <v>0</v>
      </c>
      <c r="AA739" s="20" t="s">
        <v>1115</v>
      </c>
      <c r="AB739" s="20">
        <v>597211.43999999994</v>
      </c>
      <c r="AC739" s="20">
        <v>614155.09</v>
      </c>
    </row>
    <row r="740" spans="1:29" x14ac:dyDescent="0.25">
      <c r="A740" s="20" t="s">
        <v>2514</v>
      </c>
      <c r="B740" s="20" t="s">
        <v>2191</v>
      </c>
      <c r="C740" s="20">
        <v>0</v>
      </c>
      <c r="E740" s="20" t="s">
        <v>1236</v>
      </c>
      <c r="F740" s="20" t="s">
        <v>2191</v>
      </c>
      <c r="G740" s="20">
        <v>0</v>
      </c>
      <c r="AA740" s="20" t="s">
        <v>1211</v>
      </c>
      <c r="AB740" s="20">
        <v>58482.7</v>
      </c>
      <c r="AC740" s="20">
        <v>505334.41</v>
      </c>
    </row>
    <row r="741" spans="1:29" x14ac:dyDescent="0.25">
      <c r="A741" s="20" t="s">
        <v>2515</v>
      </c>
      <c r="B741" s="20" t="s">
        <v>2191</v>
      </c>
      <c r="C741" s="20">
        <v>0</v>
      </c>
      <c r="E741" s="20" t="s">
        <v>334</v>
      </c>
      <c r="F741" s="20" t="s">
        <v>2191</v>
      </c>
      <c r="G741" s="20">
        <v>0</v>
      </c>
      <c r="AA741" s="20" t="s">
        <v>1117</v>
      </c>
      <c r="AB741" s="20">
        <v>19493.79</v>
      </c>
      <c r="AC741" s="20">
        <v>165073.23000000001</v>
      </c>
    </row>
    <row r="742" spans="1:29" x14ac:dyDescent="0.25">
      <c r="A742" s="20" t="s">
        <v>2516</v>
      </c>
      <c r="B742" s="20" t="s">
        <v>2191</v>
      </c>
      <c r="C742" s="20">
        <v>0</v>
      </c>
      <c r="E742" s="20" t="s">
        <v>217</v>
      </c>
      <c r="F742" s="20" t="s">
        <v>2191</v>
      </c>
      <c r="G742" s="20">
        <v>0</v>
      </c>
      <c r="AA742" s="20" t="s">
        <v>1119</v>
      </c>
      <c r="AB742" s="20">
        <v>31775.29</v>
      </c>
      <c r="AC742" s="20">
        <v>211136.02</v>
      </c>
    </row>
    <row r="743" spans="1:29" x14ac:dyDescent="0.25">
      <c r="A743" s="20" t="s">
        <v>2517</v>
      </c>
      <c r="B743" s="20" t="s">
        <v>2191</v>
      </c>
      <c r="C743" s="20">
        <v>0</v>
      </c>
      <c r="E743" s="20" t="s">
        <v>1728</v>
      </c>
      <c r="F743" s="20" t="s">
        <v>2191</v>
      </c>
      <c r="G743" s="20">
        <v>0</v>
      </c>
      <c r="AA743" s="20" t="s">
        <v>1215</v>
      </c>
      <c r="AB743" s="20">
        <v>189975.98</v>
      </c>
      <c r="AC743" s="20">
        <v>421516.99</v>
      </c>
    </row>
    <row r="744" spans="1:29" x14ac:dyDescent="0.25">
      <c r="A744" s="20" t="s">
        <v>2518</v>
      </c>
      <c r="B744" s="20" t="s">
        <v>2191</v>
      </c>
      <c r="C744" s="20">
        <v>0</v>
      </c>
      <c r="E744" s="20" t="s">
        <v>1157</v>
      </c>
      <c r="F744" s="20" t="s">
        <v>2191</v>
      </c>
      <c r="G744" s="20">
        <v>0</v>
      </c>
      <c r="AA744" s="20" t="s">
        <v>2103</v>
      </c>
      <c r="AB744" s="20">
        <v>0</v>
      </c>
      <c r="AC744" s="20">
        <v>0</v>
      </c>
    </row>
    <row r="745" spans="1:29" x14ac:dyDescent="0.25">
      <c r="A745" s="20" t="s">
        <v>2519</v>
      </c>
      <c r="B745" s="20" t="s">
        <v>2191</v>
      </c>
      <c r="C745" s="20">
        <v>0</v>
      </c>
      <c r="E745" s="20" t="s">
        <v>336</v>
      </c>
      <c r="F745" s="20" t="s">
        <v>2191</v>
      </c>
      <c r="G745" s="20">
        <v>0</v>
      </c>
      <c r="AA745" s="20" t="s">
        <v>2104</v>
      </c>
      <c r="AB745" s="20">
        <v>0</v>
      </c>
      <c r="AC745" s="20">
        <v>0</v>
      </c>
    </row>
    <row r="746" spans="1:29" x14ac:dyDescent="0.25">
      <c r="A746" s="20" t="s">
        <v>2520</v>
      </c>
      <c r="B746" s="20" t="s">
        <v>2191</v>
      </c>
      <c r="C746" s="20">
        <v>0</v>
      </c>
      <c r="E746" s="20" t="s">
        <v>1034</v>
      </c>
      <c r="F746" s="20" t="s">
        <v>2191</v>
      </c>
      <c r="G746" s="20">
        <v>0</v>
      </c>
      <c r="AA746" s="20" t="s">
        <v>1217</v>
      </c>
      <c r="AB746" s="20">
        <v>78556.39</v>
      </c>
      <c r="AC746" s="20">
        <v>518580.08</v>
      </c>
    </row>
    <row r="747" spans="1:29" x14ac:dyDescent="0.25">
      <c r="A747" s="20" t="s">
        <v>2521</v>
      </c>
      <c r="B747" s="20" t="s">
        <v>2191</v>
      </c>
      <c r="C747" s="20">
        <v>0</v>
      </c>
      <c r="E747" s="20" t="s">
        <v>1388</v>
      </c>
      <c r="F747" s="20" t="s">
        <v>2191</v>
      </c>
      <c r="G747" s="20">
        <v>11996</v>
      </c>
      <c r="AA747" s="20" t="s">
        <v>1880</v>
      </c>
      <c r="AB747" s="20">
        <v>0</v>
      </c>
      <c r="AC747" s="20">
        <v>0</v>
      </c>
    </row>
    <row r="748" spans="1:29" x14ac:dyDescent="0.25">
      <c r="A748" s="20" t="s">
        <v>2522</v>
      </c>
      <c r="B748" s="20" t="s">
        <v>2191</v>
      </c>
      <c r="C748" s="20">
        <v>0</v>
      </c>
      <c r="E748" s="20" t="s">
        <v>337</v>
      </c>
      <c r="F748" s="20" t="s">
        <v>2191</v>
      </c>
      <c r="G748" s="20">
        <v>0</v>
      </c>
      <c r="AA748" s="20" t="s">
        <v>2637</v>
      </c>
      <c r="AB748" s="20">
        <v>0</v>
      </c>
      <c r="AC748" s="20">
        <v>0</v>
      </c>
    </row>
    <row r="749" spans="1:29" x14ac:dyDescent="0.25">
      <c r="A749" s="20" t="s">
        <v>2127</v>
      </c>
      <c r="B749" s="20" t="s">
        <v>2191</v>
      </c>
      <c r="C749" s="20">
        <v>0</v>
      </c>
      <c r="E749" s="20" t="s">
        <v>745</v>
      </c>
      <c r="F749" s="20" t="s">
        <v>2191</v>
      </c>
      <c r="G749" s="20">
        <v>0</v>
      </c>
      <c r="AA749" s="20" t="s">
        <v>1648</v>
      </c>
      <c r="AB749" s="20">
        <v>7025.6</v>
      </c>
      <c r="AC749" s="20">
        <v>41960.94</v>
      </c>
    </row>
    <row r="750" spans="1:29" x14ac:dyDescent="0.25">
      <c r="A750" s="20" t="s">
        <v>2523</v>
      </c>
      <c r="B750" s="20" t="s">
        <v>2191</v>
      </c>
      <c r="C750" s="20">
        <v>0</v>
      </c>
      <c r="E750" s="20" t="s">
        <v>220</v>
      </c>
      <c r="F750" s="20" t="s">
        <v>2191</v>
      </c>
      <c r="G750" s="20">
        <v>0</v>
      </c>
      <c r="AA750" s="20" t="s">
        <v>435</v>
      </c>
      <c r="AB750" s="20">
        <v>87815.53</v>
      </c>
      <c r="AC750" s="20">
        <v>1153097.5900000001</v>
      </c>
    </row>
    <row r="751" spans="1:29" x14ac:dyDescent="0.25">
      <c r="A751" s="20" t="s">
        <v>2524</v>
      </c>
      <c r="B751" s="20" t="s">
        <v>2191</v>
      </c>
      <c r="C751" s="20">
        <v>0</v>
      </c>
      <c r="E751" s="20" t="s">
        <v>1390</v>
      </c>
      <c r="F751" s="20" t="s">
        <v>2191</v>
      </c>
      <c r="G751" s="20">
        <v>1128</v>
      </c>
      <c r="AA751" s="20" t="s">
        <v>1862</v>
      </c>
      <c r="AB751" s="20">
        <v>0</v>
      </c>
      <c r="AC751" s="20">
        <v>0</v>
      </c>
    </row>
    <row r="752" spans="1:29" x14ac:dyDescent="0.25">
      <c r="A752" s="20" t="s">
        <v>2525</v>
      </c>
      <c r="B752" s="20" t="s">
        <v>2191</v>
      </c>
      <c r="C752" s="20">
        <v>0</v>
      </c>
      <c r="E752" s="20" t="s">
        <v>746</v>
      </c>
      <c r="F752" s="20" t="s">
        <v>2191</v>
      </c>
      <c r="G752" s="20">
        <v>0</v>
      </c>
      <c r="AA752" s="20" t="s">
        <v>2638</v>
      </c>
      <c r="AB752" s="20">
        <v>0</v>
      </c>
      <c r="AC752" s="20">
        <v>0</v>
      </c>
    </row>
    <row r="753" spans="1:29" x14ac:dyDescent="0.25">
      <c r="A753" s="20" t="s">
        <v>1622</v>
      </c>
      <c r="B753" s="20" t="s">
        <v>2191</v>
      </c>
      <c r="C753" s="20">
        <v>0</v>
      </c>
      <c r="E753" s="20" t="s">
        <v>1158</v>
      </c>
      <c r="F753" s="20" t="s">
        <v>2191</v>
      </c>
      <c r="G753" s="20">
        <v>0</v>
      </c>
      <c r="AA753" s="20" t="s">
        <v>439</v>
      </c>
      <c r="AB753" s="20">
        <v>-1026.4000000000001</v>
      </c>
      <c r="AC753" s="20">
        <v>146194.87</v>
      </c>
    </row>
    <row r="754" spans="1:29" x14ac:dyDescent="0.25">
      <c r="A754" s="20" t="s">
        <v>113</v>
      </c>
      <c r="B754" s="20" t="s">
        <v>2191</v>
      </c>
      <c r="C754" s="20">
        <v>4599.49</v>
      </c>
      <c r="E754" s="20" t="s">
        <v>407</v>
      </c>
      <c r="F754" s="20" t="s">
        <v>2191</v>
      </c>
      <c r="G754" s="20">
        <v>11174.27</v>
      </c>
      <c r="AA754" s="20" t="s">
        <v>443</v>
      </c>
      <c r="AB754" s="20">
        <v>142635.59</v>
      </c>
      <c r="AC754" s="20">
        <v>633615.75</v>
      </c>
    </row>
    <row r="755" spans="1:29" x14ac:dyDescent="0.25">
      <c r="A755" s="20" t="s">
        <v>2526</v>
      </c>
      <c r="B755" s="20" t="s">
        <v>2191</v>
      </c>
      <c r="C755" s="20">
        <v>0</v>
      </c>
      <c r="E755" s="20" t="s">
        <v>2164</v>
      </c>
      <c r="F755" s="20" t="s">
        <v>2191</v>
      </c>
      <c r="G755" s="20">
        <v>0</v>
      </c>
      <c r="AA755" s="20" t="s">
        <v>445</v>
      </c>
      <c r="AB755" s="20">
        <v>863283.57</v>
      </c>
      <c r="AC755" s="20">
        <v>2841973.64</v>
      </c>
    </row>
    <row r="756" spans="1:29" x14ac:dyDescent="0.25">
      <c r="A756" s="20" t="s">
        <v>2527</v>
      </c>
      <c r="B756" s="20" t="s">
        <v>2191</v>
      </c>
      <c r="C756" s="20">
        <v>0</v>
      </c>
      <c r="E756" s="20" t="s">
        <v>747</v>
      </c>
      <c r="F756" s="20" t="s">
        <v>2191</v>
      </c>
      <c r="G756" s="20">
        <v>0</v>
      </c>
      <c r="AA756" s="20" t="s">
        <v>447</v>
      </c>
      <c r="AB756" s="20">
        <v>-536.76</v>
      </c>
      <c r="AC756" s="20">
        <v>332.43</v>
      </c>
    </row>
    <row r="757" spans="1:29" x14ac:dyDescent="0.25">
      <c r="A757" s="20" t="s">
        <v>1913</v>
      </c>
      <c r="B757" s="20" t="s">
        <v>2191</v>
      </c>
      <c r="C757" s="20">
        <v>0</v>
      </c>
      <c r="E757" s="20" t="s">
        <v>2946</v>
      </c>
      <c r="F757" s="20" t="s">
        <v>2191</v>
      </c>
      <c r="G757" s="20">
        <v>0</v>
      </c>
      <c r="AA757" s="20" t="s">
        <v>1649</v>
      </c>
      <c r="AB757" s="20">
        <v>-5532.17</v>
      </c>
      <c r="AC757" s="20">
        <v>7712.7</v>
      </c>
    </row>
    <row r="758" spans="1:29" x14ac:dyDescent="0.25">
      <c r="A758" s="20" t="s">
        <v>2528</v>
      </c>
      <c r="B758" s="20" t="s">
        <v>2191</v>
      </c>
      <c r="C758" s="20">
        <v>0</v>
      </c>
      <c r="E758" s="20" t="s">
        <v>148</v>
      </c>
      <c r="F758" s="20" t="s">
        <v>2191</v>
      </c>
      <c r="G758" s="20">
        <v>0</v>
      </c>
      <c r="AA758" s="20" t="s">
        <v>450</v>
      </c>
      <c r="AB758" s="20">
        <v>192259.85</v>
      </c>
      <c r="AC758" s="20">
        <v>497469.17</v>
      </c>
    </row>
    <row r="759" spans="1:29" x14ac:dyDescent="0.25">
      <c r="A759" s="20" t="s">
        <v>1209</v>
      </c>
      <c r="B759" s="20" t="s">
        <v>2191</v>
      </c>
      <c r="C759" s="20">
        <v>0</v>
      </c>
      <c r="E759" s="20" t="s">
        <v>1528</v>
      </c>
      <c r="F759" s="20" t="s">
        <v>2191</v>
      </c>
      <c r="G759" s="20">
        <v>0</v>
      </c>
      <c r="AA759" s="20" t="s">
        <v>245</v>
      </c>
      <c r="AB759" s="20">
        <v>43926.9</v>
      </c>
      <c r="AC759" s="20">
        <v>476549.54</v>
      </c>
    </row>
    <row r="760" spans="1:29" x14ac:dyDescent="0.25">
      <c r="A760" s="20" t="s">
        <v>1623</v>
      </c>
      <c r="B760" s="20" t="s">
        <v>2191</v>
      </c>
      <c r="C760" s="20">
        <v>0</v>
      </c>
      <c r="E760" s="20" t="s">
        <v>749</v>
      </c>
      <c r="F760" s="20" t="s">
        <v>2191</v>
      </c>
      <c r="G760" s="20">
        <v>0</v>
      </c>
      <c r="AA760" s="20" t="s">
        <v>1882</v>
      </c>
      <c r="AB760" s="20">
        <v>0</v>
      </c>
      <c r="AC760" s="20">
        <v>0</v>
      </c>
    </row>
    <row r="761" spans="1:29" x14ac:dyDescent="0.25">
      <c r="A761" s="20" t="s">
        <v>2529</v>
      </c>
      <c r="B761" s="20" t="s">
        <v>2191</v>
      </c>
      <c r="C761" s="20">
        <v>0</v>
      </c>
      <c r="E761" s="20" t="s">
        <v>750</v>
      </c>
      <c r="F761" s="20" t="s">
        <v>2191</v>
      </c>
      <c r="G761" s="20">
        <v>0</v>
      </c>
      <c r="AA761" s="20" t="s">
        <v>455</v>
      </c>
      <c r="AB761" s="20">
        <v>-1246.98</v>
      </c>
      <c r="AC761" s="20">
        <v>175083.05</v>
      </c>
    </row>
    <row r="762" spans="1:29" x14ac:dyDescent="0.25">
      <c r="A762" s="20" t="s">
        <v>2530</v>
      </c>
      <c r="B762" s="20" t="s">
        <v>2191</v>
      </c>
      <c r="C762" s="20">
        <v>0</v>
      </c>
      <c r="E762" s="20" t="s">
        <v>532</v>
      </c>
      <c r="F762" s="20" t="s">
        <v>2191</v>
      </c>
      <c r="G762" s="20">
        <v>0</v>
      </c>
      <c r="AA762" s="20" t="s">
        <v>457</v>
      </c>
      <c r="AB762" s="20">
        <v>103263.81</v>
      </c>
      <c r="AC762" s="20">
        <v>402797.92</v>
      </c>
    </row>
    <row r="763" spans="1:29" x14ac:dyDescent="0.25">
      <c r="A763" s="20" t="s">
        <v>2531</v>
      </c>
      <c r="B763" s="20" t="s">
        <v>2191</v>
      </c>
      <c r="C763" s="20">
        <v>0</v>
      </c>
      <c r="E763" s="20" t="s">
        <v>430</v>
      </c>
      <c r="F763" s="20" t="s">
        <v>2191</v>
      </c>
      <c r="G763" s="20">
        <v>15249.68</v>
      </c>
      <c r="AA763" s="20" t="s">
        <v>58</v>
      </c>
      <c r="AB763" s="20">
        <v>3301.75</v>
      </c>
      <c r="AC763" s="20">
        <v>267712.49</v>
      </c>
    </row>
    <row r="764" spans="1:29" x14ac:dyDescent="0.25">
      <c r="A764" s="20" t="s">
        <v>2532</v>
      </c>
      <c r="B764" s="20" t="s">
        <v>2191</v>
      </c>
      <c r="C764" s="20">
        <v>0</v>
      </c>
      <c r="E764" s="20" t="s">
        <v>152</v>
      </c>
      <c r="F764" s="20" t="s">
        <v>2191</v>
      </c>
      <c r="G764" s="20">
        <v>0</v>
      </c>
      <c r="AA764" s="20" t="s">
        <v>1885</v>
      </c>
      <c r="AB764" s="20">
        <v>0</v>
      </c>
      <c r="AC764" s="20">
        <v>0</v>
      </c>
    </row>
    <row r="765" spans="1:29" x14ac:dyDescent="0.25">
      <c r="A765" s="20" t="s">
        <v>2533</v>
      </c>
      <c r="B765" s="20" t="s">
        <v>2191</v>
      </c>
      <c r="C765" s="20">
        <v>0</v>
      </c>
      <c r="E765" s="20" t="s">
        <v>1037</v>
      </c>
      <c r="F765" s="20" t="s">
        <v>2191</v>
      </c>
      <c r="G765" s="20">
        <v>0</v>
      </c>
      <c r="AA765" s="20" t="s">
        <v>463</v>
      </c>
      <c r="AB765" s="20">
        <v>564791.26</v>
      </c>
      <c r="AC765" s="20">
        <v>467267.59</v>
      </c>
    </row>
    <row r="766" spans="1:29" x14ac:dyDescent="0.25">
      <c r="A766" s="20" t="s">
        <v>1969</v>
      </c>
      <c r="B766" s="20" t="s">
        <v>2191</v>
      </c>
      <c r="C766" s="20">
        <v>0</v>
      </c>
      <c r="E766" s="20" t="s">
        <v>1316</v>
      </c>
      <c r="F766" s="20" t="s">
        <v>2191</v>
      </c>
      <c r="G766" s="20">
        <v>713.5</v>
      </c>
      <c r="AA766" s="20" t="s">
        <v>465</v>
      </c>
      <c r="AB766" s="20">
        <v>3991.83</v>
      </c>
      <c r="AC766" s="20">
        <v>108229.02</v>
      </c>
    </row>
    <row r="767" spans="1:29" x14ac:dyDescent="0.25">
      <c r="A767" s="20" t="s">
        <v>1624</v>
      </c>
      <c r="B767" s="20" t="s">
        <v>2191</v>
      </c>
      <c r="C767" s="20">
        <v>0</v>
      </c>
      <c r="E767" s="20" t="s">
        <v>1392</v>
      </c>
      <c r="F767" s="20" t="s">
        <v>2191</v>
      </c>
      <c r="G767" s="20">
        <v>28900.87</v>
      </c>
      <c r="AA767" s="20" t="s">
        <v>1282</v>
      </c>
      <c r="AB767" s="20">
        <v>1949.45</v>
      </c>
      <c r="AC767" s="20">
        <v>88797.58</v>
      </c>
    </row>
    <row r="768" spans="1:29" x14ac:dyDescent="0.25">
      <c r="A768" s="20" t="s">
        <v>2534</v>
      </c>
      <c r="B768" s="20" t="s">
        <v>2191</v>
      </c>
      <c r="C768" s="20">
        <v>0</v>
      </c>
      <c r="E768" s="20" t="s">
        <v>1161</v>
      </c>
      <c r="F768" s="20" t="s">
        <v>2191</v>
      </c>
      <c r="G768" s="20">
        <v>0</v>
      </c>
      <c r="AA768" s="20" t="s">
        <v>390</v>
      </c>
      <c r="AB768" s="20">
        <v>14613.64</v>
      </c>
      <c r="AC768" s="20">
        <v>259333.51</v>
      </c>
    </row>
    <row r="769" spans="1:29" x14ac:dyDescent="0.25">
      <c r="A769" s="20" t="s">
        <v>1441</v>
      </c>
      <c r="B769" s="20" t="s">
        <v>2191</v>
      </c>
      <c r="C769" s="20">
        <v>0</v>
      </c>
      <c r="E769" s="20" t="s">
        <v>1318</v>
      </c>
      <c r="F769" s="20" t="s">
        <v>2191</v>
      </c>
      <c r="G769" s="20">
        <v>0</v>
      </c>
      <c r="AA769" s="20" t="s">
        <v>1272</v>
      </c>
      <c r="AB769" s="20">
        <v>-338.44</v>
      </c>
      <c r="AC769" s="20">
        <v>0</v>
      </c>
    </row>
    <row r="770" spans="1:29" x14ac:dyDescent="0.25">
      <c r="A770" s="20" t="s">
        <v>2535</v>
      </c>
      <c r="B770" s="20" t="s">
        <v>2191</v>
      </c>
      <c r="C770" s="20">
        <v>0</v>
      </c>
      <c r="E770" s="20" t="s">
        <v>237</v>
      </c>
      <c r="F770" s="20" t="s">
        <v>2191</v>
      </c>
      <c r="G770" s="20">
        <v>0</v>
      </c>
      <c r="AA770" s="20" t="s">
        <v>2122</v>
      </c>
      <c r="AB770" s="20">
        <v>0</v>
      </c>
      <c r="AC770" s="20">
        <v>0</v>
      </c>
    </row>
    <row r="771" spans="1:29" x14ac:dyDescent="0.25">
      <c r="A771" s="20" t="s">
        <v>1625</v>
      </c>
      <c r="B771" s="20" t="s">
        <v>2191</v>
      </c>
      <c r="C771" s="20">
        <v>0</v>
      </c>
      <c r="E771" s="20" t="s">
        <v>1529</v>
      </c>
      <c r="F771" s="20" t="s">
        <v>2191</v>
      </c>
      <c r="G771" s="20">
        <v>0</v>
      </c>
      <c r="AA771" s="20" t="s">
        <v>2641</v>
      </c>
      <c r="AB771" s="20">
        <v>0</v>
      </c>
      <c r="AC771" s="20">
        <v>0</v>
      </c>
    </row>
    <row r="772" spans="1:29" x14ac:dyDescent="0.25">
      <c r="A772" s="20" t="s">
        <v>263</v>
      </c>
      <c r="B772" s="20" t="s">
        <v>2191</v>
      </c>
      <c r="C772" s="20">
        <v>0</v>
      </c>
      <c r="E772" s="20" t="s">
        <v>1530</v>
      </c>
      <c r="F772" s="20" t="s">
        <v>2191</v>
      </c>
      <c r="G772" s="20">
        <v>0</v>
      </c>
      <c r="AA772" s="20" t="s">
        <v>1285</v>
      </c>
      <c r="AB772" s="20">
        <v>1414298.01</v>
      </c>
      <c r="AC772" s="20">
        <v>584011.97</v>
      </c>
    </row>
    <row r="773" spans="1:29" x14ac:dyDescent="0.25">
      <c r="A773" s="20" t="s">
        <v>2128</v>
      </c>
      <c r="B773" s="20" t="s">
        <v>2191</v>
      </c>
      <c r="C773" s="20">
        <v>0</v>
      </c>
      <c r="E773" s="20" t="s">
        <v>341</v>
      </c>
      <c r="F773" s="20" t="s">
        <v>2191</v>
      </c>
      <c r="G773" s="20">
        <v>7499</v>
      </c>
      <c r="AA773" s="20" t="s">
        <v>2642</v>
      </c>
      <c r="AB773" s="20">
        <v>0</v>
      </c>
      <c r="AC773" s="20">
        <v>0</v>
      </c>
    </row>
    <row r="774" spans="1:29" x14ac:dyDescent="0.25">
      <c r="A774" s="20" t="s">
        <v>2536</v>
      </c>
      <c r="B774" s="20" t="s">
        <v>2191</v>
      </c>
      <c r="C774" s="20">
        <v>5618</v>
      </c>
      <c r="E774" s="20" t="s">
        <v>1320</v>
      </c>
      <c r="F774" s="20" t="s">
        <v>2191</v>
      </c>
      <c r="G774" s="20">
        <v>0</v>
      </c>
      <c r="AA774" s="20" t="s">
        <v>104</v>
      </c>
      <c r="AB774" s="20">
        <v>151776.75</v>
      </c>
      <c r="AC774" s="20">
        <v>1507330.83</v>
      </c>
    </row>
    <row r="775" spans="1:29" x14ac:dyDescent="0.25">
      <c r="A775" s="20" t="s">
        <v>1970</v>
      </c>
      <c r="B775" s="20" t="s">
        <v>2191</v>
      </c>
      <c r="C775" s="20">
        <v>0</v>
      </c>
      <c r="E775" s="20" t="s">
        <v>154</v>
      </c>
      <c r="F775" s="20" t="s">
        <v>2191</v>
      </c>
      <c r="G775" s="20">
        <v>2031</v>
      </c>
      <c r="AA775" s="20" t="s">
        <v>1650</v>
      </c>
      <c r="AB775" s="20">
        <v>-2587.1799999999998</v>
      </c>
      <c r="AC775" s="20">
        <v>34029.760000000002</v>
      </c>
    </row>
    <row r="776" spans="1:29" x14ac:dyDescent="0.25">
      <c r="A776" s="20" t="s">
        <v>909</v>
      </c>
      <c r="B776" s="20" t="s">
        <v>2191</v>
      </c>
      <c r="C776" s="20">
        <v>0</v>
      </c>
      <c r="E776" s="20" t="s">
        <v>2023</v>
      </c>
      <c r="F776" s="20" t="s">
        <v>2191</v>
      </c>
      <c r="G776" s="20">
        <v>0</v>
      </c>
      <c r="AA776" s="20" t="s">
        <v>2134</v>
      </c>
      <c r="AB776" s="20">
        <v>0</v>
      </c>
      <c r="AC776" s="20">
        <v>0</v>
      </c>
    </row>
    <row r="777" spans="1:29" x14ac:dyDescent="0.25">
      <c r="A777" s="20" t="s">
        <v>2537</v>
      </c>
      <c r="B777" s="20" t="s">
        <v>2191</v>
      </c>
      <c r="C777" s="20">
        <v>0</v>
      </c>
      <c r="E777" s="20" t="s">
        <v>1394</v>
      </c>
      <c r="F777" s="20" t="s">
        <v>2191</v>
      </c>
      <c r="G777" s="20">
        <v>0</v>
      </c>
      <c r="AA777" s="20" t="s">
        <v>471</v>
      </c>
      <c r="AB777" s="20">
        <v>-37.96</v>
      </c>
      <c r="AC777" s="20">
        <v>0</v>
      </c>
    </row>
    <row r="778" spans="1:29" x14ac:dyDescent="0.25">
      <c r="A778" s="20" t="s">
        <v>2538</v>
      </c>
      <c r="B778" s="20" t="s">
        <v>2191</v>
      </c>
      <c r="C778" s="20">
        <v>0</v>
      </c>
      <c r="E778" s="20" t="s">
        <v>1163</v>
      </c>
      <c r="F778" s="20" t="s">
        <v>2191</v>
      </c>
      <c r="G778" s="20">
        <v>0</v>
      </c>
      <c r="AA778" s="20" t="s">
        <v>425</v>
      </c>
      <c r="AB778" s="20">
        <v>76074.62</v>
      </c>
      <c r="AC778" s="20">
        <v>404421.52</v>
      </c>
    </row>
    <row r="779" spans="1:29" x14ac:dyDescent="0.25">
      <c r="A779" s="20" t="s">
        <v>2539</v>
      </c>
      <c r="B779" s="20" t="s">
        <v>2191</v>
      </c>
      <c r="C779" s="20">
        <v>0</v>
      </c>
      <c r="E779" s="20" t="s">
        <v>1395</v>
      </c>
      <c r="F779" s="20" t="s">
        <v>2191</v>
      </c>
      <c r="G779" s="20">
        <v>0</v>
      </c>
      <c r="AA779" s="20" t="s">
        <v>613</v>
      </c>
      <c r="AB779" s="20">
        <v>156592.34</v>
      </c>
      <c r="AC779" s="20">
        <v>795100.84</v>
      </c>
    </row>
    <row r="780" spans="1:29" x14ac:dyDescent="0.25">
      <c r="A780" s="20" t="s">
        <v>1840</v>
      </c>
      <c r="B780" s="20" t="s">
        <v>2191</v>
      </c>
      <c r="C780" s="20">
        <v>0</v>
      </c>
      <c r="E780" s="20" t="s">
        <v>1992</v>
      </c>
      <c r="F780" s="20" t="s">
        <v>2191</v>
      </c>
      <c r="G780" s="20">
        <v>0</v>
      </c>
      <c r="AA780" s="20" t="s">
        <v>615</v>
      </c>
      <c r="AB780" s="20">
        <v>-50.49</v>
      </c>
      <c r="AC780" s="20">
        <v>1091.74</v>
      </c>
    </row>
    <row r="781" spans="1:29" x14ac:dyDescent="0.25">
      <c r="A781" s="20" t="s">
        <v>2540</v>
      </c>
      <c r="B781" s="20" t="s">
        <v>2191</v>
      </c>
      <c r="C781" s="20">
        <v>0</v>
      </c>
      <c r="E781" s="20" t="s">
        <v>941</v>
      </c>
      <c r="F781" s="20" t="s">
        <v>2191</v>
      </c>
      <c r="G781" s="20">
        <v>0</v>
      </c>
      <c r="AA781" s="20" t="s">
        <v>1918</v>
      </c>
      <c r="AB781" s="20">
        <v>0</v>
      </c>
      <c r="AC781" s="20">
        <v>0</v>
      </c>
    </row>
    <row r="782" spans="1:29" x14ac:dyDescent="0.25">
      <c r="A782" s="20" t="s">
        <v>2541</v>
      </c>
      <c r="B782" s="20" t="s">
        <v>2191</v>
      </c>
      <c r="C782" s="20">
        <v>0</v>
      </c>
      <c r="E782" s="20" t="s">
        <v>1038</v>
      </c>
      <c r="F782" s="20" t="s">
        <v>2191</v>
      </c>
      <c r="G782" s="20">
        <v>0</v>
      </c>
      <c r="AA782" s="20" t="s">
        <v>1919</v>
      </c>
      <c r="AB782" s="20">
        <v>0</v>
      </c>
      <c r="AC782" s="20">
        <v>0</v>
      </c>
    </row>
    <row r="783" spans="1:29" x14ac:dyDescent="0.25">
      <c r="A783" s="20" t="s">
        <v>1626</v>
      </c>
      <c r="B783" s="20" t="s">
        <v>2191</v>
      </c>
      <c r="C783" s="20">
        <v>0</v>
      </c>
      <c r="E783" s="20" t="s">
        <v>676</v>
      </c>
      <c r="F783" s="20" t="s">
        <v>2191</v>
      </c>
      <c r="G783" s="20">
        <v>0</v>
      </c>
      <c r="AA783" s="20" t="s">
        <v>619</v>
      </c>
      <c r="AB783" s="20">
        <v>7058.52</v>
      </c>
      <c r="AC783" s="20">
        <v>190415.15</v>
      </c>
    </row>
    <row r="784" spans="1:29" x14ac:dyDescent="0.25">
      <c r="A784" s="20" t="s">
        <v>1627</v>
      </c>
      <c r="B784" s="20" t="s">
        <v>2191</v>
      </c>
      <c r="C784" s="20">
        <v>0</v>
      </c>
      <c r="E784" s="20" t="s">
        <v>933</v>
      </c>
      <c r="F784" s="20" t="s">
        <v>2191</v>
      </c>
      <c r="G784" s="20">
        <v>0</v>
      </c>
      <c r="AA784" s="20" t="s">
        <v>621</v>
      </c>
      <c r="AB784" s="20">
        <v>7227.25</v>
      </c>
      <c r="AC784" s="20">
        <v>410806.83</v>
      </c>
    </row>
    <row r="785" spans="1:29" x14ac:dyDescent="0.25">
      <c r="A785" s="20" t="s">
        <v>2542</v>
      </c>
      <c r="B785" s="20" t="s">
        <v>2191</v>
      </c>
      <c r="C785" s="20">
        <v>0</v>
      </c>
      <c r="E785" s="20" t="s">
        <v>872</v>
      </c>
      <c r="F785" s="20" t="s">
        <v>2191</v>
      </c>
      <c r="G785" s="20">
        <v>0</v>
      </c>
      <c r="AA785" s="20" t="s">
        <v>1921</v>
      </c>
      <c r="AB785" s="20">
        <v>0</v>
      </c>
      <c r="AC785" s="20">
        <v>0</v>
      </c>
    </row>
    <row r="786" spans="1:29" x14ac:dyDescent="0.25">
      <c r="A786" s="20" t="s">
        <v>1841</v>
      </c>
      <c r="B786" s="20" t="s">
        <v>2191</v>
      </c>
      <c r="C786" s="20">
        <v>0</v>
      </c>
      <c r="E786" s="20" t="s">
        <v>814</v>
      </c>
      <c r="F786" s="20" t="s">
        <v>2191</v>
      </c>
      <c r="G786" s="20">
        <v>0</v>
      </c>
      <c r="AA786" s="20" t="s">
        <v>623</v>
      </c>
      <c r="AB786" s="20">
        <v>-700.36</v>
      </c>
      <c r="AC786" s="20">
        <v>855.24</v>
      </c>
    </row>
    <row r="787" spans="1:29" x14ac:dyDescent="0.25">
      <c r="A787" s="20" t="s">
        <v>1628</v>
      </c>
      <c r="B787" s="20" t="s">
        <v>2191</v>
      </c>
      <c r="C787" s="20">
        <v>0</v>
      </c>
      <c r="E787" s="20" t="s">
        <v>343</v>
      </c>
      <c r="F787" s="20" t="s">
        <v>2191</v>
      </c>
      <c r="G787" s="20">
        <v>0</v>
      </c>
      <c r="AA787" s="20" t="s">
        <v>624</v>
      </c>
      <c r="AB787" s="20">
        <v>224482.2</v>
      </c>
      <c r="AC787" s="20">
        <v>67495.520000000004</v>
      </c>
    </row>
    <row r="788" spans="1:29" x14ac:dyDescent="0.25">
      <c r="A788" s="20" t="s">
        <v>2543</v>
      </c>
      <c r="B788" s="20" t="s">
        <v>2191</v>
      </c>
      <c r="C788" s="20">
        <v>0</v>
      </c>
      <c r="E788" s="20" t="s">
        <v>156</v>
      </c>
      <c r="F788" s="20" t="s">
        <v>2191</v>
      </c>
      <c r="G788" s="20">
        <v>0</v>
      </c>
      <c r="AA788" s="20" t="s">
        <v>627</v>
      </c>
      <c r="AB788" s="20">
        <v>-4754.8999999999996</v>
      </c>
      <c r="AC788" s="20">
        <v>45713.65</v>
      </c>
    </row>
    <row r="789" spans="1:29" x14ac:dyDescent="0.25">
      <c r="A789" s="20" t="s">
        <v>2544</v>
      </c>
      <c r="B789" s="20" t="s">
        <v>2191</v>
      </c>
      <c r="C789" s="20">
        <v>0</v>
      </c>
      <c r="E789" s="20" t="s">
        <v>753</v>
      </c>
      <c r="F789" s="20" t="s">
        <v>2191</v>
      </c>
      <c r="G789" s="20">
        <v>0</v>
      </c>
      <c r="AA789" s="20" t="s">
        <v>1924</v>
      </c>
      <c r="AB789" s="20">
        <v>0</v>
      </c>
      <c r="AC789" s="20">
        <v>0</v>
      </c>
    </row>
    <row r="790" spans="1:29" x14ac:dyDescent="0.25">
      <c r="A790" s="20" t="s">
        <v>2545</v>
      </c>
      <c r="B790" s="20" t="s">
        <v>2191</v>
      </c>
      <c r="C790" s="20">
        <v>0</v>
      </c>
      <c r="E790" s="20" t="s">
        <v>158</v>
      </c>
      <c r="F790" s="20" t="s">
        <v>2191</v>
      </c>
      <c r="G790" s="20">
        <v>7807</v>
      </c>
      <c r="AA790" s="20" t="s">
        <v>1925</v>
      </c>
      <c r="AB790" s="20">
        <v>0</v>
      </c>
      <c r="AC790" s="20">
        <v>0</v>
      </c>
    </row>
    <row r="791" spans="1:29" x14ac:dyDescent="0.25">
      <c r="A791" s="20" t="s">
        <v>2546</v>
      </c>
      <c r="B791" s="20" t="s">
        <v>2191</v>
      </c>
      <c r="C791" s="20">
        <v>0</v>
      </c>
      <c r="E791" s="20" t="s">
        <v>1468</v>
      </c>
      <c r="F791" s="20" t="s">
        <v>2191</v>
      </c>
      <c r="G791" s="20">
        <v>0</v>
      </c>
      <c r="AA791" s="20" t="s">
        <v>1926</v>
      </c>
      <c r="AB791" s="20">
        <v>0</v>
      </c>
      <c r="AC791" s="20">
        <v>0</v>
      </c>
    </row>
    <row r="792" spans="1:29" x14ac:dyDescent="0.25">
      <c r="A792" s="20" t="s">
        <v>2547</v>
      </c>
      <c r="B792" s="20" t="s">
        <v>2191</v>
      </c>
      <c r="C792" s="20">
        <v>0</v>
      </c>
      <c r="E792" s="20" t="s">
        <v>659</v>
      </c>
      <c r="F792" s="20" t="s">
        <v>2191</v>
      </c>
      <c r="G792" s="20">
        <v>0</v>
      </c>
      <c r="AA792" s="20" t="s">
        <v>1928</v>
      </c>
      <c r="AB792" s="20">
        <v>0</v>
      </c>
      <c r="AC792" s="20">
        <v>0</v>
      </c>
    </row>
    <row r="793" spans="1:29" x14ac:dyDescent="0.25">
      <c r="A793" s="20" t="s">
        <v>2548</v>
      </c>
      <c r="B793" s="20" t="s">
        <v>2191</v>
      </c>
      <c r="C793" s="20">
        <v>0</v>
      </c>
      <c r="E793" s="20" t="s">
        <v>942</v>
      </c>
      <c r="F793" s="20" t="s">
        <v>2191</v>
      </c>
      <c r="G793" s="20">
        <v>0</v>
      </c>
      <c r="AA793" s="20" t="s">
        <v>1651</v>
      </c>
      <c r="AB793" s="20">
        <v>-436.76</v>
      </c>
      <c r="AC793" s="20">
        <v>0</v>
      </c>
    </row>
    <row r="794" spans="1:29" x14ac:dyDescent="0.25">
      <c r="A794" s="20" t="s">
        <v>1629</v>
      </c>
      <c r="B794" s="20" t="s">
        <v>2191</v>
      </c>
      <c r="C794" s="20">
        <v>0</v>
      </c>
      <c r="E794" s="20" t="s">
        <v>1164</v>
      </c>
      <c r="F794" s="20" t="s">
        <v>2191</v>
      </c>
      <c r="G794" s="20">
        <v>1101</v>
      </c>
      <c r="AA794" s="20" t="s">
        <v>1442</v>
      </c>
      <c r="AB794" s="20">
        <v>1524.77</v>
      </c>
      <c r="AC794" s="20">
        <v>11038.66</v>
      </c>
    </row>
    <row r="795" spans="1:29" x14ac:dyDescent="0.25">
      <c r="A795" s="20" t="s">
        <v>2549</v>
      </c>
      <c r="B795" s="20" t="s">
        <v>2191</v>
      </c>
      <c r="C795" s="20">
        <v>0</v>
      </c>
      <c r="E795" s="20" t="s">
        <v>1166</v>
      </c>
      <c r="F795" s="20" t="s">
        <v>2191</v>
      </c>
      <c r="G795" s="20">
        <v>2028</v>
      </c>
      <c r="AA795" s="20" t="s">
        <v>1444</v>
      </c>
      <c r="AB795" s="20">
        <v>75482.41</v>
      </c>
      <c r="AC795" s="20">
        <v>270770.44</v>
      </c>
    </row>
    <row r="796" spans="1:29" x14ac:dyDescent="0.25">
      <c r="A796" s="20" t="s">
        <v>1630</v>
      </c>
      <c r="B796" s="20" t="s">
        <v>2191</v>
      </c>
      <c r="C796" s="20">
        <v>0</v>
      </c>
      <c r="E796" s="20" t="s">
        <v>816</v>
      </c>
      <c r="F796" s="20" t="s">
        <v>2191</v>
      </c>
      <c r="G796" s="20">
        <v>0</v>
      </c>
      <c r="AA796" s="20" t="s">
        <v>590</v>
      </c>
      <c r="AB796" s="20">
        <v>195775.82</v>
      </c>
      <c r="AC796" s="20">
        <v>922498.15</v>
      </c>
    </row>
    <row r="797" spans="1:29" x14ac:dyDescent="0.25">
      <c r="A797" s="20" t="s">
        <v>2550</v>
      </c>
      <c r="B797" s="20" t="s">
        <v>2191</v>
      </c>
      <c r="C797" s="20">
        <v>0</v>
      </c>
      <c r="E797" s="20" t="s">
        <v>818</v>
      </c>
      <c r="F797" s="20" t="s">
        <v>2191</v>
      </c>
      <c r="G797" s="20">
        <v>0</v>
      </c>
      <c r="AA797" s="20" t="s">
        <v>1931</v>
      </c>
      <c r="AB797" s="20">
        <v>0</v>
      </c>
      <c r="AC797" s="20">
        <v>0</v>
      </c>
    </row>
    <row r="798" spans="1:29" x14ac:dyDescent="0.25">
      <c r="A798" s="20" t="s">
        <v>2551</v>
      </c>
      <c r="B798" s="20" t="s">
        <v>2191</v>
      </c>
      <c r="C798" s="20">
        <v>0</v>
      </c>
      <c r="E798" s="20" t="s">
        <v>1238</v>
      </c>
      <c r="F798" s="20" t="s">
        <v>2191</v>
      </c>
      <c r="G798" s="20">
        <v>1576</v>
      </c>
      <c r="AA798" s="20" t="s">
        <v>1652</v>
      </c>
      <c r="AB798" s="20">
        <v>-814.89</v>
      </c>
      <c r="AC798" s="20">
        <v>0</v>
      </c>
    </row>
    <row r="799" spans="1:29" x14ac:dyDescent="0.25">
      <c r="A799" s="20" t="s">
        <v>2552</v>
      </c>
      <c r="B799" s="20" t="s">
        <v>2191</v>
      </c>
      <c r="C799" s="20">
        <v>0</v>
      </c>
      <c r="E799" s="20" t="s">
        <v>1239</v>
      </c>
      <c r="F799" s="20" t="s">
        <v>2191</v>
      </c>
      <c r="G799" s="20">
        <v>0</v>
      </c>
      <c r="AA799" s="20" t="s">
        <v>2646</v>
      </c>
      <c r="AB799" s="20">
        <v>0</v>
      </c>
      <c r="AC799" s="20">
        <v>0</v>
      </c>
    </row>
    <row r="800" spans="1:29" x14ac:dyDescent="0.25">
      <c r="A800" s="20" t="s">
        <v>2553</v>
      </c>
      <c r="B800" s="20" t="s">
        <v>2191</v>
      </c>
      <c r="C800" s="20">
        <v>0</v>
      </c>
      <c r="E800" s="20" t="s">
        <v>660</v>
      </c>
      <c r="F800" s="20" t="s">
        <v>2191</v>
      </c>
      <c r="G800" s="20">
        <v>0</v>
      </c>
      <c r="AA800" s="20" t="s">
        <v>1932</v>
      </c>
      <c r="AB800" s="20">
        <v>0</v>
      </c>
      <c r="AC800" s="20">
        <v>0</v>
      </c>
    </row>
    <row r="801" spans="1:29" x14ac:dyDescent="0.25">
      <c r="A801" s="20" t="s">
        <v>2554</v>
      </c>
      <c r="B801" s="20" t="s">
        <v>2191</v>
      </c>
      <c r="C801" s="20">
        <v>0</v>
      </c>
      <c r="E801" s="20" t="s">
        <v>1488</v>
      </c>
      <c r="F801" s="20" t="s">
        <v>2191</v>
      </c>
      <c r="G801" s="20">
        <v>0</v>
      </c>
      <c r="AA801" s="20" t="s">
        <v>1448</v>
      </c>
      <c r="AB801" s="20">
        <v>43520.89</v>
      </c>
      <c r="AC801" s="20">
        <v>188254.18</v>
      </c>
    </row>
    <row r="802" spans="1:29" x14ac:dyDescent="0.25">
      <c r="A802" s="20" t="s">
        <v>2555</v>
      </c>
      <c r="B802" s="20" t="s">
        <v>2191</v>
      </c>
      <c r="C802" s="20">
        <v>0</v>
      </c>
      <c r="E802" s="20" t="s">
        <v>115</v>
      </c>
      <c r="F802" s="20" t="s">
        <v>2191</v>
      </c>
      <c r="G802" s="20">
        <v>0</v>
      </c>
      <c r="AA802" s="20" t="s">
        <v>610</v>
      </c>
      <c r="AB802" s="20">
        <v>1508.33</v>
      </c>
      <c r="AC802" s="20">
        <v>101880.55</v>
      </c>
    </row>
    <row r="803" spans="1:29" x14ac:dyDescent="0.25">
      <c r="A803" s="20" t="s">
        <v>2556</v>
      </c>
      <c r="B803" s="20" t="s">
        <v>2191</v>
      </c>
      <c r="C803" s="20">
        <v>0</v>
      </c>
      <c r="E803" s="20" t="s">
        <v>755</v>
      </c>
      <c r="F803" s="20" t="s">
        <v>2191</v>
      </c>
      <c r="G803" s="20">
        <v>0</v>
      </c>
      <c r="AA803" s="20" t="s">
        <v>2648</v>
      </c>
      <c r="AB803" s="20">
        <v>0</v>
      </c>
      <c r="AC803" s="20">
        <v>0</v>
      </c>
    </row>
    <row r="804" spans="1:29" x14ac:dyDescent="0.25">
      <c r="A804" s="20" t="s">
        <v>2557</v>
      </c>
      <c r="B804" s="20" t="s">
        <v>2191</v>
      </c>
      <c r="C804" s="20">
        <v>0</v>
      </c>
      <c r="E804" s="20" t="s">
        <v>639</v>
      </c>
      <c r="F804" s="20" t="s">
        <v>2191</v>
      </c>
      <c r="G804" s="20">
        <v>0</v>
      </c>
      <c r="AA804" s="20" t="s">
        <v>2175</v>
      </c>
      <c r="AB804" s="20">
        <v>0</v>
      </c>
      <c r="AC804" s="20">
        <v>0</v>
      </c>
    </row>
    <row r="805" spans="1:29" x14ac:dyDescent="0.25">
      <c r="A805" s="20" t="s">
        <v>2010</v>
      </c>
      <c r="B805" s="20" t="s">
        <v>2191</v>
      </c>
      <c r="C805" s="20">
        <v>0</v>
      </c>
      <c r="E805" s="20" t="s">
        <v>344</v>
      </c>
      <c r="F805" s="20" t="s">
        <v>2191</v>
      </c>
      <c r="G805" s="20">
        <v>0</v>
      </c>
      <c r="AA805" s="20" t="s">
        <v>1451</v>
      </c>
      <c r="AB805" s="20">
        <v>15308.42</v>
      </c>
      <c r="AC805" s="20">
        <v>311876.39</v>
      </c>
    </row>
    <row r="806" spans="1:29" x14ac:dyDescent="0.25">
      <c r="A806" s="20" t="s">
        <v>2558</v>
      </c>
      <c r="B806" s="20" t="s">
        <v>2191</v>
      </c>
      <c r="C806" s="20">
        <v>0</v>
      </c>
      <c r="E806" s="20" t="s">
        <v>160</v>
      </c>
      <c r="F806" s="20" t="s">
        <v>2191</v>
      </c>
      <c r="G806" s="20">
        <v>56315.16</v>
      </c>
      <c r="AA806" s="20" t="s">
        <v>1453</v>
      </c>
      <c r="AB806" s="20">
        <v>24276.09</v>
      </c>
      <c r="AC806" s="20">
        <v>312930.73</v>
      </c>
    </row>
    <row r="807" spans="1:29" x14ac:dyDescent="0.25">
      <c r="A807" s="20" t="s">
        <v>2559</v>
      </c>
      <c r="B807" s="20" t="s">
        <v>2191</v>
      </c>
      <c r="C807" s="20">
        <v>0</v>
      </c>
      <c r="E807" s="20" t="s">
        <v>535</v>
      </c>
      <c r="F807" s="20" t="s">
        <v>2191</v>
      </c>
      <c r="G807" s="20">
        <v>0</v>
      </c>
      <c r="AA807" s="20" t="s">
        <v>1454</v>
      </c>
      <c r="AB807" s="20">
        <v>-1110.51</v>
      </c>
      <c r="AC807" s="20">
        <v>307.93</v>
      </c>
    </row>
    <row r="808" spans="1:29" x14ac:dyDescent="0.25">
      <c r="A808" s="20" t="s">
        <v>2560</v>
      </c>
      <c r="B808" s="20" t="s">
        <v>2191</v>
      </c>
      <c r="C808" s="20">
        <v>0</v>
      </c>
      <c r="E808" s="20" t="s">
        <v>519</v>
      </c>
      <c r="F808" s="20" t="s">
        <v>2191</v>
      </c>
      <c r="G808" s="20">
        <v>0</v>
      </c>
      <c r="AA808" s="20" t="s">
        <v>1456</v>
      </c>
      <c r="AB808" s="20">
        <v>57866.39</v>
      </c>
      <c r="AC808" s="20">
        <v>163795.06</v>
      </c>
    </row>
    <row r="809" spans="1:29" x14ac:dyDescent="0.25">
      <c r="A809" s="20" t="s">
        <v>2561</v>
      </c>
      <c r="B809" s="20" t="s">
        <v>2191</v>
      </c>
      <c r="C809" s="20">
        <v>0</v>
      </c>
      <c r="E809" s="20" t="s">
        <v>943</v>
      </c>
      <c r="F809" s="20" t="s">
        <v>2191</v>
      </c>
      <c r="G809" s="20">
        <v>0</v>
      </c>
      <c r="AA809" s="20" t="s">
        <v>1461</v>
      </c>
      <c r="AB809" s="20">
        <v>563732.53</v>
      </c>
      <c r="AC809" s="20">
        <v>660842.03</v>
      </c>
    </row>
    <row r="810" spans="1:29" x14ac:dyDescent="0.25">
      <c r="A810" s="20" t="s">
        <v>1631</v>
      </c>
      <c r="B810" s="20" t="s">
        <v>2191</v>
      </c>
      <c r="C810" s="20">
        <v>0</v>
      </c>
      <c r="E810" s="20" t="s">
        <v>1168</v>
      </c>
      <c r="F810" s="20" t="s">
        <v>2191</v>
      </c>
      <c r="G810" s="20">
        <v>0</v>
      </c>
      <c r="AA810" s="20" t="s">
        <v>1462</v>
      </c>
      <c r="AB810" s="20">
        <v>-51534.65</v>
      </c>
      <c r="AC810" s="20">
        <v>614626.54</v>
      </c>
    </row>
    <row r="811" spans="1:29" x14ac:dyDescent="0.25">
      <c r="A811" s="20" t="s">
        <v>1842</v>
      </c>
      <c r="B811" s="20" t="s">
        <v>2191</v>
      </c>
      <c r="C811" s="20">
        <v>0</v>
      </c>
      <c r="E811" s="20" t="s">
        <v>163</v>
      </c>
      <c r="F811" s="20" t="s">
        <v>2191</v>
      </c>
      <c r="G811" s="20">
        <v>0</v>
      </c>
      <c r="AA811" s="20" t="s">
        <v>2649</v>
      </c>
      <c r="AB811" s="20">
        <v>0</v>
      </c>
      <c r="AC811" s="20">
        <v>0</v>
      </c>
    </row>
    <row r="812" spans="1:29" x14ac:dyDescent="0.25">
      <c r="A812" s="20" t="s">
        <v>2562</v>
      </c>
      <c r="B812" s="20" t="s">
        <v>2191</v>
      </c>
      <c r="C812" s="20">
        <v>0</v>
      </c>
      <c r="E812" s="20" t="s">
        <v>537</v>
      </c>
      <c r="F812" s="20" t="s">
        <v>2191</v>
      </c>
      <c r="G812" s="20">
        <v>0</v>
      </c>
      <c r="AA812" s="20" t="s">
        <v>1653</v>
      </c>
      <c r="AB812" s="20">
        <v>-1037.56</v>
      </c>
      <c r="AC812" s="20">
        <v>18337.14</v>
      </c>
    </row>
    <row r="813" spans="1:29" x14ac:dyDescent="0.25">
      <c r="A813" s="20" t="s">
        <v>1632</v>
      </c>
      <c r="B813" s="20" t="s">
        <v>2191</v>
      </c>
      <c r="C813" s="20">
        <v>0</v>
      </c>
      <c r="E813" s="20" t="s">
        <v>345</v>
      </c>
      <c r="F813" s="20" t="s">
        <v>2191</v>
      </c>
      <c r="G813" s="20">
        <v>0</v>
      </c>
      <c r="AA813" s="20" t="s">
        <v>1935</v>
      </c>
      <c r="AB813" s="20">
        <v>0</v>
      </c>
      <c r="AC813" s="20">
        <v>0</v>
      </c>
    </row>
    <row r="814" spans="1:29" x14ac:dyDescent="0.25">
      <c r="A814" s="20" t="s">
        <v>2563</v>
      </c>
      <c r="B814" s="20" t="s">
        <v>2191</v>
      </c>
      <c r="C814" s="20">
        <v>0</v>
      </c>
      <c r="E814" s="20" t="s">
        <v>166</v>
      </c>
      <c r="F814" s="20" t="s">
        <v>2191</v>
      </c>
      <c r="G814" s="20">
        <v>0</v>
      </c>
      <c r="AA814" s="20" t="s">
        <v>2650</v>
      </c>
      <c r="AB814" s="20">
        <v>0</v>
      </c>
      <c r="AC814" s="20">
        <v>0</v>
      </c>
    </row>
    <row r="815" spans="1:29" x14ac:dyDescent="0.25">
      <c r="A815" s="20" t="s">
        <v>2564</v>
      </c>
      <c r="B815" s="20" t="s">
        <v>2191</v>
      </c>
      <c r="C815" s="20">
        <v>0</v>
      </c>
      <c r="E815" s="20" t="s">
        <v>1170</v>
      </c>
      <c r="F815" s="20" t="s">
        <v>2191</v>
      </c>
      <c r="G815" s="20">
        <v>0</v>
      </c>
      <c r="AA815" s="20" t="s">
        <v>2651</v>
      </c>
      <c r="AB815" s="20">
        <v>0</v>
      </c>
      <c r="AC815" s="20">
        <v>0</v>
      </c>
    </row>
    <row r="816" spans="1:29" x14ac:dyDescent="0.25">
      <c r="A816" s="20" t="s">
        <v>2565</v>
      </c>
      <c r="B816" s="20" t="s">
        <v>2191</v>
      </c>
      <c r="C816" s="20">
        <v>0</v>
      </c>
      <c r="E816" s="20" t="s">
        <v>540</v>
      </c>
      <c r="F816" s="20" t="s">
        <v>2191</v>
      </c>
      <c r="G816" s="20">
        <v>0</v>
      </c>
      <c r="AA816" s="20" t="s">
        <v>2652</v>
      </c>
      <c r="AB816" s="20">
        <v>0</v>
      </c>
      <c r="AC816" s="20">
        <v>0</v>
      </c>
    </row>
    <row r="817" spans="1:29" x14ac:dyDescent="0.25">
      <c r="A817" s="20" t="s">
        <v>2566</v>
      </c>
      <c r="B817" s="20" t="s">
        <v>2191</v>
      </c>
      <c r="C817" s="20">
        <v>0</v>
      </c>
      <c r="E817" s="20" t="s">
        <v>347</v>
      </c>
      <c r="F817" s="20" t="s">
        <v>2191</v>
      </c>
      <c r="G817" s="20">
        <v>0</v>
      </c>
      <c r="AA817" s="20" t="s">
        <v>1654</v>
      </c>
      <c r="AB817" s="20">
        <v>-207.42</v>
      </c>
      <c r="AC817" s="20">
        <v>0</v>
      </c>
    </row>
    <row r="818" spans="1:29" x14ac:dyDescent="0.25">
      <c r="A818" s="20" t="s">
        <v>2567</v>
      </c>
      <c r="B818" s="20" t="s">
        <v>2191</v>
      </c>
      <c r="C818" s="20">
        <v>0</v>
      </c>
      <c r="E818" s="20" t="s">
        <v>758</v>
      </c>
      <c r="F818" s="20" t="s">
        <v>2191</v>
      </c>
      <c r="G818" s="20">
        <v>0</v>
      </c>
      <c r="AA818" s="20" t="s">
        <v>2653</v>
      </c>
      <c r="AB818" s="20">
        <v>0</v>
      </c>
      <c r="AC818" s="20">
        <v>0</v>
      </c>
    </row>
    <row r="819" spans="1:29" x14ac:dyDescent="0.25">
      <c r="A819" s="20" t="s">
        <v>1971</v>
      </c>
      <c r="B819" s="20" t="s">
        <v>2191</v>
      </c>
      <c r="C819" s="20">
        <v>0</v>
      </c>
      <c r="E819" s="20" t="s">
        <v>350</v>
      </c>
      <c r="F819" s="20" t="s">
        <v>2191</v>
      </c>
      <c r="G819" s="20">
        <v>0</v>
      </c>
      <c r="AA819" s="20" t="s">
        <v>2654</v>
      </c>
      <c r="AB819" s="20">
        <v>0</v>
      </c>
      <c r="AC819" s="20">
        <v>0</v>
      </c>
    </row>
    <row r="820" spans="1:29" x14ac:dyDescent="0.25">
      <c r="A820" s="20" t="s">
        <v>2568</v>
      </c>
      <c r="B820" s="20" t="s">
        <v>2191</v>
      </c>
      <c r="C820" s="20">
        <v>0</v>
      </c>
      <c r="E820" s="20" t="s">
        <v>167</v>
      </c>
      <c r="F820" s="20" t="s">
        <v>2191</v>
      </c>
      <c r="G820" s="20">
        <v>15160</v>
      </c>
      <c r="AA820" s="20" t="s">
        <v>2655</v>
      </c>
      <c r="AB820" s="20">
        <v>0</v>
      </c>
      <c r="AC820" s="20">
        <v>0</v>
      </c>
    </row>
    <row r="821" spans="1:29" x14ac:dyDescent="0.25">
      <c r="A821" s="20" t="s">
        <v>2569</v>
      </c>
      <c r="B821" s="20" t="s">
        <v>2191</v>
      </c>
      <c r="C821" s="20">
        <v>0</v>
      </c>
      <c r="E821" s="20" t="s">
        <v>542</v>
      </c>
      <c r="F821" s="20" t="s">
        <v>2191</v>
      </c>
      <c r="G821" s="20">
        <v>-1794.37</v>
      </c>
      <c r="AA821" s="20" t="s">
        <v>2656</v>
      </c>
      <c r="AB821" s="20">
        <v>0</v>
      </c>
      <c r="AC821" s="20">
        <v>0</v>
      </c>
    </row>
    <row r="822" spans="1:29" x14ac:dyDescent="0.25">
      <c r="A822" s="20" t="s">
        <v>2570</v>
      </c>
      <c r="B822" s="20" t="s">
        <v>2191</v>
      </c>
      <c r="C822" s="20">
        <v>0</v>
      </c>
      <c r="E822" s="20" t="s">
        <v>545</v>
      </c>
      <c r="F822" s="20" t="s">
        <v>2191</v>
      </c>
      <c r="G822" s="20">
        <v>0</v>
      </c>
      <c r="AA822" s="20" t="s">
        <v>1656</v>
      </c>
      <c r="AB822" s="20">
        <v>-915.68</v>
      </c>
      <c r="AC822" s="20">
        <v>0</v>
      </c>
    </row>
    <row r="823" spans="1:29" x14ac:dyDescent="0.25">
      <c r="A823" s="20" t="s">
        <v>2571</v>
      </c>
      <c r="B823" s="20" t="s">
        <v>2191</v>
      </c>
      <c r="C823" s="20">
        <v>0</v>
      </c>
      <c r="E823" s="20" t="s">
        <v>653</v>
      </c>
      <c r="F823" s="20" t="s">
        <v>2191</v>
      </c>
      <c r="G823" s="20">
        <v>0</v>
      </c>
      <c r="AA823" s="20" t="s">
        <v>1657</v>
      </c>
      <c r="AB823" s="20">
        <v>-34.1</v>
      </c>
      <c r="AC823" s="20">
        <v>0</v>
      </c>
    </row>
    <row r="824" spans="1:29" x14ac:dyDescent="0.25">
      <c r="A824" s="20" t="s">
        <v>2572</v>
      </c>
      <c r="B824" s="20" t="s">
        <v>2191</v>
      </c>
      <c r="C824" s="20">
        <v>0</v>
      </c>
      <c r="E824" s="20" t="s">
        <v>352</v>
      </c>
      <c r="F824" s="20" t="s">
        <v>2191</v>
      </c>
      <c r="G824" s="20">
        <v>7512</v>
      </c>
      <c r="AA824" s="20" t="s">
        <v>2657</v>
      </c>
      <c r="AB824" s="20">
        <v>0</v>
      </c>
      <c r="AC824" s="20">
        <v>0</v>
      </c>
    </row>
    <row r="825" spans="1:29" x14ac:dyDescent="0.25">
      <c r="A825" s="20" t="s">
        <v>2573</v>
      </c>
      <c r="B825" s="20" t="s">
        <v>2191</v>
      </c>
      <c r="C825" s="20">
        <v>0</v>
      </c>
      <c r="E825" s="20" t="s">
        <v>759</v>
      </c>
      <c r="F825" s="20" t="s">
        <v>2191</v>
      </c>
      <c r="G825" s="20">
        <v>0</v>
      </c>
      <c r="AA825" s="20" t="s">
        <v>2658</v>
      </c>
      <c r="AB825" s="20">
        <v>0</v>
      </c>
      <c r="AC825" s="20">
        <v>0</v>
      </c>
    </row>
    <row r="826" spans="1:29" x14ac:dyDescent="0.25">
      <c r="A826" s="20" t="s">
        <v>2574</v>
      </c>
      <c r="B826" s="20" t="s">
        <v>2191</v>
      </c>
      <c r="C826" s="20">
        <v>0</v>
      </c>
      <c r="E826" s="20" t="s">
        <v>947</v>
      </c>
      <c r="F826" s="20" t="s">
        <v>2191</v>
      </c>
      <c r="G826" s="20">
        <v>0</v>
      </c>
      <c r="AA826" s="20" t="s">
        <v>2659</v>
      </c>
      <c r="AB826" s="20">
        <v>0</v>
      </c>
      <c r="AC826" s="20">
        <v>0</v>
      </c>
    </row>
    <row r="827" spans="1:29" x14ac:dyDescent="0.25">
      <c r="A827" s="20" t="s">
        <v>2575</v>
      </c>
      <c r="B827" s="20" t="s">
        <v>2191</v>
      </c>
      <c r="C827" s="20">
        <v>0</v>
      </c>
      <c r="E827" s="20" t="s">
        <v>1171</v>
      </c>
      <c r="F827" s="20" t="s">
        <v>2191</v>
      </c>
      <c r="G827" s="20">
        <v>0</v>
      </c>
      <c r="AA827" s="20" t="s">
        <v>1658</v>
      </c>
      <c r="AB827" s="20">
        <v>-3441.29</v>
      </c>
      <c r="AC827" s="20">
        <v>0</v>
      </c>
    </row>
    <row r="828" spans="1:29" x14ac:dyDescent="0.25">
      <c r="A828" s="20" t="s">
        <v>1914</v>
      </c>
      <c r="B828" s="20" t="s">
        <v>2191</v>
      </c>
      <c r="C828" s="20">
        <v>0</v>
      </c>
      <c r="E828" s="20" t="s">
        <v>1172</v>
      </c>
      <c r="F828" s="20" t="s">
        <v>2191</v>
      </c>
      <c r="G828" s="20">
        <v>4750</v>
      </c>
      <c r="AA828" s="20" t="s">
        <v>2660</v>
      </c>
      <c r="AB828" s="20">
        <v>0</v>
      </c>
      <c r="AC828" s="20">
        <v>0</v>
      </c>
    </row>
    <row r="829" spans="1:29" x14ac:dyDescent="0.25">
      <c r="A829" s="20" t="s">
        <v>2576</v>
      </c>
      <c r="B829" s="20" t="s">
        <v>2191</v>
      </c>
      <c r="C829" s="20">
        <v>0</v>
      </c>
      <c r="E829" s="20" t="s">
        <v>761</v>
      </c>
      <c r="F829" s="20" t="s">
        <v>2191</v>
      </c>
      <c r="G829" s="20">
        <v>16124</v>
      </c>
      <c r="AA829" s="20" t="s">
        <v>2661</v>
      </c>
      <c r="AB829" s="20">
        <v>0</v>
      </c>
      <c r="AC829" s="20">
        <v>0</v>
      </c>
    </row>
    <row r="830" spans="1:29" x14ac:dyDescent="0.25">
      <c r="A830" s="20" t="s">
        <v>2577</v>
      </c>
      <c r="B830" s="20" t="s">
        <v>2191</v>
      </c>
      <c r="C830" s="20">
        <v>0</v>
      </c>
      <c r="E830" s="20" t="s">
        <v>1043</v>
      </c>
      <c r="F830" s="20" t="s">
        <v>2191</v>
      </c>
      <c r="G830" s="20">
        <v>7970.02</v>
      </c>
      <c r="AA830" s="20" t="s">
        <v>1659</v>
      </c>
      <c r="AB830" s="20">
        <v>-735.02</v>
      </c>
      <c r="AC830" s="20">
        <v>0</v>
      </c>
    </row>
    <row r="831" spans="1:29" x14ac:dyDescent="0.25">
      <c r="A831" s="20" t="s">
        <v>2578</v>
      </c>
      <c r="B831" s="20" t="s">
        <v>2191</v>
      </c>
      <c r="C831" s="20">
        <v>0</v>
      </c>
      <c r="E831" s="20" t="s">
        <v>1494</v>
      </c>
      <c r="F831" s="20" t="s">
        <v>2191</v>
      </c>
      <c r="G831" s="20">
        <v>0</v>
      </c>
      <c r="AA831" s="20" t="s">
        <v>2663</v>
      </c>
      <c r="AB831" s="20">
        <v>0</v>
      </c>
      <c r="AC831" s="20">
        <v>0</v>
      </c>
    </row>
    <row r="832" spans="1:29" x14ac:dyDescent="0.25">
      <c r="A832" s="20" t="s">
        <v>2579</v>
      </c>
      <c r="B832" s="20" t="s">
        <v>2191</v>
      </c>
      <c r="C832" s="20">
        <v>0</v>
      </c>
      <c r="E832" s="20" t="s">
        <v>408</v>
      </c>
      <c r="F832" s="20" t="s">
        <v>2191</v>
      </c>
      <c r="G832" s="20">
        <v>2920</v>
      </c>
      <c r="AA832" s="20" t="s">
        <v>2665</v>
      </c>
      <c r="AB832" s="20">
        <v>0</v>
      </c>
      <c r="AC832" s="20">
        <v>0</v>
      </c>
    </row>
    <row r="833" spans="1:29" x14ac:dyDescent="0.25">
      <c r="A833" s="20" t="s">
        <v>2580</v>
      </c>
      <c r="B833" s="20" t="s">
        <v>2191</v>
      </c>
      <c r="C833" s="20">
        <v>0</v>
      </c>
      <c r="E833" s="20" t="s">
        <v>1531</v>
      </c>
      <c r="F833" s="20" t="s">
        <v>2191</v>
      </c>
      <c r="G833" s="20">
        <v>0</v>
      </c>
      <c r="AA833" s="20" t="s">
        <v>2666</v>
      </c>
      <c r="AB833" s="20">
        <v>0</v>
      </c>
      <c r="AC833" s="20">
        <v>0</v>
      </c>
    </row>
    <row r="834" spans="1:29" x14ac:dyDescent="0.25">
      <c r="A834" s="20" t="s">
        <v>2581</v>
      </c>
      <c r="B834" s="20" t="s">
        <v>2191</v>
      </c>
      <c r="C834" s="20">
        <v>0</v>
      </c>
      <c r="E834" s="20" t="s">
        <v>1241</v>
      </c>
      <c r="F834" s="20" t="s">
        <v>2191</v>
      </c>
      <c r="G834" s="20">
        <v>-17682.580000000002</v>
      </c>
      <c r="AA834" s="20" t="s">
        <v>1660</v>
      </c>
      <c r="AB834" s="20">
        <v>-3511.57</v>
      </c>
      <c r="AC834" s="20">
        <v>0</v>
      </c>
    </row>
    <row r="835" spans="1:29" x14ac:dyDescent="0.25">
      <c r="A835" s="20" t="s">
        <v>1210</v>
      </c>
      <c r="B835" s="20" t="s">
        <v>2191</v>
      </c>
      <c r="C835" s="20">
        <v>0</v>
      </c>
      <c r="E835" s="20" t="s">
        <v>548</v>
      </c>
      <c r="F835" s="20" t="s">
        <v>2191</v>
      </c>
      <c r="G835" s="20">
        <v>0</v>
      </c>
      <c r="AA835" s="20" t="s">
        <v>2667</v>
      </c>
      <c r="AB835" s="20">
        <v>0</v>
      </c>
      <c r="AC835" s="20">
        <v>0</v>
      </c>
    </row>
    <row r="836" spans="1:29" x14ac:dyDescent="0.25">
      <c r="A836" s="20" t="s">
        <v>2582</v>
      </c>
      <c r="B836" s="20" t="s">
        <v>2191</v>
      </c>
      <c r="C836" s="20">
        <v>0</v>
      </c>
      <c r="E836" s="20" t="s">
        <v>387</v>
      </c>
      <c r="F836" s="20" t="s">
        <v>2191</v>
      </c>
      <c r="G836" s="20">
        <v>0</v>
      </c>
      <c r="AA836" s="20" t="s">
        <v>2668</v>
      </c>
      <c r="AB836" s="20">
        <v>0</v>
      </c>
      <c r="AC836" s="20">
        <v>0</v>
      </c>
    </row>
    <row r="837" spans="1:29" x14ac:dyDescent="0.25">
      <c r="A837" s="20" t="s">
        <v>2583</v>
      </c>
      <c r="B837" s="20" t="s">
        <v>2191</v>
      </c>
      <c r="C837" s="20">
        <v>0</v>
      </c>
      <c r="E837" s="20" t="s">
        <v>182</v>
      </c>
      <c r="F837" s="20" t="s">
        <v>2191</v>
      </c>
      <c r="G837" s="20">
        <v>0</v>
      </c>
      <c r="AA837" s="20" t="s">
        <v>2670</v>
      </c>
      <c r="AB837" s="20">
        <v>0</v>
      </c>
      <c r="AC837" s="20">
        <v>0</v>
      </c>
    </row>
    <row r="838" spans="1:29" x14ac:dyDescent="0.25">
      <c r="A838" s="20" t="s">
        <v>2584</v>
      </c>
      <c r="B838" s="20" t="s">
        <v>2191</v>
      </c>
      <c r="C838" s="20">
        <v>0</v>
      </c>
      <c r="E838" s="20" t="s">
        <v>1179</v>
      </c>
      <c r="F838" s="20" t="s">
        <v>2191</v>
      </c>
      <c r="G838" s="20">
        <v>0</v>
      </c>
      <c r="AA838" s="20" t="s">
        <v>2671</v>
      </c>
      <c r="AB838" s="20">
        <v>0</v>
      </c>
      <c r="AC838" s="20">
        <v>0</v>
      </c>
    </row>
    <row r="839" spans="1:29" x14ac:dyDescent="0.25">
      <c r="A839" s="20" t="s">
        <v>712</v>
      </c>
      <c r="B839" s="20" t="s">
        <v>2191</v>
      </c>
      <c r="C839" s="20">
        <v>0</v>
      </c>
      <c r="E839" s="20" t="s">
        <v>354</v>
      </c>
      <c r="F839" s="20" t="s">
        <v>2191</v>
      </c>
      <c r="G839" s="20">
        <v>0</v>
      </c>
      <c r="AA839" s="20" t="s">
        <v>2672</v>
      </c>
      <c r="AB839" s="20">
        <v>0</v>
      </c>
      <c r="AC839" s="20">
        <v>0</v>
      </c>
    </row>
    <row r="840" spans="1:29" x14ac:dyDescent="0.25">
      <c r="A840" s="20" t="s">
        <v>1633</v>
      </c>
      <c r="B840" s="20" t="s">
        <v>2191</v>
      </c>
      <c r="C840" s="20">
        <v>0</v>
      </c>
      <c r="E840" s="20" t="s">
        <v>498</v>
      </c>
      <c r="F840" s="20" t="s">
        <v>2191</v>
      </c>
      <c r="G840" s="20">
        <v>0</v>
      </c>
      <c r="AA840" s="20" t="s">
        <v>2674</v>
      </c>
      <c r="AB840" s="20">
        <v>0</v>
      </c>
      <c r="AC840" s="20">
        <v>0</v>
      </c>
    </row>
    <row r="841" spans="1:29" x14ac:dyDescent="0.25">
      <c r="A841" s="20" t="s">
        <v>124</v>
      </c>
      <c r="B841" s="20" t="s">
        <v>2191</v>
      </c>
      <c r="C841" s="20">
        <v>10157.290000000001</v>
      </c>
      <c r="E841" s="20" t="s">
        <v>1495</v>
      </c>
      <c r="F841" s="20" t="s">
        <v>2191</v>
      </c>
      <c r="G841" s="20">
        <v>0</v>
      </c>
      <c r="AA841" s="20" t="s">
        <v>2675</v>
      </c>
      <c r="AB841" s="20">
        <v>-357.39</v>
      </c>
      <c r="AC841" s="20">
        <v>0</v>
      </c>
    </row>
    <row r="842" spans="1:29" x14ac:dyDescent="0.25">
      <c r="A842" s="20" t="s">
        <v>1634</v>
      </c>
      <c r="B842" s="20" t="s">
        <v>2191</v>
      </c>
      <c r="C842" s="20">
        <v>0</v>
      </c>
      <c r="E842" s="20" t="s">
        <v>1323</v>
      </c>
      <c r="F842" s="20" t="s">
        <v>2191</v>
      </c>
      <c r="G842" s="20">
        <v>0</v>
      </c>
      <c r="AA842" s="20" t="s">
        <v>2676</v>
      </c>
      <c r="AB842" s="20">
        <v>0</v>
      </c>
      <c r="AC842" s="20">
        <v>0</v>
      </c>
    </row>
    <row r="843" spans="1:29" x14ac:dyDescent="0.25">
      <c r="A843" s="20" t="s">
        <v>2585</v>
      </c>
      <c r="B843" s="20" t="s">
        <v>2191</v>
      </c>
      <c r="C843" s="20">
        <v>0</v>
      </c>
      <c r="E843" s="20" t="s">
        <v>1206</v>
      </c>
      <c r="F843" s="20" t="s">
        <v>2191</v>
      </c>
      <c r="G843" s="20">
        <v>0</v>
      </c>
      <c r="AA843" s="20" t="s">
        <v>2677</v>
      </c>
      <c r="AB843" s="20">
        <v>0</v>
      </c>
      <c r="AC843" s="20">
        <v>0</v>
      </c>
    </row>
    <row r="844" spans="1:29" x14ac:dyDescent="0.25">
      <c r="A844" s="20" t="s">
        <v>1635</v>
      </c>
      <c r="B844" s="20" t="s">
        <v>2191</v>
      </c>
      <c r="C844" s="20">
        <v>0</v>
      </c>
      <c r="E844" s="20" t="s">
        <v>1176</v>
      </c>
      <c r="F844" s="20" t="s">
        <v>2191</v>
      </c>
      <c r="G844" s="20">
        <v>0</v>
      </c>
      <c r="AA844" s="20" t="s">
        <v>2678</v>
      </c>
      <c r="AB844" s="20">
        <v>0</v>
      </c>
      <c r="AC844" s="20">
        <v>0</v>
      </c>
    </row>
    <row r="845" spans="1:29" x14ac:dyDescent="0.25">
      <c r="A845" s="20" t="s">
        <v>2586</v>
      </c>
      <c r="B845" s="20" t="s">
        <v>2191</v>
      </c>
      <c r="C845" s="20">
        <v>0</v>
      </c>
      <c r="E845" s="20" t="s">
        <v>1871</v>
      </c>
      <c r="F845" s="20" t="s">
        <v>2191</v>
      </c>
      <c r="G845" s="20">
        <v>0</v>
      </c>
      <c r="AA845" s="20" t="s">
        <v>2679</v>
      </c>
      <c r="AB845" s="20">
        <v>0</v>
      </c>
      <c r="AC845" s="20">
        <v>0</v>
      </c>
    </row>
    <row r="846" spans="1:29" x14ac:dyDescent="0.25">
      <c r="A846" s="20" t="s">
        <v>2587</v>
      </c>
      <c r="B846" s="20" t="s">
        <v>2191</v>
      </c>
      <c r="C846" s="20">
        <v>0</v>
      </c>
      <c r="E846" s="20" t="s">
        <v>359</v>
      </c>
      <c r="F846" s="20" t="s">
        <v>2191</v>
      </c>
      <c r="G846" s="20">
        <v>0</v>
      </c>
      <c r="AA846" s="20" t="s">
        <v>2680</v>
      </c>
      <c r="AB846" s="20">
        <v>0</v>
      </c>
      <c r="AC846" s="20">
        <v>0</v>
      </c>
    </row>
    <row r="847" spans="1:29" x14ac:dyDescent="0.25">
      <c r="A847" s="20" t="s">
        <v>2046</v>
      </c>
      <c r="B847" s="20" t="s">
        <v>2191</v>
      </c>
      <c r="C847" s="20">
        <v>0</v>
      </c>
      <c r="E847" s="20" t="s">
        <v>830</v>
      </c>
      <c r="F847" s="20" t="s">
        <v>2191</v>
      </c>
      <c r="G847" s="20">
        <v>0</v>
      </c>
      <c r="AA847" s="20" t="s">
        <v>1661</v>
      </c>
      <c r="AB847" s="20">
        <v>-765.82</v>
      </c>
      <c r="AC847" s="20">
        <v>0</v>
      </c>
    </row>
    <row r="848" spans="1:29" x14ac:dyDescent="0.25">
      <c r="A848" s="20" t="s">
        <v>2011</v>
      </c>
      <c r="B848" s="20" t="s">
        <v>2191</v>
      </c>
      <c r="C848" s="20">
        <v>0</v>
      </c>
      <c r="E848" s="20" t="s">
        <v>1400</v>
      </c>
      <c r="F848" s="20" t="s">
        <v>2191</v>
      </c>
      <c r="G848" s="20">
        <v>0</v>
      </c>
      <c r="AA848" s="20" t="s">
        <v>1662</v>
      </c>
      <c r="AB848" s="20">
        <v>5292.62</v>
      </c>
      <c r="AC848" s="20">
        <v>1819.8</v>
      </c>
    </row>
    <row r="849" spans="1:29" x14ac:dyDescent="0.25">
      <c r="A849" s="20" t="s">
        <v>2588</v>
      </c>
      <c r="B849" s="20" t="s">
        <v>2191</v>
      </c>
      <c r="C849" s="20">
        <v>0</v>
      </c>
      <c r="E849" s="20" t="s">
        <v>996</v>
      </c>
      <c r="F849" s="20" t="s">
        <v>2191</v>
      </c>
      <c r="G849" s="20">
        <v>3415</v>
      </c>
      <c r="AA849" s="20" t="s">
        <v>2681</v>
      </c>
      <c r="AB849" s="20">
        <v>0</v>
      </c>
      <c r="AC849" s="20">
        <v>0</v>
      </c>
    </row>
    <row r="850" spans="1:29" x14ac:dyDescent="0.25">
      <c r="A850" s="20" t="s">
        <v>2589</v>
      </c>
      <c r="B850" s="20" t="s">
        <v>2191</v>
      </c>
      <c r="C850" s="20">
        <v>0</v>
      </c>
      <c r="E850" s="20" t="s">
        <v>360</v>
      </c>
      <c r="F850" s="20" t="s">
        <v>2191</v>
      </c>
      <c r="G850" s="20">
        <v>0</v>
      </c>
      <c r="AA850" s="20" t="s">
        <v>2682</v>
      </c>
      <c r="AB850" s="20">
        <v>0</v>
      </c>
      <c r="AC850" s="20">
        <v>0</v>
      </c>
    </row>
    <row r="851" spans="1:29" x14ac:dyDescent="0.25">
      <c r="A851" s="20" t="s">
        <v>427</v>
      </c>
      <c r="B851" s="20" t="s">
        <v>2191</v>
      </c>
      <c r="C851" s="20">
        <v>0</v>
      </c>
      <c r="E851" s="20" t="s">
        <v>1532</v>
      </c>
      <c r="F851" s="20" t="s">
        <v>2191</v>
      </c>
      <c r="G851" s="20">
        <v>0</v>
      </c>
      <c r="AA851" s="20" t="s">
        <v>2683</v>
      </c>
      <c r="AB851" s="20">
        <v>-1570.81</v>
      </c>
      <c r="AC851" s="20">
        <v>0</v>
      </c>
    </row>
    <row r="852" spans="1:29" x14ac:dyDescent="0.25">
      <c r="A852" s="20" t="s">
        <v>2590</v>
      </c>
      <c r="B852" s="20" t="s">
        <v>2191</v>
      </c>
      <c r="C852" s="20">
        <v>0</v>
      </c>
      <c r="E852" s="20" t="s">
        <v>1402</v>
      </c>
      <c r="F852" s="20" t="s">
        <v>2191</v>
      </c>
      <c r="G852" s="20">
        <v>1985</v>
      </c>
      <c r="AA852" s="20" t="s">
        <v>2684</v>
      </c>
      <c r="AB852" s="20">
        <v>0</v>
      </c>
      <c r="AC852" s="20">
        <v>0</v>
      </c>
    </row>
    <row r="853" spans="1:29" x14ac:dyDescent="0.25">
      <c r="A853" s="20" t="s">
        <v>2591</v>
      </c>
      <c r="B853" s="20" t="s">
        <v>2191</v>
      </c>
      <c r="C853" s="20">
        <v>0</v>
      </c>
      <c r="E853" s="20" t="s">
        <v>506</v>
      </c>
      <c r="F853" s="20" t="s">
        <v>2191</v>
      </c>
      <c r="G853" s="20">
        <v>0</v>
      </c>
      <c r="AA853" s="20" t="s">
        <v>2685</v>
      </c>
      <c r="AB853" s="20">
        <v>0</v>
      </c>
      <c r="AC853" s="20">
        <v>0</v>
      </c>
    </row>
    <row r="854" spans="1:29" x14ac:dyDescent="0.25">
      <c r="A854" s="20" t="s">
        <v>2592</v>
      </c>
      <c r="B854" s="20" t="s">
        <v>2191</v>
      </c>
      <c r="C854" s="20">
        <v>0</v>
      </c>
      <c r="E854" s="20" t="s">
        <v>1178</v>
      </c>
      <c r="F854" s="20" t="s">
        <v>2191</v>
      </c>
      <c r="G854" s="20">
        <v>0</v>
      </c>
      <c r="AA854" s="20" t="s">
        <v>2686</v>
      </c>
      <c r="AB854" s="20">
        <v>0</v>
      </c>
      <c r="AC854" s="20">
        <v>0</v>
      </c>
    </row>
    <row r="855" spans="1:29" x14ac:dyDescent="0.25">
      <c r="A855" s="20" t="s">
        <v>2593</v>
      </c>
      <c r="B855" s="20" t="s">
        <v>2191</v>
      </c>
      <c r="C855" s="20">
        <v>0</v>
      </c>
      <c r="E855" s="20" t="s">
        <v>222</v>
      </c>
      <c r="F855" s="20" t="s">
        <v>2191</v>
      </c>
      <c r="G855" s="20">
        <v>0</v>
      </c>
      <c r="AA855" s="20" t="s">
        <v>2687</v>
      </c>
      <c r="AB855" s="20">
        <v>0</v>
      </c>
      <c r="AC855" s="20">
        <v>0</v>
      </c>
    </row>
    <row r="856" spans="1:29" x14ac:dyDescent="0.25">
      <c r="A856" s="20" t="s">
        <v>2594</v>
      </c>
      <c r="B856" s="20" t="s">
        <v>2191</v>
      </c>
      <c r="C856" s="20">
        <v>0</v>
      </c>
      <c r="E856" s="20" t="s">
        <v>662</v>
      </c>
      <c r="F856" s="20" t="s">
        <v>2191</v>
      </c>
      <c r="G856" s="20">
        <v>0</v>
      </c>
      <c r="AA856" s="20" t="s">
        <v>1663</v>
      </c>
      <c r="AB856" s="20">
        <v>-2815.83</v>
      </c>
      <c r="AC856" s="20">
        <v>0</v>
      </c>
    </row>
    <row r="857" spans="1:29" x14ac:dyDescent="0.25">
      <c r="A857" s="20" t="s">
        <v>2157</v>
      </c>
      <c r="B857" s="20" t="s">
        <v>2191</v>
      </c>
      <c r="C857" s="20">
        <v>0</v>
      </c>
      <c r="E857" s="20" t="s">
        <v>766</v>
      </c>
      <c r="F857" s="20" t="s">
        <v>2191</v>
      </c>
      <c r="G857" s="20">
        <v>0</v>
      </c>
      <c r="AA857" s="20" t="s">
        <v>1664</v>
      </c>
      <c r="AB857" s="20">
        <v>-4665.7700000000004</v>
      </c>
      <c r="AC857" s="20">
        <v>0</v>
      </c>
    </row>
    <row r="858" spans="1:29" x14ac:dyDescent="0.25">
      <c r="A858" s="20" t="s">
        <v>2595</v>
      </c>
      <c r="B858" s="20" t="s">
        <v>2191</v>
      </c>
      <c r="C858" s="20">
        <v>0</v>
      </c>
      <c r="E858" s="20" t="s">
        <v>1404</v>
      </c>
      <c r="F858" s="20" t="s">
        <v>2191</v>
      </c>
      <c r="G858" s="20">
        <v>0</v>
      </c>
      <c r="AA858" s="20" t="s">
        <v>2691</v>
      </c>
      <c r="AB858" s="20">
        <v>-250.32</v>
      </c>
      <c r="AC858" s="20">
        <v>0</v>
      </c>
    </row>
    <row r="859" spans="1:29" x14ac:dyDescent="0.25">
      <c r="A859" s="20" t="s">
        <v>2596</v>
      </c>
      <c r="B859" s="20" t="s">
        <v>2191</v>
      </c>
      <c r="C859" s="20">
        <v>0</v>
      </c>
      <c r="E859" s="20" t="s">
        <v>1180</v>
      </c>
      <c r="F859" s="20" t="s">
        <v>2191</v>
      </c>
      <c r="G859" s="20">
        <v>0</v>
      </c>
      <c r="AA859" s="20" t="s">
        <v>2692</v>
      </c>
      <c r="AB859" s="20">
        <v>0</v>
      </c>
      <c r="AC859" s="20">
        <v>0</v>
      </c>
    </row>
    <row r="860" spans="1:29" x14ac:dyDescent="0.25">
      <c r="A860" s="20" t="s">
        <v>1858</v>
      </c>
      <c r="B860" s="20" t="s">
        <v>2191</v>
      </c>
      <c r="C860" s="20">
        <v>0</v>
      </c>
      <c r="E860" s="20" t="s">
        <v>949</v>
      </c>
      <c r="F860" s="20" t="s">
        <v>2191</v>
      </c>
      <c r="G860" s="20">
        <v>0</v>
      </c>
      <c r="AA860" s="20" t="s">
        <v>2693</v>
      </c>
      <c r="AB860" s="20">
        <v>0</v>
      </c>
      <c r="AC860" s="20">
        <v>0</v>
      </c>
    </row>
    <row r="861" spans="1:29" x14ac:dyDescent="0.25">
      <c r="A861" s="20" t="s">
        <v>2129</v>
      </c>
      <c r="B861" s="20" t="s">
        <v>2191</v>
      </c>
      <c r="C861" s="20">
        <v>0</v>
      </c>
      <c r="E861" s="20" t="s">
        <v>951</v>
      </c>
      <c r="F861" s="20" t="s">
        <v>2191</v>
      </c>
      <c r="G861" s="20">
        <v>0</v>
      </c>
      <c r="AA861" s="20" t="s">
        <v>2694</v>
      </c>
      <c r="AB861" s="20">
        <v>0</v>
      </c>
      <c r="AC861" s="20">
        <v>0</v>
      </c>
    </row>
    <row r="862" spans="1:29" x14ac:dyDescent="0.25">
      <c r="A862" s="20" t="s">
        <v>2597</v>
      </c>
      <c r="B862" s="20" t="s">
        <v>2191</v>
      </c>
      <c r="C862" s="20">
        <v>0</v>
      </c>
      <c r="E862" s="20" t="s">
        <v>953</v>
      </c>
      <c r="F862" s="20" t="s">
        <v>2191</v>
      </c>
      <c r="G862" s="20">
        <v>0</v>
      </c>
      <c r="AA862" s="20" t="s">
        <v>1665</v>
      </c>
      <c r="AB862" s="20">
        <v>0</v>
      </c>
      <c r="AC862" s="20">
        <v>0</v>
      </c>
    </row>
    <row r="863" spans="1:29" x14ac:dyDescent="0.25">
      <c r="A863" s="20" t="s">
        <v>2598</v>
      </c>
      <c r="B863" s="20" t="s">
        <v>2191</v>
      </c>
      <c r="C863" s="20">
        <v>0</v>
      </c>
      <c r="E863" s="20" t="s">
        <v>955</v>
      </c>
      <c r="F863" s="20" t="s">
        <v>2191</v>
      </c>
      <c r="G863" s="20">
        <v>0</v>
      </c>
      <c r="AA863" s="20" t="s">
        <v>2695</v>
      </c>
      <c r="AB863" s="20">
        <v>0</v>
      </c>
      <c r="AC863" s="20">
        <v>0</v>
      </c>
    </row>
    <row r="864" spans="1:29" x14ac:dyDescent="0.25">
      <c r="A864" s="20" t="s">
        <v>2599</v>
      </c>
      <c r="B864" s="20" t="s">
        <v>2191</v>
      </c>
      <c r="C864" s="20">
        <v>0</v>
      </c>
      <c r="E864" s="20" t="s">
        <v>956</v>
      </c>
      <c r="F864" s="20" t="s">
        <v>2191</v>
      </c>
      <c r="G864" s="20">
        <v>0</v>
      </c>
      <c r="AA864" s="20" t="s">
        <v>2697</v>
      </c>
      <c r="AB864" s="20">
        <v>0</v>
      </c>
      <c r="AC864" s="20">
        <v>0</v>
      </c>
    </row>
    <row r="865" spans="1:29" x14ac:dyDescent="0.25">
      <c r="A865" s="20" t="s">
        <v>1636</v>
      </c>
      <c r="B865" s="20" t="s">
        <v>2191</v>
      </c>
      <c r="C865" s="20">
        <v>0</v>
      </c>
      <c r="E865" s="20" t="s">
        <v>1769</v>
      </c>
      <c r="F865" s="20" t="s">
        <v>2191</v>
      </c>
      <c r="G865" s="20">
        <v>14820</v>
      </c>
      <c r="AA865" s="20" t="s">
        <v>2698</v>
      </c>
      <c r="AB865" s="20">
        <v>0</v>
      </c>
      <c r="AC865" s="20">
        <v>0</v>
      </c>
    </row>
    <row r="866" spans="1:29" x14ac:dyDescent="0.25">
      <c r="A866" s="20" t="s">
        <v>2600</v>
      </c>
      <c r="B866" s="20" t="s">
        <v>2191</v>
      </c>
      <c r="C866" s="20">
        <v>0</v>
      </c>
      <c r="E866" s="20" t="s">
        <v>3158</v>
      </c>
      <c r="F866" s="20" t="s">
        <v>2191</v>
      </c>
      <c r="G866" s="20">
        <v>2944.16</v>
      </c>
      <c r="AA866" s="20" t="s">
        <v>2700</v>
      </c>
      <c r="AB866" s="20">
        <v>0</v>
      </c>
      <c r="AC866" s="20">
        <v>0</v>
      </c>
    </row>
    <row r="867" spans="1:29" x14ac:dyDescent="0.25">
      <c r="A867" s="20" t="s">
        <v>2601</v>
      </c>
      <c r="B867" s="20" t="s">
        <v>2191</v>
      </c>
      <c r="C867" s="20">
        <v>0</v>
      </c>
      <c r="E867" s="20" t="s">
        <v>1534</v>
      </c>
      <c r="F867" s="20" t="s">
        <v>2191</v>
      </c>
      <c r="G867" s="20">
        <v>0</v>
      </c>
      <c r="AA867" s="20" t="s">
        <v>2701</v>
      </c>
      <c r="AB867" s="20">
        <v>0</v>
      </c>
      <c r="AC867" s="20">
        <v>0</v>
      </c>
    </row>
    <row r="868" spans="1:29" x14ac:dyDescent="0.25">
      <c r="A868" s="20" t="s">
        <v>2602</v>
      </c>
      <c r="B868" s="20" t="s">
        <v>2191</v>
      </c>
      <c r="C868" s="20">
        <v>0</v>
      </c>
      <c r="E868" s="20" t="s">
        <v>1405</v>
      </c>
      <c r="F868" s="20" t="s">
        <v>2191</v>
      </c>
      <c r="G868" s="20">
        <v>0</v>
      </c>
      <c r="AA868" s="20" t="s">
        <v>2702</v>
      </c>
      <c r="AB868" s="20">
        <v>-1447.72</v>
      </c>
      <c r="AC868" s="20">
        <v>0</v>
      </c>
    </row>
    <row r="869" spans="1:29" x14ac:dyDescent="0.25">
      <c r="A869" s="20" t="s">
        <v>2603</v>
      </c>
      <c r="B869" s="20" t="s">
        <v>2191</v>
      </c>
      <c r="C869" s="20">
        <v>0</v>
      </c>
      <c r="E869" s="20" t="s">
        <v>363</v>
      </c>
      <c r="F869" s="20" t="s">
        <v>2191</v>
      </c>
      <c r="G869" s="20">
        <v>0</v>
      </c>
      <c r="AA869" s="20" t="s">
        <v>2703</v>
      </c>
      <c r="AB869" s="20">
        <v>0</v>
      </c>
      <c r="AC869" s="20">
        <v>0</v>
      </c>
    </row>
    <row r="870" spans="1:29" x14ac:dyDescent="0.25">
      <c r="A870" s="20" t="s">
        <v>2098</v>
      </c>
      <c r="B870" s="20" t="s">
        <v>2191</v>
      </c>
      <c r="C870" s="20">
        <v>0</v>
      </c>
      <c r="E870" s="20" t="s">
        <v>1326</v>
      </c>
      <c r="F870" s="20" t="s">
        <v>2191</v>
      </c>
      <c r="G870" s="20">
        <v>0</v>
      </c>
      <c r="AA870" s="20" t="s">
        <v>2704</v>
      </c>
      <c r="AB870" s="20">
        <v>0</v>
      </c>
      <c r="AC870" s="20">
        <v>0</v>
      </c>
    </row>
    <row r="871" spans="1:29" x14ac:dyDescent="0.25">
      <c r="A871" s="20" t="s">
        <v>2604</v>
      </c>
      <c r="B871" s="20" t="s">
        <v>2191</v>
      </c>
      <c r="C871" s="20">
        <v>0</v>
      </c>
      <c r="E871" s="20" t="s">
        <v>1182</v>
      </c>
      <c r="F871" s="20" t="s">
        <v>2191</v>
      </c>
      <c r="G871" s="20">
        <v>0</v>
      </c>
      <c r="AA871" s="20" t="s">
        <v>2706</v>
      </c>
      <c r="AB871" s="20">
        <v>0</v>
      </c>
      <c r="AC871" s="20">
        <v>0</v>
      </c>
    </row>
    <row r="872" spans="1:29" x14ac:dyDescent="0.25">
      <c r="A872" s="20" t="s">
        <v>2605</v>
      </c>
      <c r="B872" s="20" t="s">
        <v>2191</v>
      </c>
      <c r="C872" s="20">
        <v>0</v>
      </c>
      <c r="E872" s="20" t="s">
        <v>1327</v>
      </c>
      <c r="F872" s="20" t="s">
        <v>2191</v>
      </c>
      <c r="G872" s="20">
        <v>0</v>
      </c>
      <c r="AA872" s="20" t="s">
        <v>2707</v>
      </c>
      <c r="AB872" s="20">
        <v>0</v>
      </c>
      <c r="AC872" s="20">
        <v>0</v>
      </c>
    </row>
    <row r="873" spans="1:29" x14ac:dyDescent="0.25">
      <c r="A873" s="20" t="s">
        <v>2099</v>
      </c>
      <c r="B873" s="20" t="s">
        <v>2191</v>
      </c>
      <c r="C873" s="20">
        <v>0</v>
      </c>
      <c r="E873" s="20" t="s">
        <v>957</v>
      </c>
      <c r="F873" s="20" t="s">
        <v>2191</v>
      </c>
      <c r="G873" s="20">
        <v>0</v>
      </c>
      <c r="AA873" s="20" t="s">
        <v>2708</v>
      </c>
      <c r="AB873" s="20">
        <v>0</v>
      </c>
      <c r="AC873" s="20">
        <v>0</v>
      </c>
    </row>
    <row r="874" spans="1:29" x14ac:dyDescent="0.25">
      <c r="A874" s="20" t="s">
        <v>2606</v>
      </c>
      <c r="B874" s="20" t="s">
        <v>2191</v>
      </c>
      <c r="C874" s="20">
        <v>0</v>
      </c>
      <c r="E874" s="20" t="s">
        <v>1328</v>
      </c>
      <c r="F874" s="20" t="s">
        <v>2191</v>
      </c>
      <c r="G874" s="20">
        <v>0</v>
      </c>
      <c r="AA874" s="20" t="s">
        <v>2709</v>
      </c>
      <c r="AB874" s="20">
        <v>0</v>
      </c>
      <c r="AC874" s="20">
        <v>0</v>
      </c>
    </row>
    <row r="875" spans="1:29" x14ac:dyDescent="0.25">
      <c r="A875" s="20" t="s">
        <v>1915</v>
      </c>
      <c r="B875" s="20" t="s">
        <v>2191</v>
      </c>
      <c r="C875" s="20">
        <v>0</v>
      </c>
      <c r="E875" s="20" t="s">
        <v>1046</v>
      </c>
      <c r="F875" s="20" t="s">
        <v>2191</v>
      </c>
      <c r="G875" s="20">
        <v>0</v>
      </c>
      <c r="AA875" s="20" t="s">
        <v>2710</v>
      </c>
      <c r="AB875" s="20">
        <v>0</v>
      </c>
      <c r="AC875" s="20">
        <v>0</v>
      </c>
    </row>
    <row r="876" spans="1:29" x14ac:dyDescent="0.25">
      <c r="A876" s="20" t="s">
        <v>2048</v>
      </c>
      <c r="B876" s="20" t="s">
        <v>2191</v>
      </c>
      <c r="C876" s="20">
        <v>0</v>
      </c>
      <c r="E876" s="20" t="s">
        <v>1244</v>
      </c>
      <c r="F876" s="20" t="s">
        <v>2191</v>
      </c>
      <c r="G876" s="20">
        <v>0</v>
      </c>
      <c r="AA876" s="20" t="s">
        <v>2711</v>
      </c>
      <c r="AB876" s="20">
        <v>0</v>
      </c>
      <c r="AC876" s="20">
        <v>0</v>
      </c>
    </row>
    <row r="877" spans="1:29" x14ac:dyDescent="0.25">
      <c r="A877" s="20" t="s">
        <v>1637</v>
      </c>
      <c r="B877" s="20" t="s">
        <v>2191</v>
      </c>
      <c r="C877" s="20">
        <v>0</v>
      </c>
      <c r="E877" s="20" t="s">
        <v>1497</v>
      </c>
      <c r="F877" s="20" t="s">
        <v>2191</v>
      </c>
      <c r="G877" s="20">
        <v>0</v>
      </c>
      <c r="AA877" s="20" t="s">
        <v>2712</v>
      </c>
      <c r="AB877" s="20">
        <v>0</v>
      </c>
      <c r="AC877" s="20">
        <v>0</v>
      </c>
    </row>
    <row r="878" spans="1:29" x14ac:dyDescent="0.25">
      <c r="A878" s="20" t="s">
        <v>2607</v>
      </c>
      <c r="B878" s="20" t="s">
        <v>2191</v>
      </c>
      <c r="C878" s="20">
        <v>0</v>
      </c>
      <c r="E878" s="20" t="s">
        <v>178</v>
      </c>
      <c r="F878" s="20" t="s">
        <v>2191</v>
      </c>
      <c r="G878" s="20">
        <v>1250</v>
      </c>
      <c r="AA878" s="20" t="s">
        <v>1666</v>
      </c>
      <c r="AB878" s="20">
        <v>-533.37</v>
      </c>
      <c r="AC878" s="20">
        <v>0</v>
      </c>
    </row>
    <row r="879" spans="1:29" x14ac:dyDescent="0.25">
      <c r="A879" s="20" t="s">
        <v>1638</v>
      </c>
      <c r="B879" s="20" t="s">
        <v>2191</v>
      </c>
      <c r="C879" s="20">
        <v>0</v>
      </c>
      <c r="E879" s="20" t="s">
        <v>1406</v>
      </c>
      <c r="F879" s="20" t="s">
        <v>2191</v>
      </c>
      <c r="G879" s="20">
        <v>0</v>
      </c>
      <c r="AA879" s="20" t="s">
        <v>2713</v>
      </c>
      <c r="AB879" s="20">
        <v>0</v>
      </c>
      <c r="AC879" s="20">
        <v>0</v>
      </c>
    </row>
    <row r="880" spans="1:29" x14ac:dyDescent="0.25">
      <c r="A880" s="20" t="s">
        <v>2608</v>
      </c>
      <c r="B880" s="20" t="s">
        <v>2191</v>
      </c>
      <c r="C880" s="20">
        <v>0</v>
      </c>
      <c r="E880" s="20" t="s">
        <v>560</v>
      </c>
      <c r="F880" s="20" t="s">
        <v>2191</v>
      </c>
      <c r="G880" s="20">
        <v>1480.66</v>
      </c>
      <c r="AA880" s="20" t="s">
        <v>2714</v>
      </c>
      <c r="AB880" s="20">
        <v>0</v>
      </c>
      <c r="AC880" s="20">
        <v>0</v>
      </c>
    </row>
    <row r="881" spans="1:29" x14ac:dyDescent="0.25">
      <c r="A881" s="20" t="s">
        <v>2609</v>
      </c>
      <c r="B881" s="20" t="s">
        <v>2191</v>
      </c>
      <c r="C881" s="20">
        <v>0</v>
      </c>
      <c r="E881" s="20" t="s">
        <v>1407</v>
      </c>
      <c r="F881" s="20" t="s">
        <v>2191</v>
      </c>
      <c r="G881" s="20">
        <v>12110</v>
      </c>
      <c r="AA881" s="20" t="s">
        <v>2715</v>
      </c>
      <c r="AB881" s="20">
        <v>0</v>
      </c>
      <c r="AC881" s="20">
        <v>0</v>
      </c>
    </row>
    <row r="882" spans="1:29" x14ac:dyDescent="0.25">
      <c r="A882" s="20" t="s">
        <v>2610</v>
      </c>
      <c r="B882" s="20" t="s">
        <v>2191</v>
      </c>
      <c r="C882" s="20">
        <v>0</v>
      </c>
      <c r="E882" s="20" t="s">
        <v>768</v>
      </c>
      <c r="F882" s="20" t="s">
        <v>2191</v>
      </c>
      <c r="G882" s="20">
        <v>0</v>
      </c>
      <c r="AA882" s="20" t="s">
        <v>2716</v>
      </c>
      <c r="AB882" s="20">
        <v>0</v>
      </c>
      <c r="AC882" s="20">
        <v>0</v>
      </c>
    </row>
    <row r="883" spans="1:29" x14ac:dyDescent="0.25">
      <c r="A883" s="20" t="s">
        <v>2611</v>
      </c>
      <c r="B883" s="20" t="s">
        <v>2191</v>
      </c>
      <c r="C883" s="20">
        <v>0</v>
      </c>
      <c r="E883" s="20" t="s">
        <v>734</v>
      </c>
      <c r="F883" s="20" t="s">
        <v>2191</v>
      </c>
      <c r="G883" s="20">
        <v>0</v>
      </c>
      <c r="AA883" s="20" t="s">
        <v>2717</v>
      </c>
      <c r="AB883" s="20">
        <v>0</v>
      </c>
      <c r="AC883" s="20">
        <v>0</v>
      </c>
    </row>
    <row r="884" spans="1:29" x14ac:dyDescent="0.25">
      <c r="A884" s="20" t="s">
        <v>1916</v>
      </c>
      <c r="B884" s="20" t="s">
        <v>2191</v>
      </c>
      <c r="C884" s="20">
        <v>0</v>
      </c>
      <c r="E884" s="20" t="s">
        <v>364</v>
      </c>
      <c r="F884" s="20" t="s">
        <v>2191</v>
      </c>
      <c r="G884" s="20">
        <v>2281</v>
      </c>
      <c r="AA884" s="20" t="s">
        <v>2718</v>
      </c>
      <c r="AB884" s="20">
        <v>0</v>
      </c>
      <c r="AC884" s="20">
        <v>0</v>
      </c>
    </row>
    <row r="885" spans="1:29" x14ac:dyDescent="0.25">
      <c r="A885" s="20" t="s">
        <v>1639</v>
      </c>
      <c r="B885" s="20" t="s">
        <v>2191</v>
      </c>
      <c r="C885" s="20">
        <v>0</v>
      </c>
      <c r="E885" s="20" t="s">
        <v>1408</v>
      </c>
      <c r="F885" s="20" t="s">
        <v>2191</v>
      </c>
      <c r="G885" s="20">
        <v>0</v>
      </c>
      <c r="AA885" s="20" t="s">
        <v>2719</v>
      </c>
      <c r="AB885" s="20">
        <v>0</v>
      </c>
      <c r="AC885" s="20">
        <v>0</v>
      </c>
    </row>
    <row r="886" spans="1:29" x14ac:dyDescent="0.25">
      <c r="A886" s="20" t="s">
        <v>1640</v>
      </c>
      <c r="B886" s="20" t="s">
        <v>2191</v>
      </c>
      <c r="C886" s="20">
        <v>0</v>
      </c>
      <c r="E886" s="20" t="s">
        <v>223</v>
      </c>
      <c r="F886" s="20" t="s">
        <v>2191</v>
      </c>
      <c r="G886" s="20">
        <v>0</v>
      </c>
      <c r="AA886" s="20" t="s">
        <v>2720</v>
      </c>
      <c r="AB886" s="20">
        <v>0</v>
      </c>
      <c r="AC886" s="20">
        <v>0</v>
      </c>
    </row>
    <row r="887" spans="1:29" x14ac:dyDescent="0.25">
      <c r="A887" s="20" t="s">
        <v>1641</v>
      </c>
      <c r="B887" s="20" t="s">
        <v>2191</v>
      </c>
      <c r="C887" s="20">
        <v>0</v>
      </c>
      <c r="E887" s="20" t="s">
        <v>1129</v>
      </c>
      <c r="F887" s="20" t="s">
        <v>2191</v>
      </c>
      <c r="G887" s="20">
        <v>0</v>
      </c>
      <c r="AA887" s="20" t="s">
        <v>2721</v>
      </c>
      <c r="AB887" s="20">
        <v>0</v>
      </c>
      <c r="AC887" s="20">
        <v>0</v>
      </c>
    </row>
    <row r="888" spans="1:29" x14ac:dyDescent="0.25">
      <c r="A888" s="20" t="s">
        <v>2612</v>
      </c>
      <c r="B888" s="20" t="s">
        <v>2191</v>
      </c>
      <c r="C888" s="20">
        <v>0</v>
      </c>
      <c r="E888" s="20" t="s">
        <v>834</v>
      </c>
      <c r="F888" s="20" t="s">
        <v>2191</v>
      </c>
      <c r="G888" s="20">
        <v>0</v>
      </c>
      <c r="AA888" s="20" t="s">
        <v>2722</v>
      </c>
      <c r="AB888" s="20">
        <v>0</v>
      </c>
      <c r="AC888" s="20">
        <v>0</v>
      </c>
    </row>
    <row r="889" spans="1:29" x14ac:dyDescent="0.25">
      <c r="A889" s="20" t="s">
        <v>2613</v>
      </c>
      <c r="B889" s="20" t="s">
        <v>2191</v>
      </c>
      <c r="C889" s="20">
        <v>0</v>
      </c>
      <c r="E889" s="20" t="s">
        <v>507</v>
      </c>
      <c r="F889" s="20" t="s">
        <v>2191</v>
      </c>
      <c r="G889" s="20">
        <v>0</v>
      </c>
      <c r="AA889" s="20" t="s">
        <v>2723</v>
      </c>
      <c r="AB889" s="20">
        <v>0</v>
      </c>
      <c r="AC889" s="20">
        <v>0</v>
      </c>
    </row>
    <row r="890" spans="1:29" x14ac:dyDescent="0.25">
      <c r="A890" s="20" t="s">
        <v>2614</v>
      </c>
      <c r="B890" s="20" t="s">
        <v>2191</v>
      </c>
      <c r="C890" s="20">
        <v>0</v>
      </c>
      <c r="E890" s="20" t="s">
        <v>1148</v>
      </c>
      <c r="F890" s="20" t="s">
        <v>2191</v>
      </c>
      <c r="G890" s="20">
        <v>0</v>
      </c>
      <c r="AA890" s="20" t="s">
        <v>2724</v>
      </c>
      <c r="AB890" s="20">
        <v>0</v>
      </c>
      <c r="AC890" s="20">
        <v>0</v>
      </c>
    </row>
    <row r="891" spans="1:29" x14ac:dyDescent="0.25">
      <c r="A891" s="20" t="s">
        <v>2615</v>
      </c>
      <c r="B891" s="20" t="s">
        <v>2191</v>
      </c>
      <c r="C891" s="20">
        <v>0</v>
      </c>
      <c r="E891" s="20" t="s">
        <v>366</v>
      </c>
      <c r="F891" s="20" t="s">
        <v>2191</v>
      </c>
      <c r="G891" s="20">
        <v>0</v>
      </c>
      <c r="AA891" s="20" t="s">
        <v>2725</v>
      </c>
      <c r="AB891" s="20">
        <v>0</v>
      </c>
      <c r="AC891" s="20">
        <v>0</v>
      </c>
    </row>
    <row r="892" spans="1:29" x14ac:dyDescent="0.25">
      <c r="A892" s="20" t="s">
        <v>1859</v>
      </c>
      <c r="B892" s="20" t="s">
        <v>2191</v>
      </c>
      <c r="C892" s="20">
        <v>0</v>
      </c>
      <c r="E892" s="20" t="s">
        <v>1499</v>
      </c>
      <c r="F892" s="20" t="s">
        <v>2191</v>
      </c>
      <c r="G892" s="20">
        <v>3406</v>
      </c>
      <c r="AA892" s="20" t="s">
        <v>2726</v>
      </c>
      <c r="AB892" s="20">
        <v>0</v>
      </c>
      <c r="AC892" s="20">
        <v>0</v>
      </c>
    </row>
    <row r="893" spans="1:29" x14ac:dyDescent="0.25">
      <c r="A893" s="20" t="s">
        <v>2616</v>
      </c>
      <c r="B893" s="20" t="s">
        <v>2191</v>
      </c>
      <c r="C893" s="20">
        <v>0</v>
      </c>
      <c r="E893" s="20" t="s">
        <v>1500</v>
      </c>
      <c r="F893" s="20" t="s">
        <v>2191</v>
      </c>
      <c r="G893" s="20">
        <v>0</v>
      </c>
      <c r="AA893" s="20" t="s">
        <v>2727</v>
      </c>
      <c r="AB893" s="20">
        <v>0</v>
      </c>
      <c r="AC893" s="20">
        <v>0</v>
      </c>
    </row>
    <row r="894" spans="1:29" x14ac:dyDescent="0.25">
      <c r="A894" s="20" t="s">
        <v>2617</v>
      </c>
      <c r="B894" s="20" t="s">
        <v>2191</v>
      </c>
      <c r="C894" s="20">
        <v>0</v>
      </c>
      <c r="E894" s="20" t="s">
        <v>1096</v>
      </c>
      <c r="F894" s="20" t="s">
        <v>2191</v>
      </c>
      <c r="G894" s="20">
        <v>0</v>
      </c>
      <c r="AA894" s="20" t="s">
        <v>2728</v>
      </c>
      <c r="AB894" s="20">
        <v>0</v>
      </c>
      <c r="AC894" s="20">
        <v>0</v>
      </c>
    </row>
    <row r="895" spans="1:29" x14ac:dyDescent="0.25">
      <c r="A895" s="20" t="s">
        <v>2618</v>
      </c>
      <c r="B895" s="20" t="s">
        <v>2191</v>
      </c>
      <c r="C895" s="20">
        <v>0</v>
      </c>
      <c r="E895" s="20" t="s">
        <v>772</v>
      </c>
      <c r="F895" s="20" t="s">
        <v>2191</v>
      </c>
      <c r="G895" s="20">
        <v>0</v>
      </c>
      <c r="AA895" s="20" t="s">
        <v>2729</v>
      </c>
      <c r="AB895" s="20">
        <v>0</v>
      </c>
      <c r="AC895" s="20">
        <v>0</v>
      </c>
    </row>
    <row r="896" spans="1:29" x14ac:dyDescent="0.25">
      <c r="A896" s="20" t="s">
        <v>2619</v>
      </c>
      <c r="B896" s="20" t="s">
        <v>2191</v>
      </c>
      <c r="C896" s="20">
        <v>0</v>
      </c>
      <c r="E896" s="20" t="s">
        <v>179</v>
      </c>
      <c r="F896" s="20" t="s">
        <v>2191</v>
      </c>
      <c r="G896" s="20">
        <v>0</v>
      </c>
      <c r="AA896" s="20" t="s">
        <v>2731</v>
      </c>
      <c r="AB896" s="20">
        <v>0</v>
      </c>
      <c r="AC896" s="20">
        <v>0</v>
      </c>
    </row>
    <row r="897" spans="1:29" x14ac:dyDescent="0.25">
      <c r="A897" s="20" t="s">
        <v>1009</v>
      </c>
      <c r="B897" s="20" t="s">
        <v>2191</v>
      </c>
      <c r="C897" s="20">
        <v>0</v>
      </c>
      <c r="E897" s="20" t="s">
        <v>561</v>
      </c>
      <c r="F897" s="20" t="s">
        <v>2191</v>
      </c>
      <c r="G897" s="20">
        <v>0</v>
      </c>
      <c r="AA897" s="20" t="s">
        <v>2732</v>
      </c>
      <c r="AB897" s="20">
        <v>0</v>
      </c>
      <c r="AC897" s="20">
        <v>0</v>
      </c>
    </row>
    <row r="898" spans="1:29" x14ac:dyDescent="0.25">
      <c r="A898" s="20" t="s">
        <v>2620</v>
      </c>
      <c r="B898" s="20" t="s">
        <v>2191</v>
      </c>
      <c r="C898" s="20">
        <v>0</v>
      </c>
      <c r="E898" s="20" t="s">
        <v>368</v>
      </c>
      <c r="F898" s="20" t="s">
        <v>2191</v>
      </c>
      <c r="G898" s="20">
        <v>501</v>
      </c>
      <c r="AA898" s="20" t="s">
        <v>2733</v>
      </c>
      <c r="AB898" s="20">
        <v>0</v>
      </c>
      <c r="AC898" s="20">
        <v>0</v>
      </c>
    </row>
    <row r="899" spans="1:29" x14ac:dyDescent="0.25">
      <c r="A899" s="20" t="s">
        <v>2621</v>
      </c>
      <c r="B899" s="20" t="s">
        <v>2191</v>
      </c>
      <c r="C899" s="20">
        <v>0</v>
      </c>
      <c r="E899" s="20" t="s">
        <v>937</v>
      </c>
      <c r="F899" s="20" t="s">
        <v>2191</v>
      </c>
      <c r="G899" s="20">
        <v>0</v>
      </c>
      <c r="AA899" s="20" t="s">
        <v>2734</v>
      </c>
      <c r="AB899" s="20">
        <v>0</v>
      </c>
      <c r="AC899" s="20">
        <v>0</v>
      </c>
    </row>
    <row r="900" spans="1:29" x14ac:dyDescent="0.25">
      <c r="A900" s="20" t="s">
        <v>2622</v>
      </c>
      <c r="B900" s="20" t="s">
        <v>2191</v>
      </c>
      <c r="C900" s="20">
        <v>0</v>
      </c>
      <c r="E900" s="20" t="s">
        <v>1502</v>
      </c>
      <c r="F900" s="20" t="s">
        <v>2191</v>
      </c>
      <c r="G900" s="20">
        <v>0</v>
      </c>
      <c r="AA900" s="20" t="s">
        <v>2735</v>
      </c>
      <c r="AB900" s="20">
        <v>0</v>
      </c>
      <c r="AC900" s="20">
        <v>0</v>
      </c>
    </row>
    <row r="901" spans="1:29" x14ac:dyDescent="0.25">
      <c r="A901" s="20" t="s">
        <v>2623</v>
      </c>
      <c r="B901" s="20" t="s">
        <v>2191</v>
      </c>
      <c r="C901" s="20">
        <v>0</v>
      </c>
      <c r="E901" s="20" t="s">
        <v>1049</v>
      </c>
      <c r="F901" s="20" t="s">
        <v>2191</v>
      </c>
      <c r="G901" s="20">
        <v>0</v>
      </c>
      <c r="AA901" s="20" t="s">
        <v>2736</v>
      </c>
      <c r="AB901" s="20">
        <v>0</v>
      </c>
      <c r="AC901" s="20">
        <v>0</v>
      </c>
    </row>
    <row r="902" spans="1:29" x14ac:dyDescent="0.25">
      <c r="A902" s="20" t="s">
        <v>2624</v>
      </c>
      <c r="B902" s="20" t="s">
        <v>2191</v>
      </c>
      <c r="C902" s="20">
        <v>0</v>
      </c>
      <c r="E902" s="20" t="s">
        <v>1536</v>
      </c>
      <c r="F902" s="20" t="s">
        <v>2191</v>
      </c>
      <c r="G902" s="20">
        <v>0</v>
      </c>
      <c r="AA902" s="20" t="s">
        <v>2737</v>
      </c>
      <c r="AB902" s="20">
        <v>0</v>
      </c>
      <c r="AC902" s="20">
        <v>0</v>
      </c>
    </row>
    <row r="903" spans="1:29" x14ac:dyDescent="0.25">
      <c r="A903" s="20" t="s">
        <v>2625</v>
      </c>
      <c r="B903" s="20" t="s">
        <v>2191</v>
      </c>
      <c r="C903" s="20">
        <v>0</v>
      </c>
      <c r="E903" s="20" t="s">
        <v>562</v>
      </c>
      <c r="F903" s="20" t="s">
        <v>2191</v>
      </c>
      <c r="G903" s="20">
        <v>18871</v>
      </c>
      <c r="AA903" s="20" t="s">
        <v>2738</v>
      </c>
      <c r="AB903" s="20">
        <v>0</v>
      </c>
      <c r="AC903" s="20">
        <v>0</v>
      </c>
    </row>
    <row r="904" spans="1:29" x14ac:dyDescent="0.25">
      <c r="A904" s="20" t="s">
        <v>1267</v>
      </c>
      <c r="B904" s="20" t="s">
        <v>2191</v>
      </c>
      <c r="C904" s="20">
        <v>0</v>
      </c>
      <c r="E904" s="20" t="s">
        <v>563</v>
      </c>
      <c r="F904" s="20" t="s">
        <v>2191</v>
      </c>
      <c r="G904" s="20">
        <v>0</v>
      </c>
      <c r="AA904" s="20" t="s">
        <v>2739</v>
      </c>
      <c r="AB904" s="20">
        <v>0</v>
      </c>
      <c r="AC904" s="20">
        <v>0</v>
      </c>
    </row>
    <row r="905" spans="1:29" x14ac:dyDescent="0.25">
      <c r="A905" s="20" t="s">
        <v>1268</v>
      </c>
      <c r="B905" s="20" t="s">
        <v>2191</v>
      </c>
      <c r="C905" s="20">
        <v>0</v>
      </c>
      <c r="E905" s="20" t="s">
        <v>965</v>
      </c>
      <c r="F905" s="20" t="s">
        <v>2191</v>
      </c>
      <c r="G905" s="20">
        <v>0</v>
      </c>
      <c r="AA905" s="20" t="s">
        <v>2740</v>
      </c>
      <c r="AB905" s="20">
        <v>0</v>
      </c>
      <c r="AC905" s="20">
        <v>0</v>
      </c>
    </row>
    <row r="906" spans="1:29" x14ac:dyDescent="0.25">
      <c r="A906" s="20" t="s">
        <v>1269</v>
      </c>
      <c r="B906" s="20" t="s">
        <v>2191</v>
      </c>
      <c r="C906" s="20">
        <v>0</v>
      </c>
      <c r="E906" s="20" t="s">
        <v>1329</v>
      </c>
      <c r="F906" s="20" t="s">
        <v>2191</v>
      </c>
      <c r="G906" s="20">
        <v>0</v>
      </c>
      <c r="AA906" s="20" t="s">
        <v>2741</v>
      </c>
      <c r="AB906" s="20">
        <v>0</v>
      </c>
      <c r="AC906" s="20">
        <v>0</v>
      </c>
    </row>
    <row r="907" spans="1:29" x14ac:dyDescent="0.25">
      <c r="A907" s="20" t="s">
        <v>2130</v>
      </c>
      <c r="B907" s="20" t="s">
        <v>2191</v>
      </c>
      <c r="C907" s="20">
        <v>0</v>
      </c>
      <c r="E907" s="20" t="s">
        <v>1410</v>
      </c>
      <c r="F907" s="20" t="s">
        <v>2191</v>
      </c>
      <c r="G907" s="20">
        <v>0</v>
      </c>
      <c r="AA907" s="20" t="s">
        <v>2743</v>
      </c>
      <c r="AB907" s="20">
        <v>0</v>
      </c>
      <c r="AC907" s="20">
        <v>0</v>
      </c>
    </row>
    <row r="908" spans="1:29" x14ac:dyDescent="0.25">
      <c r="A908" s="20" t="s">
        <v>1270</v>
      </c>
      <c r="B908" s="20" t="s">
        <v>2191</v>
      </c>
      <c r="C908" s="20">
        <v>0</v>
      </c>
      <c r="E908" s="20" t="s">
        <v>181</v>
      </c>
      <c r="F908" s="20" t="s">
        <v>2191</v>
      </c>
      <c r="G908" s="20">
        <v>0</v>
      </c>
      <c r="AA908" s="20" t="s">
        <v>2744</v>
      </c>
      <c r="AB908" s="20">
        <v>0</v>
      </c>
      <c r="AC908" s="20">
        <v>0</v>
      </c>
    </row>
    <row r="909" spans="1:29" x14ac:dyDescent="0.25">
      <c r="A909" s="20" t="s">
        <v>1266</v>
      </c>
      <c r="B909" s="20" t="s">
        <v>2191</v>
      </c>
      <c r="C909" s="20">
        <v>17267</v>
      </c>
      <c r="E909" s="20" t="s">
        <v>966</v>
      </c>
      <c r="F909" s="20" t="s">
        <v>2191</v>
      </c>
      <c r="G909" s="20">
        <v>0</v>
      </c>
      <c r="AA909" s="20" t="s">
        <v>2745</v>
      </c>
      <c r="AB909" s="20">
        <v>0</v>
      </c>
      <c r="AC909" s="20">
        <v>0</v>
      </c>
    </row>
    <row r="910" spans="1:29" x14ac:dyDescent="0.25">
      <c r="A910" s="20" t="s">
        <v>1642</v>
      </c>
      <c r="B910" s="20" t="s">
        <v>2191</v>
      </c>
      <c r="C910" s="20">
        <v>0</v>
      </c>
      <c r="E910" s="20" t="s">
        <v>369</v>
      </c>
      <c r="F910" s="20" t="s">
        <v>2191</v>
      </c>
      <c r="G910" s="20">
        <v>0</v>
      </c>
      <c r="AA910" s="20" t="s">
        <v>2747</v>
      </c>
      <c r="AB910" s="20">
        <v>0</v>
      </c>
      <c r="AC910" s="20">
        <v>0</v>
      </c>
    </row>
    <row r="911" spans="1:29" x14ac:dyDescent="0.25">
      <c r="A911" s="20" t="s">
        <v>2626</v>
      </c>
      <c r="B911" s="20" t="s">
        <v>2191</v>
      </c>
      <c r="C911" s="20">
        <v>0</v>
      </c>
      <c r="E911" s="20" t="s">
        <v>1185</v>
      </c>
      <c r="F911" s="20" t="s">
        <v>2191</v>
      </c>
      <c r="G911" s="20">
        <v>0</v>
      </c>
      <c r="AA911" s="20" t="s">
        <v>2748</v>
      </c>
      <c r="AB911" s="20">
        <v>0</v>
      </c>
      <c r="AC911" s="20">
        <v>0</v>
      </c>
    </row>
    <row r="912" spans="1:29" x14ac:dyDescent="0.25">
      <c r="A912" s="20" t="s">
        <v>2627</v>
      </c>
      <c r="B912" s="20" t="s">
        <v>2191</v>
      </c>
      <c r="C912" s="20">
        <v>0</v>
      </c>
      <c r="E912" s="20" t="s">
        <v>97</v>
      </c>
      <c r="F912" s="20" t="s">
        <v>2191</v>
      </c>
      <c r="G912" s="20">
        <v>0</v>
      </c>
      <c r="AA912" s="20" t="s">
        <v>2749</v>
      </c>
      <c r="AB912" s="20">
        <v>0</v>
      </c>
      <c r="AC912" s="20">
        <v>0</v>
      </c>
    </row>
    <row r="913" spans="1:29" x14ac:dyDescent="0.25">
      <c r="A913" s="20" t="s">
        <v>2628</v>
      </c>
      <c r="B913" s="20" t="s">
        <v>2191</v>
      </c>
      <c r="C913" s="20">
        <v>0</v>
      </c>
      <c r="E913" s="20" t="s">
        <v>338</v>
      </c>
      <c r="F913" s="20" t="s">
        <v>2191</v>
      </c>
      <c r="G913" s="20">
        <v>0</v>
      </c>
      <c r="AA913" s="20" t="s">
        <v>2750</v>
      </c>
      <c r="AB913" s="20">
        <v>0</v>
      </c>
      <c r="AC913" s="20">
        <v>0</v>
      </c>
    </row>
    <row r="914" spans="1:29" x14ac:dyDescent="0.25">
      <c r="A914" s="20" t="s">
        <v>2131</v>
      </c>
      <c r="B914" s="20" t="s">
        <v>2191</v>
      </c>
      <c r="C914" s="20">
        <v>0</v>
      </c>
      <c r="E914" s="20" t="s">
        <v>774</v>
      </c>
      <c r="F914" s="20" t="s">
        <v>2191</v>
      </c>
      <c r="G914" s="20">
        <v>0</v>
      </c>
      <c r="AA914" s="20" t="s">
        <v>2751</v>
      </c>
      <c r="AB914" s="20">
        <v>0</v>
      </c>
      <c r="AC914" s="20">
        <v>0</v>
      </c>
    </row>
    <row r="915" spans="1:29" x14ac:dyDescent="0.25">
      <c r="A915" s="20" t="s">
        <v>1274</v>
      </c>
      <c r="B915" s="20" t="s">
        <v>2191</v>
      </c>
      <c r="C915" s="20">
        <v>0</v>
      </c>
      <c r="E915" s="20" t="s">
        <v>1187</v>
      </c>
      <c r="F915" s="20" t="s">
        <v>2191</v>
      </c>
      <c r="G915" s="20">
        <v>0</v>
      </c>
      <c r="AA915" s="20" t="s">
        <v>2752</v>
      </c>
      <c r="AB915" s="20">
        <v>0</v>
      </c>
      <c r="AC915" s="20">
        <v>0</v>
      </c>
    </row>
    <row r="916" spans="1:29" x14ac:dyDescent="0.25">
      <c r="A916" s="20" t="s">
        <v>1275</v>
      </c>
      <c r="B916" s="20" t="s">
        <v>2191</v>
      </c>
      <c r="C916" s="20">
        <v>10090</v>
      </c>
      <c r="E916" s="20" t="s">
        <v>776</v>
      </c>
      <c r="F916" s="20" t="s">
        <v>2191</v>
      </c>
      <c r="G916" s="20">
        <v>0</v>
      </c>
      <c r="AA916" s="20" t="s">
        <v>2753</v>
      </c>
      <c r="AB916" s="20">
        <v>0</v>
      </c>
      <c r="AC916" s="20">
        <v>0</v>
      </c>
    </row>
    <row r="917" spans="1:29" x14ac:dyDescent="0.25">
      <c r="A917" s="20" t="s">
        <v>1277</v>
      </c>
      <c r="B917" s="20" t="s">
        <v>2191</v>
      </c>
      <c r="C917" s="20">
        <v>13083</v>
      </c>
      <c r="E917" s="20" t="s">
        <v>348</v>
      </c>
      <c r="F917" s="20" t="s">
        <v>2191</v>
      </c>
      <c r="G917" s="20">
        <v>0</v>
      </c>
      <c r="AA917" s="20" t="s">
        <v>1667</v>
      </c>
      <c r="AB917" s="20">
        <v>-1843.17</v>
      </c>
      <c r="AC917" s="20">
        <v>0</v>
      </c>
    </row>
    <row r="918" spans="1:29" x14ac:dyDescent="0.25">
      <c r="A918" s="20" t="s">
        <v>2629</v>
      </c>
      <c r="B918" s="20" t="s">
        <v>2191</v>
      </c>
      <c r="C918" s="20">
        <v>0</v>
      </c>
      <c r="E918" s="20" t="s">
        <v>1503</v>
      </c>
      <c r="F918" s="20" t="s">
        <v>2191</v>
      </c>
      <c r="G918" s="20">
        <v>0</v>
      </c>
      <c r="AA918" s="20" t="s">
        <v>2754</v>
      </c>
      <c r="AB918" s="20">
        <v>0</v>
      </c>
      <c r="AC918" s="20">
        <v>0</v>
      </c>
    </row>
    <row r="919" spans="1:29" x14ac:dyDescent="0.25">
      <c r="A919" s="20" t="s">
        <v>1254</v>
      </c>
      <c r="B919" s="20" t="s">
        <v>2191</v>
      </c>
      <c r="C919" s="20">
        <v>10711</v>
      </c>
      <c r="E919" s="20" t="s">
        <v>921</v>
      </c>
      <c r="F919" s="20" t="s">
        <v>2191</v>
      </c>
      <c r="G919" s="20">
        <v>0</v>
      </c>
      <c r="AA919" s="20" t="s">
        <v>2755</v>
      </c>
      <c r="AB919" s="20">
        <v>0</v>
      </c>
      <c r="AC919" s="20">
        <v>0</v>
      </c>
    </row>
    <row r="920" spans="1:29" x14ac:dyDescent="0.25">
      <c r="A920" s="20" t="s">
        <v>2630</v>
      </c>
      <c r="B920" s="20" t="s">
        <v>2191</v>
      </c>
      <c r="C920" s="20">
        <v>0</v>
      </c>
      <c r="E920" s="20" t="s">
        <v>967</v>
      </c>
      <c r="F920" s="20" t="s">
        <v>2191</v>
      </c>
      <c r="G920" s="20">
        <v>10066</v>
      </c>
      <c r="AA920" s="20" t="s">
        <v>2756</v>
      </c>
      <c r="AB920" s="20">
        <v>0</v>
      </c>
      <c r="AC920" s="20">
        <v>0</v>
      </c>
    </row>
    <row r="921" spans="1:29" x14ac:dyDescent="0.25">
      <c r="A921" s="20" t="s">
        <v>1279</v>
      </c>
      <c r="B921" s="20" t="s">
        <v>2191</v>
      </c>
      <c r="C921" s="20">
        <v>0</v>
      </c>
      <c r="E921" s="20" t="s">
        <v>373</v>
      </c>
      <c r="F921" s="20" t="s">
        <v>2191</v>
      </c>
      <c r="G921" s="20">
        <v>0</v>
      </c>
      <c r="AA921" s="20" t="s">
        <v>1668</v>
      </c>
      <c r="AB921" s="20">
        <v>-2953.87</v>
      </c>
      <c r="AC921" s="20">
        <v>0</v>
      </c>
    </row>
    <row r="922" spans="1:29" x14ac:dyDescent="0.25">
      <c r="A922" s="20" t="s">
        <v>429</v>
      </c>
      <c r="B922" s="20" t="s">
        <v>2191</v>
      </c>
      <c r="C922" s="20">
        <v>-515.9</v>
      </c>
      <c r="E922" s="20" t="s">
        <v>1051</v>
      </c>
      <c r="F922" s="20" t="s">
        <v>2191</v>
      </c>
      <c r="G922" s="20">
        <v>0</v>
      </c>
      <c r="AA922" s="20" t="s">
        <v>2758</v>
      </c>
      <c r="AB922" s="20">
        <v>0</v>
      </c>
      <c r="AC922" s="20">
        <v>0</v>
      </c>
    </row>
    <row r="923" spans="1:29" x14ac:dyDescent="0.25">
      <c r="A923" s="20" t="s">
        <v>2631</v>
      </c>
      <c r="B923" s="20" t="s">
        <v>2191</v>
      </c>
      <c r="C923" s="20">
        <v>0</v>
      </c>
      <c r="E923" s="20" t="s">
        <v>375</v>
      </c>
      <c r="F923" s="20" t="s">
        <v>2191</v>
      </c>
      <c r="G923" s="20">
        <v>0</v>
      </c>
      <c r="AA923" s="20" t="s">
        <v>2759</v>
      </c>
      <c r="AB923" s="20">
        <v>0</v>
      </c>
      <c r="AC923" s="20">
        <v>0</v>
      </c>
    </row>
    <row r="924" spans="1:29" x14ac:dyDescent="0.25">
      <c r="A924" s="20" t="s">
        <v>2632</v>
      </c>
      <c r="B924" s="20" t="s">
        <v>2191</v>
      </c>
      <c r="C924" s="20">
        <v>0</v>
      </c>
      <c r="E924" s="20" t="s">
        <v>1055</v>
      </c>
      <c r="F924" s="20" t="s">
        <v>2191</v>
      </c>
      <c r="G924" s="20">
        <v>-327.66000000000003</v>
      </c>
      <c r="AA924" s="20" t="s">
        <v>1669</v>
      </c>
      <c r="AB924" s="20">
        <v>-1532.06</v>
      </c>
      <c r="AC924" s="20">
        <v>0</v>
      </c>
    </row>
    <row r="925" spans="1:29" x14ac:dyDescent="0.25">
      <c r="A925" s="20" t="s">
        <v>1281</v>
      </c>
      <c r="B925" s="20" t="s">
        <v>2191</v>
      </c>
      <c r="C925" s="20">
        <v>0</v>
      </c>
      <c r="E925" s="20" t="s">
        <v>377</v>
      </c>
      <c r="F925" s="20" t="s">
        <v>2191</v>
      </c>
      <c r="G925" s="20">
        <v>0</v>
      </c>
      <c r="AA925" s="20" t="s">
        <v>2760</v>
      </c>
      <c r="AB925" s="20">
        <v>0</v>
      </c>
      <c r="AC925" s="20">
        <v>0</v>
      </c>
    </row>
    <row r="926" spans="1:29" x14ac:dyDescent="0.25">
      <c r="A926" s="20" t="s">
        <v>2132</v>
      </c>
      <c r="B926" s="20" t="s">
        <v>2191</v>
      </c>
      <c r="C926" s="20">
        <v>0</v>
      </c>
      <c r="E926" s="20" t="s">
        <v>1413</v>
      </c>
      <c r="F926" s="20" t="s">
        <v>2191</v>
      </c>
      <c r="G926" s="20">
        <v>0</v>
      </c>
      <c r="AA926" s="20" t="s">
        <v>2761</v>
      </c>
      <c r="AB926" s="20">
        <v>0</v>
      </c>
      <c r="AC926" s="20">
        <v>0</v>
      </c>
    </row>
    <row r="927" spans="1:29" x14ac:dyDescent="0.25">
      <c r="A927" s="20" t="s">
        <v>1253</v>
      </c>
      <c r="B927" s="20" t="s">
        <v>2191</v>
      </c>
      <c r="C927" s="20">
        <v>0</v>
      </c>
      <c r="E927" s="20" t="s">
        <v>1415</v>
      </c>
      <c r="F927" s="20" t="s">
        <v>2191</v>
      </c>
      <c r="G927" s="20">
        <v>6030.25</v>
      </c>
      <c r="AA927" s="20" t="s">
        <v>2762</v>
      </c>
      <c r="AB927" s="20">
        <v>0</v>
      </c>
      <c r="AC927" s="20">
        <v>0</v>
      </c>
    </row>
    <row r="928" spans="1:29" x14ac:dyDescent="0.25">
      <c r="A928" s="20" t="s">
        <v>612</v>
      </c>
      <c r="B928" s="20" t="s">
        <v>2191</v>
      </c>
      <c r="C928" s="20">
        <v>0</v>
      </c>
      <c r="E928" s="20" t="s">
        <v>1188</v>
      </c>
      <c r="F928" s="20" t="s">
        <v>2191</v>
      </c>
      <c r="G928" s="20">
        <v>0</v>
      </c>
      <c r="AA928" s="20" t="s">
        <v>2763</v>
      </c>
      <c r="AB928" s="20">
        <v>0</v>
      </c>
      <c r="AC928" s="20">
        <v>0</v>
      </c>
    </row>
    <row r="929" spans="1:29" x14ac:dyDescent="0.25">
      <c r="A929" s="20" t="s">
        <v>1879</v>
      </c>
      <c r="B929" s="20" t="s">
        <v>2191</v>
      </c>
      <c r="C929" s="20">
        <v>0</v>
      </c>
      <c r="E929" s="20" t="s">
        <v>777</v>
      </c>
      <c r="F929" s="20" t="s">
        <v>2191</v>
      </c>
      <c r="G929" s="20">
        <v>17106</v>
      </c>
      <c r="AA929" s="20" t="s">
        <v>2764</v>
      </c>
      <c r="AB929" s="20">
        <v>0</v>
      </c>
      <c r="AC929" s="20">
        <v>0</v>
      </c>
    </row>
    <row r="930" spans="1:29" x14ac:dyDescent="0.25">
      <c r="A930" s="20" t="s">
        <v>1643</v>
      </c>
      <c r="B930" s="20" t="s">
        <v>2191</v>
      </c>
      <c r="C930" s="20">
        <v>0</v>
      </c>
      <c r="E930" s="20" t="s">
        <v>1246</v>
      </c>
      <c r="F930" s="20" t="s">
        <v>2191</v>
      </c>
      <c r="G930" s="20">
        <v>0</v>
      </c>
      <c r="AA930" s="20" t="s">
        <v>2765</v>
      </c>
      <c r="AB930" s="20">
        <v>0</v>
      </c>
      <c r="AC930" s="20">
        <v>0</v>
      </c>
    </row>
    <row r="931" spans="1:29" x14ac:dyDescent="0.25">
      <c r="A931" s="20" t="s">
        <v>2633</v>
      </c>
      <c r="B931" s="20" t="s">
        <v>2191</v>
      </c>
      <c r="C931" s="20">
        <v>0</v>
      </c>
      <c r="E931" s="20" t="s">
        <v>1416</v>
      </c>
      <c r="F931" s="20" t="s">
        <v>2191</v>
      </c>
      <c r="G931" s="20">
        <v>3217</v>
      </c>
      <c r="AA931" s="20" t="s">
        <v>2766</v>
      </c>
      <c r="AB931" s="20">
        <v>0</v>
      </c>
      <c r="AC931" s="20">
        <v>0</v>
      </c>
    </row>
    <row r="932" spans="1:29" x14ac:dyDescent="0.25">
      <c r="A932" s="20" t="s">
        <v>2072</v>
      </c>
      <c r="B932" s="20" t="s">
        <v>2191</v>
      </c>
      <c r="C932" s="20">
        <v>0</v>
      </c>
      <c r="E932" s="20" t="s">
        <v>1504</v>
      </c>
      <c r="F932" s="20" t="s">
        <v>2191</v>
      </c>
      <c r="G932" s="20">
        <v>7373</v>
      </c>
      <c r="AA932" s="20" t="s">
        <v>1670</v>
      </c>
      <c r="AB932" s="20">
        <v>-9.49</v>
      </c>
      <c r="AC932" s="20">
        <v>15286.54</v>
      </c>
    </row>
    <row r="933" spans="1:29" x14ac:dyDescent="0.25">
      <c r="A933" s="20" t="s">
        <v>267</v>
      </c>
      <c r="B933" s="20" t="s">
        <v>2191</v>
      </c>
      <c r="C933" s="20">
        <v>0</v>
      </c>
      <c r="E933" s="20" t="s">
        <v>379</v>
      </c>
      <c r="F933" s="20" t="s">
        <v>2191</v>
      </c>
      <c r="G933" s="20">
        <v>112748.76</v>
      </c>
      <c r="AA933" s="20" t="s">
        <v>2767</v>
      </c>
      <c r="AB933" s="20">
        <v>0</v>
      </c>
      <c r="AC933" s="20">
        <v>0</v>
      </c>
    </row>
    <row r="934" spans="1:29" x14ac:dyDescent="0.25">
      <c r="A934" s="20" t="s">
        <v>2073</v>
      </c>
      <c r="B934" s="20" t="s">
        <v>2191</v>
      </c>
      <c r="C934" s="20">
        <v>0</v>
      </c>
      <c r="E934" s="20" t="s">
        <v>1538</v>
      </c>
      <c r="F934" s="20" t="s">
        <v>2191</v>
      </c>
      <c r="G934" s="20">
        <v>0</v>
      </c>
      <c r="AA934" s="20" t="s">
        <v>1671</v>
      </c>
      <c r="AB934" s="20">
        <v>-1301.1600000000001</v>
      </c>
      <c r="AC934" s="20">
        <v>0</v>
      </c>
    </row>
    <row r="935" spans="1:29" x14ac:dyDescent="0.25">
      <c r="A935" s="20" t="s">
        <v>1860</v>
      </c>
      <c r="B935" s="20" t="s">
        <v>2191</v>
      </c>
      <c r="C935" s="20">
        <v>0</v>
      </c>
      <c r="E935" s="20" t="s">
        <v>1418</v>
      </c>
      <c r="F935" s="20" t="s">
        <v>2191</v>
      </c>
      <c r="G935" s="20">
        <v>991</v>
      </c>
      <c r="AA935" s="20" t="s">
        <v>2768</v>
      </c>
      <c r="AB935" s="20">
        <v>0</v>
      </c>
      <c r="AC935" s="20">
        <v>0</v>
      </c>
    </row>
    <row r="936" spans="1:29" x14ac:dyDescent="0.25">
      <c r="A936" s="20" t="s">
        <v>2074</v>
      </c>
      <c r="B936" s="20" t="s">
        <v>2191</v>
      </c>
      <c r="C936" s="20">
        <v>0</v>
      </c>
      <c r="E936" s="20" t="s">
        <v>185</v>
      </c>
      <c r="F936" s="20" t="s">
        <v>2191</v>
      </c>
      <c r="G936" s="20">
        <v>0</v>
      </c>
      <c r="AA936" s="20" t="s">
        <v>2769</v>
      </c>
      <c r="AB936" s="20">
        <v>0</v>
      </c>
      <c r="AC936" s="20">
        <v>0</v>
      </c>
    </row>
    <row r="937" spans="1:29" x14ac:dyDescent="0.25">
      <c r="A937" s="20" t="s">
        <v>1644</v>
      </c>
      <c r="B937" s="20" t="s">
        <v>2191</v>
      </c>
      <c r="C937" s="20">
        <v>0</v>
      </c>
      <c r="E937" s="20" t="s">
        <v>666</v>
      </c>
      <c r="F937" s="20" t="s">
        <v>2191</v>
      </c>
      <c r="G937" s="20">
        <v>0</v>
      </c>
      <c r="AA937" s="20" t="s">
        <v>2770</v>
      </c>
      <c r="AB937" s="20">
        <v>0</v>
      </c>
      <c r="AC937" s="20">
        <v>0</v>
      </c>
    </row>
    <row r="938" spans="1:29" x14ac:dyDescent="0.25">
      <c r="A938" s="20" t="s">
        <v>2634</v>
      </c>
      <c r="B938" s="20" t="s">
        <v>2191</v>
      </c>
      <c r="C938" s="20">
        <v>0</v>
      </c>
      <c r="E938" s="20" t="s">
        <v>1056</v>
      </c>
      <c r="F938" s="20" t="s">
        <v>2191</v>
      </c>
      <c r="G938" s="20">
        <v>0</v>
      </c>
      <c r="AA938" s="20" t="s">
        <v>2771</v>
      </c>
      <c r="AB938" s="20">
        <v>0</v>
      </c>
      <c r="AC938" s="20">
        <v>0</v>
      </c>
    </row>
    <row r="939" spans="1:29" x14ac:dyDescent="0.25">
      <c r="A939" s="20" t="s">
        <v>268</v>
      </c>
      <c r="B939" s="20" t="s">
        <v>2191</v>
      </c>
      <c r="C939" s="20">
        <v>0</v>
      </c>
      <c r="E939" s="20" t="s">
        <v>566</v>
      </c>
      <c r="F939" s="20" t="s">
        <v>2191</v>
      </c>
      <c r="G939" s="20">
        <v>4679</v>
      </c>
      <c r="AA939" s="20" t="s">
        <v>2772</v>
      </c>
      <c r="AB939" s="20">
        <v>0</v>
      </c>
      <c r="AC939" s="20">
        <v>0</v>
      </c>
    </row>
    <row r="940" spans="1:29" x14ac:dyDescent="0.25">
      <c r="A940" s="20" t="s">
        <v>269</v>
      </c>
      <c r="B940" s="20" t="s">
        <v>2191</v>
      </c>
      <c r="C940" s="20">
        <v>0</v>
      </c>
      <c r="E940" s="20" t="s">
        <v>186</v>
      </c>
      <c r="F940" s="20" t="s">
        <v>2191</v>
      </c>
      <c r="G940" s="20">
        <v>0</v>
      </c>
      <c r="AA940" s="20" t="s">
        <v>2773</v>
      </c>
      <c r="AB940" s="20">
        <v>0</v>
      </c>
      <c r="AC940" s="20">
        <v>0</v>
      </c>
    </row>
    <row r="941" spans="1:29" x14ac:dyDescent="0.25">
      <c r="A941" s="20" t="s">
        <v>271</v>
      </c>
      <c r="B941" s="20" t="s">
        <v>2191</v>
      </c>
      <c r="C941" s="20">
        <v>0</v>
      </c>
      <c r="E941" s="20" t="s">
        <v>971</v>
      </c>
      <c r="F941" s="20" t="s">
        <v>2191</v>
      </c>
      <c r="G941" s="20">
        <v>0</v>
      </c>
      <c r="AA941" s="20" t="s">
        <v>2774</v>
      </c>
      <c r="AB941" s="20">
        <v>0</v>
      </c>
      <c r="AC941" s="20">
        <v>0</v>
      </c>
    </row>
    <row r="942" spans="1:29" x14ac:dyDescent="0.25">
      <c r="A942" s="20" t="s">
        <v>270</v>
      </c>
      <c r="B942" s="20" t="s">
        <v>2191</v>
      </c>
      <c r="C942" s="20">
        <v>110346.81</v>
      </c>
      <c r="E942" s="20" t="s">
        <v>1419</v>
      </c>
      <c r="F942" s="20" t="s">
        <v>2191</v>
      </c>
      <c r="G942" s="20">
        <v>47206.79</v>
      </c>
      <c r="AA942" s="20" t="s">
        <v>2775</v>
      </c>
      <c r="AB942" s="20">
        <v>0</v>
      </c>
      <c r="AC942" s="20">
        <v>0</v>
      </c>
    </row>
    <row r="943" spans="1:29" x14ac:dyDescent="0.25">
      <c r="A943" s="20" t="s">
        <v>1861</v>
      </c>
      <c r="B943" s="20" t="s">
        <v>2191</v>
      </c>
      <c r="C943" s="20">
        <v>0</v>
      </c>
      <c r="E943" s="20" t="s">
        <v>1057</v>
      </c>
      <c r="F943" s="20" t="s">
        <v>2191</v>
      </c>
      <c r="G943" s="20">
        <v>0</v>
      </c>
      <c r="AA943" s="20" t="s">
        <v>2776</v>
      </c>
      <c r="AB943" s="20">
        <v>0</v>
      </c>
      <c r="AC943" s="20">
        <v>0</v>
      </c>
    </row>
    <row r="944" spans="1:29" x14ac:dyDescent="0.25">
      <c r="A944" s="20" t="s">
        <v>274</v>
      </c>
      <c r="B944" s="20" t="s">
        <v>2191</v>
      </c>
      <c r="C944" s="20">
        <v>0</v>
      </c>
      <c r="E944" s="20" t="s">
        <v>1333</v>
      </c>
      <c r="F944" s="20" t="s">
        <v>2191</v>
      </c>
      <c r="G944" s="20">
        <v>0</v>
      </c>
      <c r="AA944" s="20" t="s">
        <v>2777</v>
      </c>
      <c r="AB944" s="20">
        <v>0</v>
      </c>
      <c r="AC944" s="20">
        <v>0</v>
      </c>
    </row>
    <row r="945" spans="1:29" x14ac:dyDescent="0.25">
      <c r="A945" s="20" t="s">
        <v>1645</v>
      </c>
      <c r="B945" s="20" t="s">
        <v>2191</v>
      </c>
      <c r="C945" s="20">
        <v>0</v>
      </c>
      <c r="E945" s="20" t="s">
        <v>1335</v>
      </c>
      <c r="F945" s="20" t="s">
        <v>2191</v>
      </c>
      <c r="G945" s="20">
        <v>0</v>
      </c>
      <c r="AA945" s="20" t="s">
        <v>2778</v>
      </c>
      <c r="AB945" s="20">
        <v>0</v>
      </c>
      <c r="AC945" s="20">
        <v>0</v>
      </c>
    </row>
    <row r="946" spans="1:29" x14ac:dyDescent="0.25">
      <c r="A946" s="20" t="s">
        <v>275</v>
      </c>
      <c r="B946" s="20" t="s">
        <v>2191</v>
      </c>
      <c r="C946" s="20">
        <v>0</v>
      </c>
      <c r="E946" s="20" t="s">
        <v>836</v>
      </c>
      <c r="F946" s="20" t="s">
        <v>2191</v>
      </c>
      <c r="G946" s="20">
        <v>0</v>
      </c>
      <c r="AA946" s="20" t="s">
        <v>2049</v>
      </c>
      <c r="AB946" s="20">
        <v>0</v>
      </c>
      <c r="AC946" s="20">
        <v>0</v>
      </c>
    </row>
    <row r="947" spans="1:29" x14ac:dyDescent="0.25">
      <c r="A947" s="20" t="s">
        <v>2075</v>
      </c>
      <c r="B947" s="20" t="s">
        <v>2191</v>
      </c>
      <c r="C947" s="20">
        <v>0</v>
      </c>
      <c r="E947" s="20" t="s">
        <v>789</v>
      </c>
      <c r="F947" s="20" t="s">
        <v>2191</v>
      </c>
      <c r="G947" s="20">
        <v>0</v>
      </c>
      <c r="AA947" s="20" t="s">
        <v>2779</v>
      </c>
      <c r="AB947" s="20">
        <v>0</v>
      </c>
      <c r="AC947" s="20">
        <v>0</v>
      </c>
    </row>
    <row r="948" spans="1:29" x14ac:dyDescent="0.25">
      <c r="A948" s="20" t="s">
        <v>1104</v>
      </c>
      <c r="B948" s="20" t="s">
        <v>2191</v>
      </c>
      <c r="C948" s="20">
        <v>0</v>
      </c>
      <c r="E948" s="20" t="s">
        <v>1420</v>
      </c>
      <c r="F948" s="20" t="s">
        <v>2191</v>
      </c>
      <c r="G948" s="20">
        <v>4142.5</v>
      </c>
      <c r="AA948" s="20" t="s">
        <v>2780</v>
      </c>
      <c r="AB948" s="20">
        <v>0</v>
      </c>
      <c r="AC948" s="20">
        <v>0</v>
      </c>
    </row>
    <row r="949" spans="1:29" x14ac:dyDescent="0.25">
      <c r="A949" s="20" t="s">
        <v>2077</v>
      </c>
      <c r="B949" s="20" t="s">
        <v>2191</v>
      </c>
      <c r="C949" s="20">
        <v>0</v>
      </c>
      <c r="E949" s="20" t="s">
        <v>1191</v>
      </c>
      <c r="F949" s="20" t="s">
        <v>2191</v>
      </c>
      <c r="G949" s="20">
        <v>5867</v>
      </c>
      <c r="AA949" s="20" t="s">
        <v>2781</v>
      </c>
      <c r="AB949" s="20">
        <v>0</v>
      </c>
      <c r="AC949" s="20">
        <v>0</v>
      </c>
    </row>
    <row r="950" spans="1:29" x14ac:dyDescent="0.25">
      <c r="A950" s="20" t="s">
        <v>276</v>
      </c>
      <c r="B950" s="20" t="s">
        <v>2191</v>
      </c>
      <c r="C950" s="20">
        <v>0</v>
      </c>
      <c r="E950" s="20" t="s">
        <v>1058</v>
      </c>
      <c r="F950" s="20" t="s">
        <v>2191</v>
      </c>
      <c r="G950" s="20">
        <v>0</v>
      </c>
      <c r="AA950" s="20" t="s">
        <v>2782</v>
      </c>
      <c r="AB950" s="20">
        <v>0</v>
      </c>
      <c r="AC950" s="20">
        <v>0</v>
      </c>
    </row>
    <row r="951" spans="1:29" x14ac:dyDescent="0.25">
      <c r="A951" s="20" t="s">
        <v>1106</v>
      </c>
      <c r="B951" s="20" t="s">
        <v>2191</v>
      </c>
      <c r="C951" s="20">
        <v>0</v>
      </c>
      <c r="E951" s="20" t="s">
        <v>976</v>
      </c>
      <c r="F951" s="20" t="s">
        <v>2191</v>
      </c>
      <c r="G951" s="20">
        <v>12631</v>
      </c>
      <c r="AA951" s="20" t="s">
        <v>2783</v>
      </c>
      <c r="AB951" s="20">
        <v>0</v>
      </c>
      <c r="AC951" s="20">
        <v>0</v>
      </c>
    </row>
    <row r="952" spans="1:29" x14ac:dyDescent="0.25">
      <c r="A952" s="20" t="s">
        <v>2100</v>
      </c>
      <c r="B952" s="20" t="s">
        <v>2191</v>
      </c>
      <c r="C952" s="20">
        <v>0</v>
      </c>
      <c r="E952" s="20" t="s">
        <v>1193</v>
      </c>
      <c r="F952" s="20" t="s">
        <v>2191</v>
      </c>
      <c r="G952" s="20">
        <v>0</v>
      </c>
      <c r="AA952" s="20" t="s">
        <v>1673</v>
      </c>
      <c r="AB952" s="20">
        <v>-632.72</v>
      </c>
      <c r="AC952" s="20">
        <v>0</v>
      </c>
    </row>
    <row r="953" spans="1:29" x14ac:dyDescent="0.25">
      <c r="A953" s="20" t="s">
        <v>1107</v>
      </c>
      <c r="B953" s="20" t="s">
        <v>2191</v>
      </c>
      <c r="C953" s="20">
        <v>6383</v>
      </c>
      <c r="E953" s="20" t="s">
        <v>1248</v>
      </c>
      <c r="F953" s="20" t="s">
        <v>2191</v>
      </c>
      <c r="G953" s="20">
        <v>2771.39</v>
      </c>
      <c r="AA953" s="20" t="s">
        <v>2784</v>
      </c>
      <c r="AB953" s="20">
        <v>0</v>
      </c>
      <c r="AC953" s="20">
        <v>0</v>
      </c>
    </row>
    <row r="954" spans="1:29" x14ac:dyDescent="0.25">
      <c r="A954" s="20" t="s">
        <v>2635</v>
      </c>
      <c r="B954" s="20" t="s">
        <v>2191</v>
      </c>
      <c r="C954" s="20">
        <v>0</v>
      </c>
      <c r="E954" s="20" t="s">
        <v>188</v>
      </c>
      <c r="F954" s="20" t="s">
        <v>2191</v>
      </c>
      <c r="G954" s="20">
        <v>10312</v>
      </c>
      <c r="AA954" s="20" t="s">
        <v>2785</v>
      </c>
      <c r="AB954" s="20">
        <v>0</v>
      </c>
      <c r="AC954" s="20">
        <v>0</v>
      </c>
    </row>
    <row r="955" spans="1:29" x14ac:dyDescent="0.25">
      <c r="A955" s="20" t="s">
        <v>278</v>
      </c>
      <c r="B955" s="20" t="s">
        <v>2191</v>
      </c>
      <c r="C955" s="20">
        <v>0</v>
      </c>
      <c r="E955" s="20" t="s">
        <v>191</v>
      </c>
      <c r="F955" s="20" t="s">
        <v>2191</v>
      </c>
      <c r="G955" s="20">
        <v>0</v>
      </c>
      <c r="AA955" s="20" t="s">
        <v>2786</v>
      </c>
      <c r="AB955" s="20">
        <v>0</v>
      </c>
      <c r="AC955" s="20">
        <v>0</v>
      </c>
    </row>
    <row r="956" spans="1:29" x14ac:dyDescent="0.25">
      <c r="A956" s="20" t="s">
        <v>1109</v>
      </c>
      <c r="B956" s="20" t="s">
        <v>2191</v>
      </c>
      <c r="C956" s="20">
        <v>0</v>
      </c>
      <c r="E956" s="20" t="s">
        <v>667</v>
      </c>
      <c r="F956" s="20" t="s">
        <v>2191</v>
      </c>
      <c r="G956" s="20">
        <v>0</v>
      </c>
      <c r="AA956" s="20" t="s">
        <v>1674</v>
      </c>
      <c r="AB956" s="20">
        <v>-4037.7</v>
      </c>
      <c r="AC956" s="20">
        <v>0</v>
      </c>
    </row>
    <row r="957" spans="1:29" x14ac:dyDescent="0.25">
      <c r="A957" s="20" t="s">
        <v>280</v>
      </c>
      <c r="B957" s="20" t="s">
        <v>2191</v>
      </c>
      <c r="C957" s="20">
        <v>6109</v>
      </c>
      <c r="E957" s="20" t="s">
        <v>193</v>
      </c>
      <c r="F957" s="20" t="s">
        <v>2191</v>
      </c>
      <c r="G957" s="20">
        <v>0</v>
      </c>
      <c r="AA957" s="20" t="s">
        <v>2788</v>
      </c>
      <c r="AB957" s="20">
        <v>0</v>
      </c>
      <c r="AC957" s="20">
        <v>0</v>
      </c>
    </row>
    <row r="958" spans="1:29" x14ac:dyDescent="0.25">
      <c r="A958" s="20" t="s">
        <v>282</v>
      </c>
      <c r="B958" s="20" t="s">
        <v>2191</v>
      </c>
      <c r="C958" s="20">
        <v>5901.38</v>
      </c>
      <c r="E958" s="20" t="s">
        <v>570</v>
      </c>
      <c r="F958" s="20" t="s">
        <v>2191</v>
      </c>
      <c r="G958" s="20">
        <v>0</v>
      </c>
      <c r="AA958" s="20" t="s">
        <v>2790</v>
      </c>
      <c r="AB958" s="20">
        <v>0</v>
      </c>
      <c r="AC958" s="20">
        <v>0</v>
      </c>
    </row>
    <row r="959" spans="1:29" x14ac:dyDescent="0.25">
      <c r="A959" s="20" t="s">
        <v>2101</v>
      </c>
      <c r="B959" s="20" t="s">
        <v>2191</v>
      </c>
      <c r="C959" s="20">
        <v>0</v>
      </c>
      <c r="E959" s="20" t="s">
        <v>194</v>
      </c>
      <c r="F959" s="20" t="s">
        <v>2191</v>
      </c>
      <c r="G959" s="20">
        <v>56179.5</v>
      </c>
      <c r="AA959" s="20" t="s">
        <v>2791</v>
      </c>
      <c r="AB959" s="20">
        <v>0</v>
      </c>
      <c r="AC959" s="20">
        <v>0</v>
      </c>
    </row>
    <row r="960" spans="1:29" x14ac:dyDescent="0.25">
      <c r="A960" s="20" t="s">
        <v>241</v>
      </c>
      <c r="B960" s="20" t="s">
        <v>2191</v>
      </c>
      <c r="C960" s="20">
        <v>22869</v>
      </c>
      <c r="E960" s="20" t="s">
        <v>571</v>
      </c>
      <c r="F960" s="20" t="s">
        <v>2191</v>
      </c>
      <c r="G960" s="20">
        <v>0</v>
      </c>
      <c r="AA960" s="20" t="s">
        <v>2792</v>
      </c>
      <c r="AB960" s="20">
        <v>0</v>
      </c>
      <c r="AC960" s="20">
        <v>0</v>
      </c>
    </row>
    <row r="961" spans="1:29" x14ac:dyDescent="0.25">
      <c r="A961" s="20" t="s">
        <v>2076</v>
      </c>
      <c r="B961" s="20" t="s">
        <v>2191</v>
      </c>
      <c r="C961" s="20">
        <v>0</v>
      </c>
      <c r="E961" s="20" t="s">
        <v>977</v>
      </c>
      <c r="F961" s="20" t="s">
        <v>2191</v>
      </c>
      <c r="G961" s="20">
        <v>0</v>
      </c>
      <c r="AA961" s="20" t="s">
        <v>2793</v>
      </c>
      <c r="AB961" s="20">
        <v>0</v>
      </c>
      <c r="AC961" s="20">
        <v>0</v>
      </c>
    </row>
    <row r="962" spans="1:29" x14ac:dyDescent="0.25">
      <c r="A962" s="20" t="s">
        <v>252</v>
      </c>
      <c r="B962" s="20" t="s">
        <v>2191</v>
      </c>
      <c r="C962" s="20">
        <v>49096.66</v>
      </c>
      <c r="E962" s="20" t="s">
        <v>1424</v>
      </c>
      <c r="F962" s="20" t="s">
        <v>2191</v>
      </c>
      <c r="G962" s="20">
        <v>0</v>
      </c>
      <c r="AA962" s="20" t="s">
        <v>2794</v>
      </c>
      <c r="AB962" s="20">
        <v>0</v>
      </c>
      <c r="AC962" s="20">
        <v>0</v>
      </c>
    </row>
    <row r="963" spans="1:29" x14ac:dyDescent="0.25">
      <c r="A963" s="20" t="s">
        <v>285</v>
      </c>
      <c r="B963" s="20" t="s">
        <v>2191</v>
      </c>
      <c r="C963" s="20">
        <v>0</v>
      </c>
      <c r="E963" s="20" t="s">
        <v>1343</v>
      </c>
      <c r="F963" s="20" t="s">
        <v>2191</v>
      </c>
      <c r="G963" s="20">
        <v>9196.8700000000008</v>
      </c>
      <c r="AA963" s="20" t="s">
        <v>2795</v>
      </c>
      <c r="AB963" s="20">
        <v>0</v>
      </c>
      <c r="AC963" s="20">
        <v>0</v>
      </c>
    </row>
    <row r="964" spans="1:29" x14ac:dyDescent="0.25">
      <c r="A964" s="20" t="s">
        <v>1646</v>
      </c>
      <c r="B964" s="20" t="s">
        <v>2191</v>
      </c>
      <c r="C964" s="20">
        <v>0</v>
      </c>
      <c r="E964" s="20" t="s">
        <v>751</v>
      </c>
      <c r="F964" s="20" t="s">
        <v>2191</v>
      </c>
      <c r="G964" s="20">
        <v>0</v>
      </c>
      <c r="AA964" s="20" t="s">
        <v>2796</v>
      </c>
      <c r="AB964" s="20">
        <v>0</v>
      </c>
      <c r="AC964" s="20">
        <v>0</v>
      </c>
    </row>
    <row r="965" spans="1:29" x14ac:dyDescent="0.25">
      <c r="A965" s="20" t="s">
        <v>1647</v>
      </c>
      <c r="B965" s="20" t="s">
        <v>2191</v>
      </c>
      <c r="C965" s="20">
        <v>0</v>
      </c>
      <c r="E965" s="20" t="s">
        <v>1396</v>
      </c>
      <c r="F965" s="20" t="s">
        <v>2191</v>
      </c>
      <c r="G965" s="20">
        <v>156.52000000000001</v>
      </c>
      <c r="AA965" s="20" t="s">
        <v>2797</v>
      </c>
      <c r="AB965" s="20">
        <v>0</v>
      </c>
      <c r="AC965" s="20">
        <v>0</v>
      </c>
    </row>
    <row r="966" spans="1:29" x14ac:dyDescent="0.25">
      <c r="A966" s="20" t="s">
        <v>287</v>
      </c>
      <c r="B966" s="20" t="s">
        <v>2191</v>
      </c>
      <c r="C966" s="20">
        <v>-40.07</v>
      </c>
      <c r="E966" s="20" t="s">
        <v>1507</v>
      </c>
      <c r="F966" s="20" t="s">
        <v>2191</v>
      </c>
      <c r="G966" s="20">
        <v>0</v>
      </c>
      <c r="AA966" s="20" t="s">
        <v>1675</v>
      </c>
      <c r="AB966" s="20">
        <v>-492.35</v>
      </c>
      <c r="AC966" s="20">
        <v>0</v>
      </c>
    </row>
    <row r="967" spans="1:29" x14ac:dyDescent="0.25">
      <c r="A967" s="20" t="s">
        <v>2636</v>
      </c>
      <c r="B967" s="20" t="s">
        <v>2191</v>
      </c>
      <c r="C967" s="20">
        <v>0</v>
      </c>
      <c r="E967" s="20" t="s">
        <v>573</v>
      </c>
      <c r="F967" s="20" t="s">
        <v>2191</v>
      </c>
      <c r="G967" s="20">
        <v>0</v>
      </c>
      <c r="AA967" s="20" t="s">
        <v>2798</v>
      </c>
      <c r="AB967" s="20">
        <v>0</v>
      </c>
      <c r="AC967" s="20">
        <v>0</v>
      </c>
    </row>
    <row r="968" spans="1:29" x14ac:dyDescent="0.25">
      <c r="A968" s="20" t="s">
        <v>289</v>
      </c>
      <c r="B968" s="20" t="s">
        <v>2191</v>
      </c>
      <c r="C968" s="20">
        <v>23651</v>
      </c>
      <c r="E968" s="20" t="s">
        <v>327</v>
      </c>
      <c r="F968" s="20" t="s">
        <v>2191</v>
      </c>
      <c r="G968" s="20">
        <v>71010.2</v>
      </c>
      <c r="AA968" s="20" t="s">
        <v>2799</v>
      </c>
      <c r="AB968" s="20">
        <v>-582.89</v>
      </c>
      <c r="AC968" s="20">
        <v>0</v>
      </c>
    </row>
    <row r="969" spans="1:29" x14ac:dyDescent="0.25">
      <c r="A969" s="20" t="s">
        <v>1113</v>
      </c>
      <c r="B969" s="20" t="s">
        <v>2191</v>
      </c>
      <c r="C969" s="20">
        <v>3021</v>
      </c>
      <c r="E969" s="20" t="s">
        <v>500</v>
      </c>
      <c r="F969" s="20" t="s">
        <v>2191</v>
      </c>
      <c r="G969" s="20">
        <v>5514.27</v>
      </c>
      <c r="AA969" s="20" t="s">
        <v>2800</v>
      </c>
      <c r="AB969" s="20">
        <v>0</v>
      </c>
      <c r="AC969" s="20">
        <v>0</v>
      </c>
    </row>
    <row r="970" spans="1:29" x14ac:dyDescent="0.25">
      <c r="A970" s="20" t="s">
        <v>291</v>
      </c>
      <c r="B970" s="20" t="s">
        <v>2191</v>
      </c>
      <c r="C970" s="20">
        <v>17415</v>
      </c>
      <c r="E970" s="20" t="s">
        <v>196</v>
      </c>
      <c r="F970" s="20" t="s">
        <v>2191</v>
      </c>
      <c r="G970" s="20">
        <v>17675</v>
      </c>
      <c r="AA970" s="20" t="s">
        <v>2801</v>
      </c>
      <c r="AB970" s="20">
        <v>0</v>
      </c>
      <c r="AC970" s="20">
        <v>0</v>
      </c>
    </row>
    <row r="971" spans="1:29" x14ac:dyDescent="0.25">
      <c r="A971" s="20" t="s">
        <v>1115</v>
      </c>
      <c r="B971" s="20" t="s">
        <v>2191</v>
      </c>
      <c r="C971" s="20">
        <v>16197</v>
      </c>
      <c r="E971" s="20" t="s">
        <v>1195</v>
      </c>
      <c r="F971" s="20" t="s">
        <v>2191</v>
      </c>
      <c r="G971" s="20">
        <v>0</v>
      </c>
      <c r="AA971" s="20" t="s">
        <v>2802</v>
      </c>
      <c r="AB971" s="20">
        <v>0</v>
      </c>
      <c r="AC971" s="20">
        <v>0</v>
      </c>
    </row>
    <row r="972" spans="1:29" x14ac:dyDescent="0.25">
      <c r="A972" s="20" t="s">
        <v>1211</v>
      </c>
      <c r="B972" s="20" t="s">
        <v>2191</v>
      </c>
      <c r="C972" s="20">
        <v>8726.58</v>
      </c>
      <c r="E972" s="20" t="s">
        <v>198</v>
      </c>
      <c r="F972" s="20" t="s">
        <v>2191</v>
      </c>
      <c r="G972" s="20">
        <v>31635.4</v>
      </c>
      <c r="AA972" s="20" t="s">
        <v>1515</v>
      </c>
      <c r="AB972" s="20">
        <v>-10.56</v>
      </c>
      <c r="AC972" s="20">
        <v>0</v>
      </c>
    </row>
    <row r="973" spans="1:29" x14ac:dyDescent="0.25">
      <c r="A973" s="20" t="s">
        <v>1213</v>
      </c>
      <c r="B973" s="20" t="s">
        <v>2191</v>
      </c>
      <c r="C973" s="20">
        <v>0</v>
      </c>
      <c r="E973" s="20" t="s">
        <v>1540</v>
      </c>
      <c r="F973" s="20" t="s">
        <v>2191</v>
      </c>
      <c r="G973" s="20">
        <v>0</v>
      </c>
      <c r="AA973" s="20" t="s">
        <v>1516</v>
      </c>
      <c r="AB973" s="20">
        <v>-13099.44</v>
      </c>
      <c r="AC973" s="20">
        <v>48389.59</v>
      </c>
    </row>
    <row r="974" spans="1:29" x14ac:dyDescent="0.25">
      <c r="A974" s="20" t="s">
        <v>1117</v>
      </c>
      <c r="B974" s="20" t="s">
        <v>2191</v>
      </c>
      <c r="C974" s="20">
        <v>-1003.17</v>
      </c>
      <c r="E974" s="20" t="s">
        <v>839</v>
      </c>
      <c r="F974" s="20" t="s">
        <v>2191</v>
      </c>
      <c r="G974" s="20">
        <v>4187.5200000000004</v>
      </c>
      <c r="AA974" s="20" t="s">
        <v>2803</v>
      </c>
      <c r="AB974" s="20">
        <v>0</v>
      </c>
      <c r="AC974" s="20">
        <v>0</v>
      </c>
    </row>
    <row r="975" spans="1:29" x14ac:dyDescent="0.25">
      <c r="A975" s="20" t="s">
        <v>1119</v>
      </c>
      <c r="B975" s="20" t="s">
        <v>2191</v>
      </c>
      <c r="C975" s="20">
        <v>0</v>
      </c>
      <c r="E975" s="20" t="s">
        <v>574</v>
      </c>
      <c r="F975" s="20" t="s">
        <v>2191</v>
      </c>
      <c r="G975" s="20">
        <v>0</v>
      </c>
      <c r="AA975" s="20" t="s">
        <v>1676</v>
      </c>
      <c r="AB975" s="20">
        <v>-720.15</v>
      </c>
      <c r="AC975" s="20">
        <v>0</v>
      </c>
    </row>
    <row r="976" spans="1:29" x14ac:dyDescent="0.25">
      <c r="A976" s="20" t="s">
        <v>1215</v>
      </c>
      <c r="B976" s="20" t="s">
        <v>2191</v>
      </c>
      <c r="C976" s="20">
        <v>1406</v>
      </c>
      <c r="E976" s="20" t="s">
        <v>1510</v>
      </c>
      <c r="F976" s="20" t="s">
        <v>2191</v>
      </c>
      <c r="G976" s="20">
        <v>41887.25</v>
      </c>
      <c r="AA976" s="20" t="s">
        <v>2804</v>
      </c>
      <c r="AB976" s="20">
        <v>0</v>
      </c>
      <c r="AC976" s="20">
        <v>0</v>
      </c>
    </row>
    <row r="977" spans="1:29" x14ac:dyDescent="0.25">
      <c r="A977" s="20" t="s">
        <v>2103</v>
      </c>
      <c r="B977" s="20" t="s">
        <v>2191</v>
      </c>
      <c r="C977" s="20">
        <v>0</v>
      </c>
      <c r="E977" s="20" t="s">
        <v>796</v>
      </c>
      <c r="F977" s="20" t="s">
        <v>2191</v>
      </c>
      <c r="G977" s="20">
        <v>0</v>
      </c>
      <c r="AA977" s="20" t="s">
        <v>2805</v>
      </c>
      <c r="AB977" s="20">
        <v>0</v>
      </c>
      <c r="AC977" s="20">
        <v>0</v>
      </c>
    </row>
    <row r="978" spans="1:29" x14ac:dyDescent="0.25">
      <c r="A978" s="20" t="s">
        <v>2104</v>
      </c>
      <c r="B978" s="20" t="s">
        <v>2191</v>
      </c>
      <c r="C978" s="20">
        <v>0</v>
      </c>
      <c r="E978" s="20" t="s">
        <v>200</v>
      </c>
      <c r="F978" s="20" t="s">
        <v>2191</v>
      </c>
      <c r="G978" s="20">
        <v>0</v>
      </c>
      <c r="AA978" s="20" t="s">
        <v>2806</v>
      </c>
      <c r="AB978" s="20">
        <v>0</v>
      </c>
      <c r="AC978" s="20">
        <v>0</v>
      </c>
    </row>
    <row r="979" spans="1:29" x14ac:dyDescent="0.25">
      <c r="A979" s="20" t="s">
        <v>2078</v>
      </c>
      <c r="B979" s="20" t="s">
        <v>2191</v>
      </c>
      <c r="C979" s="20">
        <v>0</v>
      </c>
      <c r="E979" s="20" t="s">
        <v>224</v>
      </c>
      <c r="F979" s="20" t="s">
        <v>2191</v>
      </c>
      <c r="G979" s="20">
        <v>0</v>
      </c>
      <c r="AA979" s="20" t="s">
        <v>2807</v>
      </c>
      <c r="AB979" s="20">
        <v>0</v>
      </c>
      <c r="AC979" s="20">
        <v>0</v>
      </c>
    </row>
    <row r="980" spans="1:29" x14ac:dyDescent="0.25">
      <c r="A980" s="20" t="s">
        <v>1217</v>
      </c>
      <c r="B980" s="20" t="s">
        <v>2191</v>
      </c>
      <c r="C980" s="20">
        <v>4913</v>
      </c>
      <c r="E980" s="20" t="s">
        <v>3096</v>
      </c>
      <c r="F980" s="20" t="s">
        <v>2191</v>
      </c>
      <c r="G980" s="20">
        <v>0</v>
      </c>
      <c r="AA980" s="20" t="s">
        <v>2808</v>
      </c>
      <c r="AB980" s="20">
        <v>0</v>
      </c>
      <c r="AC980" s="20">
        <v>0</v>
      </c>
    </row>
    <row r="981" spans="1:29" x14ac:dyDescent="0.25">
      <c r="A981" s="20" t="s">
        <v>2079</v>
      </c>
      <c r="B981" s="20" t="s">
        <v>2191</v>
      </c>
      <c r="C981" s="20">
        <v>0</v>
      </c>
      <c r="E981" s="20" t="s">
        <v>204</v>
      </c>
      <c r="F981" s="20" t="s">
        <v>2191</v>
      </c>
      <c r="G981" s="20">
        <v>0</v>
      </c>
      <c r="AA981" s="20" t="s">
        <v>2809</v>
      </c>
      <c r="AB981" s="20">
        <v>0</v>
      </c>
      <c r="AC981" s="20">
        <v>0</v>
      </c>
    </row>
    <row r="982" spans="1:29" x14ac:dyDescent="0.25">
      <c r="A982" s="20" t="s">
        <v>433</v>
      </c>
      <c r="B982" s="20" t="s">
        <v>2191</v>
      </c>
      <c r="C982" s="20">
        <v>0</v>
      </c>
      <c r="E982" s="20" t="s">
        <v>841</v>
      </c>
      <c r="F982" s="20" t="s">
        <v>2191</v>
      </c>
      <c r="G982" s="20">
        <v>0</v>
      </c>
      <c r="AA982" s="20" t="s">
        <v>1972</v>
      </c>
      <c r="AB982" s="20">
        <v>0</v>
      </c>
      <c r="AC982" s="20">
        <v>0</v>
      </c>
    </row>
    <row r="983" spans="1:29" x14ac:dyDescent="0.25">
      <c r="A983" s="20" t="s">
        <v>1880</v>
      </c>
      <c r="B983" s="20" t="s">
        <v>2191</v>
      </c>
      <c r="C983" s="20">
        <v>0</v>
      </c>
      <c r="E983" s="20" t="s">
        <v>442</v>
      </c>
      <c r="F983" s="20" t="s">
        <v>2191</v>
      </c>
      <c r="G983" s="20">
        <v>0</v>
      </c>
      <c r="AA983" s="20" t="s">
        <v>2810</v>
      </c>
      <c r="AB983" s="20">
        <v>0</v>
      </c>
      <c r="AC983" s="20">
        <v>0</v>
      </c>
    </row>
    <row r="984" spans="1:29" x14ac:dyDescent="0.25">
      <c r="A984" s="20" t="s">
        <v>2637</v>
      </c>
      <c r="B984" s="20" t="s">
        <v>2191</v>
      </c>
      <c r="C984" s="20">
        <v>0</v>
      </c>
      <c r="E984" s="20" t="s">
        <v>205</v>
      </c>
      <c r="F984" s="20" t="s">
        <v>2191</v>
      </c>
      <c r="G984" s="20">
        <v>12329</v>
      </c>
      <c r="AA984" s="20" t="s">
        <v>1678</v>
      </c>
      <c r="AB984" s="20">
        <v>-652</v>
      </c>
      <c r="AC984" s="20">
        <v>0</v>
      </c>
    </row>
    <row r="985" spans="1:29" x14ac:dyDescent="0.25">
      <c r="A985" s="20" t="s">
        <v>1648</v>
      </c>
      <c r="B985" s="20" t="s">
        <v>2191</v>
      </c>
      <c r="C985" s="20">
        <v>0</v>
      </c>
      <c r="E985" s="20" t="s">
        <v>1541</v>
      </c>
      <c r="F985" s="20" t="s">
        <v>2191</v>
      </c>
      <c r="G985" s="20">
        <v>0</v>
      </c>
      <c r="AA985" s="20" t="s">
        <v>2811</v>
      </c>
      <c r="AB985" s="20">
        <v>0</v>
      </c>
      <c r="AC985" s="20">
        <v>-201.21</v>
      </c>
    </row>
    <row r="986" spans="1:29" x14ac:dyDescent="0.25">
      <c r="A986" s="20" t="s">
        <v>435</v>
      </c>
      <c r="B986" s="20" t="s">
        <v>2191</v>
      </c>
      <c r="C986" s="20">
        <v>33469.25</v>
      </c>
      <c r="E986" s="20" t="s">
        <v>207</v>
      </c>
      <c r="F986" s="20" t="s">
        <v>2191</v>
      </c>
      <c r="G986" s="20">
        <v>0</v>
      </c>
      <c r="AA986" s="20" t="s">
        <v>1376</v>
      </c>
      <c r="AB986" s="20">
        <v>-3527.04</v>
      </c>
      <c r="AC986" s="20">
        <v>27301.65</v>
      </c>
    </row>
    <row r="987" spans="1:29" x14ac:dyDescent="0.25">
      <c r="A987" s="20" t="s">
        <v>437</v>
      </c>
      <c r="B987" s="20" t="s">
        <v>2191</v>
      </c>
      <c r="C987" s="20">
        <v>0</v>
      </c>
      <c r="E987" s="20" t="s">
        <v>842</v>
      </c>
      <c r="F987" s="20" t="s">
        <v>2191</v>
      </c>
      <c r="G987" s="20">
        <v>0</v>
      </c>
      <c r="AA987" s="20" t="s">
        <v>1973</v>
      </c>
      <c r="AB987" s="20">
        <v>0</v>
      </c>
      <c r="AC987" s="20">
        <v>0</v>
      </c>
    </row>
    <row r="988" spans="1:29" x14ac:dyDescent="0.25">
      <c r="A988" s="20" t="s">
        <v>1862</v>
      </c>
      <c r="B988" s="20" t="s">
        <v>2191</v>
      </c>
      <c r="C988" s="20">
        <v>0</v>
      </c>
      <c r="E988" s="20" t="s">
        <v>980</v>
      </c>
      <c r="F988" s="20" t="s">
        <v>2191</v>
      </c>
      <c r="G988" s="20">
        <v>1512</v>
      </c>
      <c r="AA988" s="20" t="s">
        <v>2812</v>
      </c>
      <c r="AB988" s="20">
        <v>0</v>
      </c>
      <c r="AC988" s="20">
        <v>0</v>
      </c>
    </row>
    <row r="989" spans="1:29" x14ac:dyDescent="0.25">
      <c r="A989" s="20" t="s">
        <v>2638</v>
      </c>
      <c r="B989" s="20" t="s">
        <v>2191</v>
      </c>
      <c r="C989" s="20">
        <v>0</v>
      </c>
      <c r="E989" s="20" t="s">
        <v>1542</v>
      </c>
      <c r="F989" s="20" t="s">
        <v>2191</v>
      </c>
      <c r="G989" s="20">
        <v>0</v>
      </c>
      <c r="AA989" s="20" t="s">
        <v>2105</v>
      </c>
      <c r="AB989" s="20">
        <v>0</v>
      </c>
      <c r="AC989" s="20">
        <v>0</v>
      </c>
    </row>
    <row r="990" spans="1:29" x14ac:dyDescent="0.25">
      <c r="A990" s="20" t="s">
        <v>2639</v>
      </c>
      <c r="B990" s="20" t="s">
        <v>2191</v>
      </c>
      <c r="C990" s="20">
        <v>0</v>
      </c>
      <c r="E990" s="20" t="s">
        <v>981</v>
      </c>
      <c r="F990" s="20" t="s">
        <v>2191</v>
      </c>
      <c r="G990" s="20">
        <v>0</v>
      </c>
      <c r="AA990" s="20" t="s">
        <v>2814</v>
      </c>
      <c r="AB990" s="20">
        <v>0</v>
      </c>
      <c r="AC990" s="20">
        <v>0</v>
      </c>
    </row>
    <row r="991" spans="1:29" x14ac:dyDescent="0.25">
      <c r="A991" s="20" t="s">
        <v>439</v>
      </c>
      <c r="B991" s="20" t="s">
        <v>2191</v>
      </c>
      <c r="C991" s="20">
        <v>18307</v>
      </c>
      <c r="E991" s="20" t="s">
        <v>1249</v>
      </c>
      <c r="F991" s="20" t="s">
        <v>2191</v>
      </c>
      <c r="G991" s="20">
        <v>788.25</v>
      </c>
      <c r="AA991" s="20" t="s">
        <v>1120</v>
      </c>
      <c r="AB991" s="20">
        <v>9833.4599999999991</v>
      </c>
      <c r="AC991" s="20">
        <v>148919.93</v>
      </c>
    </row>
    <row r="992" spans="1:29" x14ac:dyDescent="0.25">
      <c r="A992" s="20" t="s">
        <v>441</v>
      </c>
      <c r="B992" s="20" t="s">
        <v>2191</v>
      </c>
      <c r="C992" s="20">
        <v>0</v>
      </c>
      <c r="E992" s="20" t="s">
        <v>577</v>
      </c>
      <c r="F992" s="20" t="s">
        <v>2191</v>
      </c>
      <c r="G992" s="20">
        <v>0</v>
      </c>
      <c r="AA992" s="20" t="s">
        <v>914</v>
      </c>
      <c r="AB992" s="20">
        <v>10267.26</v>
      </c>
      <c r="AC992" s="20">
        <v>127913.56</v>
      </c>
    </row>
    <row r="993" spans="1:29" x14ac:dyDescent="0.25">
      <c r="A993" s="20" t="s">
        <v>2133</v>
      </c>
      <c r="B993" s="20" t="s">
        <v>2191</v>
      </c>
      <c r="C993" s="20">
        <v>0</v>
      </c>
      <c r="E993" s="20" t="s">
        <v>1250</v>
      </c>
      <c r="F993" s="20" t="s">
        <v>2191</v>
      </c>
      <c r="G993" s="20">
        <v>0</v>
      </c>
      <c r="AA993" s="20" t="s">
        <v>2815</v>
      </c>
      <c r="AB993" s="20">
        <v>0</v>
      </c>
      <c r="AC993" s="20">
        <v>0</v>
      </c>
    </row>
    <row r="994" spans="1:29" x14ac:dyDescent="0.25">
      <c r="A994" s="20" t="s">
        <v>443</v>
      </c>
      <c r="B994" s="20" t="s">
        <v>2191</v>
      </c>
      <c r="C994" s="20">
        <v>22740.45</v>
      </c>
      <c r="E994" s="20" t="s">
        <v>1428</v>
      </c>
      <c r="F994" s="20" t="s">
        <v>2191</v>
      </c>
      <c r="G994" s="20">
        <v>19779</v>
      </c>
      <c r="AA994" s="20" t="s">
        <v>2106</v>
      </c>
      <c r="AB994" s="20">
        <v>0</v>
      </c>
      <c r="AC994" s="20">
        <v>0</v>
      </c>
    </row>
    <row r="995" spans="1:29" x14ac:dyDescent="0.25">
      <c r="A995" s="20" t="s">
        <v>445</v>
      </c>
      <c r="B995" s="20" t="s">
        <v>2191</v>
      </c>
      <c r="C995" s="20">
        <v>54065.65</v>
      </c>
      <c r="E995" s="20" t="s">
        <v>578</v>
      </c>
      <c r="F995" s="20" t="s">
        <v>2191</v>
      </c>
      <c r="G995" s="20">
        <v>0</v>
      </c>
      <c r="AA995" s="20" t="s">
        <v>2012</v>
      </c>
      <c r="AB995" s="20">
        <v>0</v>
      </c>
      <c r="AC995" s="20">
        <v>0</v>
      </c>
    </row>
    <row r="996" spans="1:29" x14ac:dyDescent="0.25">
      <c r="A996" s="20" t="s">
        <v>434</v>
      </c>
      <c r="B996" s="20" t="s">
        <v>2191</v>
      </c>
      <c r="C996" s="20">
        <v>0</v>
      </c>
      <c r="E996" s="20" t="s">
        <v>799</v>
      </c>
      <c r="F996" s="20" t="s">
        <v>2191</v>
      </c>
      <c r="G996" s="20">
        <v>6980</v>
      </c>
      <c r="AA996" s="20" t="s">
        <v>2107</v>
      </c>
      <c r="AB996" s="20">
        <v>0</v>
      </c>
      <c r="AC996" s="20">
        <v>0</v>
      </c>
    </row>
    <row r="997" spans="1:29" x14ac:dyDescent="0.25">
      <c r="A997" s="20" t="s">
        <v>446</v>
      </c>
      <c r="B997" s="20" t="s">
        <v>2191</v>
      </c>
      <c r="C997" s="20">
        <v>0</v>
      </c>
      <c r="E997" s="20" t="s">
        <v>1061</v>
      </c>
      <c r="F997" s="20" t="s">
        <v>2191</v>
      </c>
      <c r="G997" s="20">
        <v>0</v>
      </c>
      <c r="AA997" s="20" t="s">
        <v>2050</v>
      </c>
      <c r="AB997" s="20">
        <v>0</v>
      </c>
      <c r="AC997" s="20">
        <v>0</v>
      </c>
    </row>
    <row r="998" spans="1:29" x14ac:dyDescent="0.25">
      <c r="A998" s="20" t="s">
        <v>447</v>
      </c>
      <c r="B998" s="20" t="s">
        <v>2191</v>
      </c>
      <c r="C998" s="20">
        <v>0</v>
      </c>
      <c r="E998" s="20" t="s">
        <v>384</v>
      </c>
      <c r="F998" s="20" t="s">
        <v>2191</v>
      </c>
      <c r="G998" s="20">
        <v>0</v>
      </c>
      <c r="AA998" s="20" t="s">
        <v>2816</v>
      </c>
      <c r="AB998" s="20">
        <v>0</v>
      </c>
      <c r="AC998" s="20">
        <v>0</v>
      </c>
    </row>
    <row r="999" spans="1:29" x14ac:dyDescent="0.25">
      <c r="A999" s="20" t="s">
        <v>1881</v>
      </c>
      <c r="B999" s="20" t="s">
        <v>2191</v>
      </c>
      <c r="C999" s="20">
        <v>0</v>
      </c>
      <c r="E999" s="20" t="s">
        <v>801</v>
      </c>
      <c r="F999" s="20" t="s">
        <v>2191</v>
      </c>
      <c r="G999" s="20">
        <v>0</v>
      </c>
      <c r="AA999" s="20" t="s">
        <v>1679</v>
      </c>
      <c r="AB999" s="20">
        <v>-10261.799999999999</v>
      </c>
      <c r="AC999" s="20">
        <v>0</v>
      </c>
    </row>
    <row r="1000" spans="1:29" x14ac:dyDescent="0.25">
      <c r="A1000" s="20" t="s">
        <v>1649</v>
      </c>
      <c r="B1000" s="20" t="s">
        <v>2191</v>
      </c>
      <c r="C1000" s="20">
        <v>0</v>
      </c>
      <c r="E1000" s="20" t="s">
        <v>582</v>
      </c>
      <c r="F1000" s="20" t="s">
        <v>2191</v>
      </c>
      <c r="G1000" s="20">
        <v>0</v>
      </c>
      <c r="AA1000" s="20" t="s">
        <v>2817</v>
      </c>
      <c r="AB1000" s="20">
        <v>0</v>
      </c>
      <c r="AC1000" s="20">
        <v>0</v>
      </c>
    </row>
    <row r="1001" spans="1:29" x14ac:dyDescent="0.25">
      <c r="A1001" s="20" t="s">
        <v>449</v>
      </c>
      <c r="B1001" s="20" t="s">
        <v>2191</v>
      </c>
      <c r="C1001" s="20">
        <v>0</v>
      </c>
      <c r="E1001" s="20" t="s">
        <v>100</v>
      </c>
      <c r="F1001" s="20" t="s">
        <v>2191</v>
      </c>
      <c r="G1001" s="20">
        <v>0</v>
      </c>
      <c r="AA1001" s="20" t="s">
        <v>2818</v>
      </c>
      <c r="AB1001" s="20">
        <v>0</v>
      </c>
      <c r="AC1001" s="20">
        <v>0</v>
      </c>
    </row>
    <row r="1002" spans="1:29" x14ac:dyDescent="0.25">
      <c r="A1002" s="20" t="s">
        <v>450</v>
      </c>
      <c r="B1002" s="20" t="s">
        <v>2191</v>
      </c>
      <c r="C1002" s="20">
        <v>0</v>
      </c>
      <c r="E1002" s="20" t="s">
        <v>385</v>
      </c>
      <c r="F1002" s="20" t="s">
        <v>2191</v>
      </c>
      <c r="G1002" s="20">
        <v>2612</v>
      </c>
      <c r="AA1002" s="20" t="s">
        <v>1680</v>
      </c>
      <c r="AB1002" s="20">
        <v>-4823.3900000000003</v>
      </c>
      <c r="AC1002" s="20">
        <v>2249.06</v>
      </c>
    </row>
    <row r="1003" spans="1:29" x14ac:dyDescent="0.25">
      <c r="A1003" s="20" t="s">
        <v>245</v>
      </c>
      <c r="B1003" s="20" t="s">
        <v>2191</v>
      </c>
      <c r="C1003" s="20">
        <v>12972</v>
      </c>
      <c r="E1003" s="20" t="s">
        <v>210</v>
      </c>
      <c r="F1003" s="20" t="s">
        <v>2191</v>
      </c>
      <c r="G1003" s="20">
        <v>0</v>
      </c>
      <c r="AA1003" s="20" t="s">
        <v>2819</v>
      </c>
      <c r="AB1003" s="20">
        <v>-2525.33</v>
      </c>
      <c r="AC1003" s="20">
        <v>7103.22</v>
      </c>
    </row>
    <row r="1004" spans="1:29" x14ac:dyDescent="0.25">
      <c r="A1004" s="20" t="s">
        <v>452</v>
      </c>
      <c r="B1004" s="20" t="s">
        <v>2191</v>
      </c>
      <c r="C1004" s="20">
        <v>0</v>
      </c>
      <c r="E1004" s="20" t="s">
        <v>213</v>
      </c>
      <c r="F1004" s="20" t="s">
        <v>2191</v>
      </c>
      <c r="G1004" s="20">
        <v>7677</v>
      </c>
      <c r="AA1004" s="20" t="s">
        <v>1681</v>
      </c>
      <c r="AB1004" s="20">
        <v>-6369.04</v>
      </c>
      <c r="AC1004" s="20">
        <v>10870.29</v>
      </c>
    </row>
    <row r="1005" spans="1:29" x14ac:dyDescent="0.25">
      <c r="A1005" s="20" t="s">
        <v>454</v>
      </c>
      <c r="B1005" s="20" t="s">
        <v>2191</v>
      </c>
      <c r="C1005" s="20">
        <v>0</v>
      </c>
      <c r="E1005" s="20" t="s">
        <v>671</v>
      </c>
      <c r="F1005" s="20" t="s">
        <v>2191</v>
      </c>
      <c r="G1005" s="20">
        <v>3020.6</v>
      </c>
      <c r="AA1005" s="20" t="s">
        <v>1377</v>
      </c>
      <c r="AB1005" s="20">
        <v>39939.78</v>
      </c>
      <c r="AC1005" s="20">
        <v>405227.22</v>
      </c>
    </row>
    <row r="1006" spans="1:29" x14ac:dyDescent="0.25">
      <c r="A1006" s="20" t="s">
        <v>1882</v>
      </c>
      <c r="B1006" s="20" t="s">
        <v>2191</v>
      </c>
      <c r="C1006" s="20">
        <v>0</v>
      </c>
      <c r="E1006" s="20" t="s">
        <v>984</v>
      </c>
      <c r="F1006" s="20" t="s">
        <v>2191</v>
      </c>
      <c r="G1006" s="20">
        <v>4140</v>
      </c>
      <c r="AA1006" s="20" t="s">
        <v>2158</v>
      </c>
      <c r="AB1006" s="20">
        <v>0</v>
      </c>
      <c r="AC1006" s="20">
        <v>0</v>
      </c>
    </row>
    <row r="1007" spans="1:29" x14ac:dyDescent="0.25">
      <c r="A1007" s="20" t="s">
        <v>455</v>
      </c>
      <c r="B1007" s="20" t="s">
        <v>2191</v>
      </c>
      <c r="C1007" s="20">
        <v>5779</v>
      </c>
      <c r="E1007" s="20" t="s">
        <v>1062</v>
      </c>
      <c r="F1007" s="20" t="s">
        <v>2191</v>
      </c>
      <c r="G1007" s="20">
        <v>0</v>
      </c>
      <c r="AA1007" s="20" t="s">
        <v>2820</v>
      </c>
      <c r="AB1007" s="20">
        <v>0</v>
      </c>
      <c r="AC1007" s="20">
        <v>0</v>
      </c>
    </row>
    <row r="1008" spans="1:29" x14ac:dyDescent="0.25">
      <c r="A1008" s="20" t="s">
        <v>457</v>
      </c>
      <c r="B1008" s="20" t="s">
        <v>2191</v>
      </c>
      <c r="C1008" s="20">
        <v>706</v>
      </c>
      <c r="E1008" s="20" t="s">
        <v>672</v>
      </c>
      <c r="F1008" s="20" t="s">
        <v>2191</v>
      </c>
      <c r="G1008" s="20">
        <v>0</v>
      </c>
      <c r="AA1008" s="20" t="s">
        <v>2821</v>
      </c>
      <c r="AB1008" s="20">
        <v>0</v>
      </c>
      <c r="AC1008" s="20">
        <v>0</v>
      </c>
    </row>
    <row r="1009" spans="1:29" x14ac:dyDescent="0.25">
      <c r="A1009" s="20" t="s">
        <v>1883</v>
      </c>
      <c r="B1009" s="20" t="s">
        <v>2191</v>
      </c>
      <c r="C1009" s="20">
        <v>0</v>
      </c>
      <c r="E1009" s="20" t="s">
        <v>844</v>
      </c>
      <c r="F1009" s="20" t="s">
        <v>2191</v>
      </c>
      <c r="G1009" s="20">
        <v>0</v>
      </c>
      <c r="AA1009" s="20" t="s">
        <v>2822</v>
      </c>
      <c r="AB1009" s="20">
        <v>0</v>
      </c>
      <c r="AC1009" s="20">
        <v>0</v>
      </c>
    </row>
    <row r="1010" spans="1:29" x14ac:dyDescent="0.25">
      <c r="A1010" s="20" t="s">
        <v>1884</v>
      </c>
      <c r="B1010" s="20" t="s">
        <v>2191</v>
      </c>
      <c r="C1010" s="20">
        <v>0</v>
      </c>
      <c r="E1010" s="20" t="s">
        <v>1814</v>
      </c>
      <c r="F1010" s="20" t="s">
        <v>2191</v>
      </c>
      <c r="G1010" s="20">
        <v>0</v>
      </c>
      <c r="AA1010" s="20" t="s">
        <v>1682</v>
      </c>
      <c r="AB1010" s="20">
        <v>4634138.8499999996</v>
      </c>
      <c r="AC1010" s="20">
        <v>12376539.699999999</v>
      </c>
    </row>
    <row r="1011" spans="1:29" x14ac:dyDescent="0.25">
      <c r="A1011" s="20" t="s">
        <v>58</v>
      </c>
      <c r="B1011" s="20" t="s">
        <v>2191</v>
      </c>
      <c r="C1011" s="20">
        <v>1187</v>
      </c>
      <c r="E1011" s="20" t="s">
        <v>1809</v>
      </c>
      <c r="F1011" s="20" t="s">
        <v>2191</v>
      </c>
      <c r="G1011" s="20">
        <v>0</v>
      </c>
      <c r="AA1011" s="20" t="s">
        <v>2823</v>
      </c>
      <c r="AB1011" s="20">
        <v>0</v>
      </c>
      <c r="AC1011" s="20">
        <v>0</v>
      </c>
    </row>
    <row r="1012" spans="1:29" x14ac:dyDescent="0.25">
      <c r="A1012" s="20" t="s">
        <v>1885</v>
      </c>
      <c r="B1012" s="20" t="s">
        <v>2191</v>
      </c>
      <c r="C1012" s="20">
        <v>0</v>
      </c>
      <c r="E1012" s="20" t="s">
        <v>1811</v>
      </c>
      <c r="F1012" s="20" t="s">
        <v>2191</v>
      </c>
      <c r="G1012" s="20">
        <v>0</v>
      </c>
      <c r="AA1012" s="20" t="s">
        <v>475</v>
      </c>
      <c r="AB1012" s="20">
        <v>8049.24</v>
      </c>
      <c r="AC1012" s="20">
        <v>273586.76</v>
      </c>
    </row>
    <row r="1013" spans="1:29" x14ac:dyDescent="0.25">
      <c r="A1013" s="20" t="s">
        <v>462</v>
      </c>
      <c r="B1013" s="20" t="s">
        <v>2191</v>
      </c>
      <c r="C1013" s="20">
        <v>0</v>
      </c>
      <c r="E1013" s="20" t="s">
        <v>2097</v>
      </c>
      <c r="F1013" s="20" t="s">
        <v>2191</v>
      </c>
      <c r="G1013" s="20">
        <v>12988</v>
      </c>
      <c r="AA1013" s="20" t="s">
        <v>2824</v>
      </c>
      <c r="AB1013" s="20">
        <v>0</v>
      </c>
      <c r="AC1013" s="20">
        <v>0</v>
      </c>
    </row>
    <row r="1014" spans="1:29" x14ac:dyDescent="0.25">
      <c r="A1014" s="20" t="s">
        <v>463</v>
      </c>
      <c r="B1014" s="20" t="s">
        <v>2191</v>
      </c>
      <c r="C1014" s="20">
        <v>24974</v>
      </c>
      <c r="E1014" s="20" t="s">
        <v>2024</v>
      </c>
      <c r="F1014" s="20" t="s">
        <v>2191</v>
      </c>
      <c r="G1014" s="20">
        <v>470.57</v>
      </c>
      <c r="AA1014" s="20" t="s">
        <v>1683</v>
      </c>
      <c r="AB1014" s="20">
        <v>-7246.5</v>
      </c>
      <c r="AC1014" s="20">
        <v>0</v>
      </c>
    </row>
    <row r="1015" spans="1:29" x14ac:dyDescent="0.25">
      <c r="A1015" s="20" t="s">
        <v>465</v>
      </c>
      <c r="B1015" s="20" t="s">
        <v>2191</v>
      </c>
      <c r="C1015" s="20">
        <v>0</v>
      </c>
      <c r="E1015" s="20" t="s">
        <v>2988</v>
      </c>
      <c r="F1015" s="20" t="s">
        <v>2191</v>
      </c>
      <c r="G1015" s="20">
        <v>0</v>
      </c>
      <c r="AA1015" s="20" t="s">
        <v>1889</v>
      </c>
      <c r="AB1015" s="20">
        <v>0</v>
      </c>
      <c r="AC1015" s="20">
        <v>0</v>
      </c>
    </row>
    <row r="1016" spans="1:29" x14ac:dyDescent="0.25">
      <c r="A1016" s="20" t="s">
        <v>1282</v>
      </c>
      <c r="B1016" s="20" t="s">
        <v>2191</v>
      </c>
      <c r="C1016" s="20">
        <v>4910</v>
      </c>
      <c r="E1016" s="20" t="s">
        <v>2987</v>
      </c>
      <c r="F1016" s="20" t="s">
        <v>2191</v>
      </c>
      <c r="G1016" s="20">
        <v>0</v>
      </c>
      <c r="AA1016" s="20" t="s">
        <v>1890</v>
      </c>
      <c r="AB1016" s="20">
        <v>0</v>
      </c>
      <c r="AC1016" s="20">
        <v>0</v>
      </c>
    </row>
    <row r="1017" spans="1:29" x14ac:dyDescent="0.25">
      <c r="A1017" s="20" t="s">
        <v>1886</v>
      </c>
      <c r="B1017" s="20" t="s">
        <v>2191</v>
      </c>
      <c r="C1017" s="20">
        <v>0</v>
      </c>
      <c r="E1017" s="20" t="s">
        <v>2991</v>
      </c>
      <c r="F1017" s="20" t="s">
        <v>2191</v>
      </c>
      <c r="G1017" s="20">
        <v>2614</v>
      </c>
      <c r="AA1017" s="20" t="s">
        <v>478</v>
      </c>
      <c r="AB1017" s="20">
        <v>14391.22</v>
      </c>
      <c r="AC1017" s="20">
        <v>224295.32</v>
      </c>
    </row>
    <row r="1018" spans="1:29" x14ac:dyDescent="0.25">
      <c r="A1018" s="20" t="s">
        <v>390</v>
      </c>
      <c r="B1018" s="20" t="s">
        <v>2191</v>
      </c>
      <c r="C1018" s="20">
        <v>0</v>
      </c>
      <c r="E1018" s="20" t="s">
        <v>3002</v>
      </c>
      <c r="F1018" s="20" t="s">
        <v>2191</v>
      </c>
      <c r="G1018" s="20">
        <v>0</v>
      </c>
      <c r="AA1018" s="20" t="s">
        <v>2109</v>
      </c>
      <c r="AB1018" s="20">
        <v>0</v>
      </c>
      <c r="AC1018" s="20">
        <v>0</v>
      </c>
    </row>
    <row r="1019" spans="1:29" x14ac:dyDescent="0.25">
      <c r="A1019" s="20" t="s">
        <v>1272</v>
      </c>
      <c r="B1019" s="20" t="s">
        <v>2191</v>
      </c>
      <c r="C1019" s="20">
        <v>0</v>
      </c>
      <c r="E1019" s="20" t="s">
        <v>3009</v>
      </c>
      <c r="F1019" s="20" t="s">
        <v>2191</v>
      </c>
      <c r="G1019" s="20">
        <v>0</v>
      </c>
      <c r="AA1019" s="20" t="s">
        <v>2825</v>
      </c>
      <c r="AB1019" s="20">
        <v>0</v>
      </c>
      <c r="AC1019" s="20">
        <v>0</v>
      </c>
    </row>
    <row r="1020" spans="1:29" x14ac:dyDescent="0.25">
      <c r="A1020" s="20" t="s">
        <v>2122</v>
      </c>
      <c r="B1020" s="20" t="s">
        <v>2191</v>
      </c>
      <c r="C1020" s="20">
        <v>0</v>
      </c>
      <c r="E1020" s="20" t="s">
        <v>2994</v>
      </c>
      <c r="F1020" s="20" t="s">
        <v>2191</v>
      </c>
      <c r="G1020" s="20">
        <v>0</v>
      </c>
      <c r="AA1020" s="20" t="s">
        <v>2051</v>
      </c>
      <c r="AB1020" s="20">
        <v>0</v>
      </c>
      <c r="AC1020" s="20">
        <v>0</v>
      </c>
    </row>
    <row r="1021" spans="1:29" x14ac:dyDescent="0.25">
      <c r="A1021" s="20" t="s">
        <v>2640</v>
      </c>
      <c r="B1021" s="20" t="s">
        <v>2191</v>
      </c>
      <c r="C1021" s="20">
        <v>0</v>
      </c>
      <c r="E1021" s="20" t="s">
        <v>3000</v>
      </c>
      <c r="F1021" s="20" t="s">
        <v>2191</v>
      </c>
      <c r="G1021" s="20">
        <v>0</v>
      </c>
      <c r="AA1021" s="20" t="s">
        <v>1684</v>
      </c>
      <c r="AB1021" s="20">
        <v>-2768.63</v>
      </c>
      <c r="AC1021" s="20">
        <v>16.53</v>
      </c>
    </row>
    <row r="1022" spans="1:29" x14ac:dyDescent="0.25">
      <c r="A1022" s="20" t="s">
        <v>2641</v>
      </c>
      <c r="B1022" s="20" t="s">
        <v>2191</v>
      </c>
      <c r="C1022" s="20">
        <v>0</v>
      </c>
      <c r="E1022" s="20" t="s">
        <v>3008</v>
      </c>
      <c r="F1022" s="20" t="s">
        <v>2191</v>
      </c>
      <c r="G1022" s="20">
        <v>0</v>
      </c>
      <c r="AA1022" s="20" t="s">
        <v>2827</v>
      </c>
      <c r="AB1022" s="20">
        <v>0</v>
      </c>
      <c r="AC1022" s="20">
        <v>0</v>
      </c>
    </row>
    <row r="1023" spans="1:29" x14ac:dyDescent="0.25">
      <c r="A1023" s="20" t="s">
        <v>1285</v>
      </c>
      <c r="B1023" s="20" t="s">
        <v>2191</v>
      </c>
      <c r="C1023" s="20">
        <v>14963</v>
      </c>
      <c r="E1023" s="20" t="s">
        <v>3010</v>
      </c>
      <c r="F1023" s="20" t="s">
        <v>2191</v>
      </c>
      <c r="G1023" s="20">
        <v>0</v>
      </c>
      <c r="AA1023" s="20" t="s">
        <v>1010</v>
      </c>
      <c r="AB1023" s="20">
        <v>0</v>
      </c>
      <c r="AC1023" s="20">
        <v>0</v>
      </c>
    </row>
    <row r="1024" spans="1:29" x14ac:dyDescent="0.25">
      <c r="A1024" s="20" t="s">
        <v>1287</v>
      </c>
      <c r="B1024" s="20" t="s">
        <v>2191</v>
      </c>
      <c r="C1024" s="20">
        <v>0</v>
      </c>
      <c r="E1024" s="20" t="s">
        <v>3013</v>
      </c>
      <c r="F1024" s="20" t="s">
        <v>2191</v>
      </c>
      <c r="G1024" s="20">
        <v>0</v>
      </c>
      <c r="AA1024" s="20" t="s">
        <v>1220</v>
      </c>
      <c r="AB1024" s="20">
        <v>-1499.51</v>
      </c>
      <c r="AC1024" s="20">
        <v>814.29</v>
      </c>
    </row>
    <row r="1025" spans="1:29" x14ac:dyDescent="0.25">
      <c r="A1025" s="20" t="s">
        <v>469</v>
      </c>
      <c r="B1025" s="20" t="s">
        <v>2191</v>
      </c>
      <c r="C1025" s="20">
        <v>0</v>
      </c>
      <c r="E1025" s="20" t="s">
        <v>3005</v>
      </c>
      <c r="F1025" s="20" t="s">
        <v>2191</v>
      </c>
      <c r="G1025" s="20">
        <v>0</v>
      </c>
      <c r="AA1025" s="20" t="s">
        <v>2135</v>
      </c>
      <c r="AB1025" s="20">
        <v>0</v>
      </c>
      <c r="AC1025" s="20">
        <v>0</v>
      </c>
    </row>
    <row r="1026" spans="1:29" x14ac:dyDescent="0.25">
      <c r="A1026" s="20" t="s">
        <v>2642</v>
      </c>
      <c r="B1026" s="20" t="s">
        <v>2191</v>
      </c>
      <c r="C1026" s="20">
        <v>0</v>
      </c>
      <c r="E1026" s="20" t="s">
        <v>3017</v>
      </c>
      <c r="F1026" s="20" t="s">
        <v>2191</v>
      </c>
      <c r="G1026" s="20">
        <v>4830</v>
      </c>
      <c r="AA1026" s="20" t="s">
        <v>2828</v>
      </c>
      <c r="AB1026" s="20">
        <v>0</v>
      </c>
      <c r="AC1026" s="20">
        <v>0</v>
      </c>
    </row>
    <row r="1027" spans="1:29" x14ac:dyDescent="0.25">
      <c r="A1027" s="20" t="s">
        <v>2643</v>
      </c>
      <c r="B1027" s="20" t="s">
        <v>2191</v>
      </c>
      <c r="C1027" s="20">
        <v>0</v>
      </c>
      <c r="E1027" s="20" t="s">
        <v>3034</v>
      </c>
      <c r="F1027" s="20" t="s">
        <v>2191</v>
      </c>
      <c r="G1027" s="20">
        <v>0</v>
      </c>
      <c r="AA1027" s="20" t="s">
        <v>714</v>
      </c>
      <c r="AB1027" s="20">
        <v>-556.12</v>
      </c>
      <c r="AC1027" s="20">
        <v>3550.89</v>
      </c>
    </row>
    <row r="1028" spans="1:29" x14ac:dyDescent="0.25">
      <c r="A1028" s="20" t="s">
        <v>2644</v>
      </c>
      <c r="B1028" s="20" t="s">
        <v>2191</v>
      </c>
      <c r="C1028" s="20">
        <v>0</v>
      </c>
      <c r="E1028" s="20" t="s">
        <v>3040</v>
      </c>
      <c r="F1028" s="20" t="s">
        <v>2191</v>
      </c>
      <c r="G1028" s="20">
        <v>0</v>
      </c>
      <c r="AA1028" s="20" t="s">
        <v>2102</v>
      </c>
      <c r="AB1028" s="20">
        <v>0</v>
      </c>
      <c r="AC1028" s="20">
        <v>0</v>
      </c>
    </row>
    <row r="1029" spans="1:29" x14ac:dyDescent="0.25">
      <c r="A1029" s="20" t="s">
        <v>104</v>
      </c>
      <c r="B1029" s="20" t="s">
        <v>2191</v>
      </c>
      <c r="C1029" s="20">
        <v>18303</v>
      </c>
      <c r="E1029" s="20" t="s">
        <v>3032</v>
      </c>
      <c r="F1029" s="20" t="s">
        <v>2191</v>
      </c>
      <c r="G1029" s="20">
        <v>0</v>
      </c>
      <c r="AA1029" s="20" t="s">
        <v>2110</v>
      </c>
      <c r="AB1029" s="20">
        <v>0</v>
      </c>
      <c r="AC1029" s="20">
        <v>0</v>
      </c>
    </row>
    <row r="1030" spans="1:29" x14ac:dyDescent="0.25">
      <c r="A1030" s="20" t="s">
        <v>1887</v>
      </c>
      <c r="B1030" s="20" t="s">
        <v>2191</v>
      </c>
      <c r="C1030" s="20">
        <v>0</v>
      </c>
      <c r="E1030" s="20" t="s">
        <v>3026</v>
      </c>
      <c r="F1030" s="20" t="s">
        <v>2191</v>
      </c>
      <c r="G1030" s="20">
        <v>0</v>
      </c>
      <c r="AA1030" s="20" t="s">
        <v>2829</v>
      </c>
      <c r="AB1030" s="20">
        <v>0</v>
      </c>
      <c r="AC1030" s="20">
        <v>0</v>
      </c>
    </row>
    <row r="1031" spans="1:29" x14ac:dyDescent="0.25">
      <c r="A1031" s="20" t="s">
        <v>1650</v>
      </c>
      <c r="B1031" s="20" t="s">
        <v>2191</v>
      </c>
      <c r="C1031" s="20">
        <v>0</v>
      </c>
      <c r="E1031" s="20" t="s">
        <v>3033</v>
      </c>
      <c r="F1031" s="20" t="s">
        <v>2191</v>
      </c>
      <c r="G1031" s="20">
        <v>99865.94</v>
      </c>
      <c r="AA1031" s="20" t="s">
        <v>2159</v>
      </c>
      <c r="AB1031" s="20">
        <v>0</v>
      </c>
      <c r="AC1031" s="20">
        <v>0</v>
      </c>
    </row>
    <row r="1032" spans="1:29" x14ac:dyDescent="0.25">
      <c r="A1032" s="20" t="s">
        <v>2134</v>
      </c>
      <c r="B1032" s="20" t="s">
        <v>2191</v>
      </c>
      <c r="C1032" s="20">
        <v>0</v>
      </c>
      <c r="E1032" s="20" t="s">
        <v>3023</v>
      </c>
      <c r="F1032" s="20" t="s">
        <v>2191</v>
      </c>
      <c r="G1032" s="20">
        <v>0</v>
      </c>
      <c r="AA1032" s="20" t="s">
        <v>1845</v>
      </c>
      <c r="AB1032" s="20">
        <v>0</v>
      </c>
      <c r="AC1032" s="20">
        <v>0</v>
      </c>
    </row>
    <row r="1033" spans="1:29" x14ac:dyDescent="0.25">
      <c r="A1033" s="20" t="s">
        <v>471</v>
      </c>
      <c r="B1033" s="20" t="s">
        <v>2191</v>
      </c>
      <c r="C1033" s="20">
        <v>0</v>
      </c>
      <c r="E1033" s="20" t="s">
        <v>3041</v>
      </c>
      <c r="F1033" s="20" t="s">
        <v>2191</v>
      </c>
      <c r="G1033" s="20">
        <v>2908</v>
      </c>
      <c r="AA1033" s="20" t="s">
        <v>2111</v>
      </c>
      <c r="AB1033" s="20">
        <v>0</v>
      </c>
      <c r="AC1033" s="20">
        <v>0</v>
      </c>
    </row>
    <row r="1034" spans="1:29" x14ac:dyDescent="0.25">
      <c r="A1034" s="20" t="s">
        <v>472</v>
      </c>
      <c r="B1034" s="20" t="s">
        <v>2191</v>
      </c>
      <c r="C1034" s="20">
        <v>0</v>
      </c>
      <c r="E1034" s="20" t="s">
        <v>3035</v>
      </c>
      <c r="F1034" s="20" t="s">
        <v>2191</v>
      </c>
      <c r="G1034" s="20">
        <v>31552</v>
      </c>
      <c r="AA1034" s="20" t="s">
        <v>2013</v>
      </c>
      <c r="AB1034" s="20">
        <v>0</v>
      </c>
      <c r="AC1034" s="20">
        <v>0</v>
      </c>
    </row>
    <row r="1035" spans="1:29" x14ac:dyDescent="0.25">
      <c r="A1035" s="20" t="s">
        <v>425</v>
      </c>
      <c r="B1035" s="20" t="s">
        <v>2191</v>
      </c>
      <c r="C1035" s="20">
        <v>19465</v>
      </c>
      <c r="E1035" s="20" t="s">
        <v>3044</v>
      </c>
      <c r="F1035" s="20" t="s">
        <v>2191</v>
      </c>
      <c r="G1035" s="20">
        <v>0</v>
      </c>
      <c r="AA1035" s="20" t="s">
        <v>1974</v>
      </c>
      <c r="AB1035" s="20">
        <v>0</v>
      </c>
      <c r="AC1035" s="20">
        <v>0</v>
      </c>
    </row>
    <row r="1036" spans="1:29" x14ac:dyDescent="0.25">
      <c r="A1036" s="20" t="s">
        <v>613</v>
      </c>
      <c r="B1036" s="20" t="s">
        <v>2191</v>
      </c>
      <c r="C1036" s="20">
        <v>6705</v>
      </c>
      <c r="E1036" s="20" t="s">
        <v>3054</v>
      </c>
      <c r="F1036" s="20" t="s">
        <v>2191</v>
      </c>
      <c r="G1036" s="20">
        <v>25252.58</v>
      </c>
      <c r="AA1036" s="20" t="s">
        <v>2112</v>
      </c>
      <c r="AB1036" s="20">
        <v>0</v>
      </c>
      <c r="AC1036" s="20">
        <v>0</v>
      </c>
    </row>
    <row r="1037" spans="1:29" x14ac:dyDescent="0.25">
      <c r="A1037" s="20" t="s">
        <v>1917</v>
      </c>
      <c r="B1037" s="20" t="s">
        <v>2191</v>
      </c>
      <c r="C1037" s="20">
        <v>0</v>
      </c>
      <c r="E1037" s="20" t="s">
        <v>3056</v>
      </c>
      <c r="F1037" s="20" t="s">
        <v>2191</v>
      </c>
      <c r="G1037" s="20">
        <v>48887</v>
      </c>
      <c r="AA1037" s="20" t="s">
        <v>1222</v>
      </c>
      <c r="AB1037" s="20">
        <v>17190.349999999999</v>
      </c>
      <c r="AC1037" s="20">
        <v>84842.48</v>
      </c>
    </row>
    <row r="1038" spans="1:29" x14ac:dyDescent="0.25">
      <c r="A1038" s="20" t="s">
        <v>615</v>
      </c>
      <c r="B1038" s="20" t="s">
        <v>2191</v>
      </c>
      <c r="C1038" s="20">
        <v>0</v>
      </c>
      <c r="E1038" s="20" t="s">
        <v>3047</v>
      </c>
      <c r="F1038" s="20" t="s">
        <v>2191</v>
      </c>
      <c r="G1038" s="20">
        <v>0</v>
      </c>
      <c r="AA1038" s="20" t="s">
        <v>2052</v>
      </c>
      <c r="AB1038" s="20">
        <v>0</v>
      </c>
      <c r="AC1038" s="20">
        <v>0</v>
      </c>
    </row>
    <row r="1039" spans="1:29" x14ac:dyDescent="0.25">
      <c r="A1039" s="20" t="s">
        <v>592</v>
      </c>
      <c r="B1039" s="20" t="s">
        <v>2191</v>
      </c>
      <c r="C1039" s="20">
        <v>0</v>
      </c>
      <c r="E1039" s="20" t="s">
        <v>3051</v>
      </c>
      <c r="F1039" s="20" t="s">
        <v>2191</v>
      </c>
      <c r="G1039" s="20">
        <v>0</v>
      </c>
      <c r="AA1039" s="20" t="s">
        <v>1122</v>
      </c>
      <c r="AB1039" s="20">
        <v>0</v>
      </c>
      <c r="AC1039" s="20">
        <v>0</v>
      </c>
    </row>
    <row r="1040" spans="1:29" x14ac:dyDescent="0.25">
      <c r="A1040" s="20" t="s">
        <v>1918</v>
      </c>
      <c r="B1040" s="20" t="s">
        <v>2191</v>
      </c>
      <c r="C1040" s="20">
        <v>0</v>
      </c>
      <c r="E1040" s="20" t="s">
        <v>3057</v>
      </c>
      <c r="F1040" s="20" t="s">
        <v>2191</v>
      </c>
      <c r="G1040" s="20">
        <v>0</v>
      </c>
      <c r="AA1040" s="20" t="s">
        <v>2830</v>
      </c>
      <c r="AB1040" s="20">
        <v>0</v>
      </c>
      <c r="AC1040" s="20">
        <v>0</v>
      </c>
    </row>
    <row r="1041" spans="1:29" x14ac:dyDescent="0.25">
      <c r="A1041" s="20" t="s">
        <v>616</v>
      </c>
      <c r="B1041" s="20" t="s">
        <v>2191</v>
      </c>
      <c r="C1041" s="20">
        <v>0</v>
      </c>
      <c r="E1041" s="20" t="s">
        <v>3052</v>
      </c>
      <c r="F1041" s="20" t="s">
        <v>2191</v>
      </c>
      <c r="G1041" s="20">
        <v>0</v>
      </c>
      <c r="AA1041" s="20" t="s">
        <v>2831</v>
      </c>
      <c r="AB1041" s="20">
        <v>0</v>
      </c>
      <c r="AC1041" s="20">
        <v>0</v>
      </c>
    </row>
    <row r="1042" spans="1:29" x14ac:dyDescent="0.25">
      <c r="A1042" s="20" t="s">
        <v>2080</v>
      </c>
      <c r="B1042" s="20" t="s">
        <v>2191</v>
      </c>
      <c r="C1042" s="20">
        <v>0</v>
      </c>
      <c r="E1042" s="20" t="s">
        <v>3053</v>
      </c>
      <c r="F1042" s="20" t="s">
        <v>2191</v>
      </c>
      <c r="G1042" s="20">
        <v>0</v>
      </c>
      <c r="AA1042" s="20" t="s">
        <v>1975</v>
      </c>
      <c r="AB1042" s="20">
        <v>0</v>
      </c>
      <c r="AC1042" s="20">
        <v>0</v>
      </c>
    </row>
    <row r="1043" spans="1:29" x14ac:dyDescent="0.25">
      <c r="A1043" s="20" t="s">
        <v>1919</v>
      </c>
      <c r="B1043" s="20" t="s">
        <v>2191</v>
      </c>
      <c r="C1043" s="20">
        <v>0</v>
      </c>
      <c r="E1043" s="20" t="s">
        <v>3060</v>
      </c>
      <c r="F1043" s="20" t="s">
        <v>2191</v>
      </c>
      <c r="G1043" s="20">
        <v>15824</v>
      </c>
      <c r="AA1043" s="20" t="s">
        <v>2832</v>
      </c>
      <c r="AB1043" s="20">
        <v>0</v>
      </c>
      <c r="AC1043" s="20">
        <v>0</v>
      </c>
    </row>
    <row r="1044" spans="1:29" x14ac:dyDescent="0.25">
      <c r="A1044" s="20" t="s">
        <v>617</v>
      </c>
      <c r="B1044" s="20" t="s">
        <v>2191</v>
      </c>
      <c r="C1044" s="20">
        <v>0</v>
      </c>
      <c r="E1044" s="20" t="s">
        <v>3062</v>
      </c>
      <c r="F1044" s="20" t="s">
        <v>2191</v>
      </c>
      <c r="G1044" s="20">
        <v>10568.5</v>
      </c>
      <c r="AA1044" s="20" t="s">
        <v>2113</v>
      </c>
      <c r="AB1044" s="20">
        <v>0</v>
      </c>
      <c r="AC1044" s="20">
        <v>0</v>
      </c>
    </row>
    <row r="1045" spans="1:29" x14ac:dyDescent="0.25">
      <c r="A1045" s="20" t="s">
        <v>619</v>
      </c>
      <c r="B1045" s="20" t="s">
        <v>2191</v>
      </c>
      <c r="C1045" s="20">
        <v>5326</v>
      </c>
      <c r="E1045" s="20" t="s">
        <v>3061</v>
      </c>
      <c r="F1045" s="20" t="s">
        <v>2191</v>
      </c>
      <c r="G1045" s="20">
        <v>0</v>
      </c>
      <c r="AA1045" s="20" t="s">
        <v>2833</v>
      </c>
      <c r="AB1045" s="20">
        <v>0</v>
      </c>
      <c r="AC1045" s="20">
        <v>0</v>
      </c>
    </row>
    <row r="1046" spans="1:29" x14ac:dyDescent="0.25">
      <c r="A1046" s="20" t="s">
        <v>621</v>
      </c>
      <c r="B1046" s="20" t="s">
        <v>2191</v>
      </c>
      <c r="C1046" s="20">
        <v>2728</v>
      </c>
      <c r="E1046" s="20" t="s">
        <v>3063</v>
      </c>
      <c r="F1046" s="20" t="s">
        <v>2191</v>
      </c>
      <c r="G1046" s="20">
        <v>0</v>
      </c>
      <c r="AA1046" s="20" t="s">
        <v>2834</v>
      </c>
      <c r="AB1046" s="20">
        <v>0</v>
      </c>
      <c r="AC1046" s="20">
        <v>0</v>
      </c>
    </row>
    <row r="1047" spans="1:29" x14ac:dyDescent="0.25">
      <c r="A1047" s="20" t="s">
        <v>1920</v>
      </c>
      <c r="B1047" s="20" t="s">
        <v>2191</v>
      </c>
      <c r="C1047" s="20">
        <v>0</v>
      </c>
      <c r="E1047" s="20" t="s">
        <v>3066</v>
      </c>
      <c r="F1047" s="20" t="s">
        <v>2191</v>
      </c>
      <c r="G1047" s="20">
        <v>0</v>
      </c>
      <c r="AA1047" s="20" t="s">
        <v>2835</v>
      </c>
      <c r="AB1047" s="20">
        <v>0</v>
      </c>
      <c r="AC1047" s="20">
        <v>0</v>
      </c>
    </row>
    <row r="1048" spans="1:29" x14ac:dyDescent="0.25">
      <c r="A1048" s="20" t="s">
        <v>1921</v>
      </c>
      <c r="B1048" s="20" t="s">
        <v>2191</v>
      </c>
      <c r="C1048" s="20">
        <v>0</v>
      </c>
      <c r="E1048" s="20" t="s">
        <v>3080</v>
      </c>
      <c r="F1048" s="20" t="s">
        <v>2191</v>
      </c>
      <c r="G1048" s="20">
        <v>0</v>
      </c>
      <c r="AA1048" s="20" t="s">
        <v>479</v>
      </c>
      <c r="AB1048" s="20">
        <v>-26.91</v>
      </c>
      <c r="AC1048" s="20">
        <v>0</v>
      </c>
    </row>
    <row r="1049" spans="1:29" x14ac:dyDescent="0.25">
      <c r="A1049" s="20" t="s">
        <v>623</v>
      </c>
      <c r="B1049" s="20" t="s">
        <v>2191</v>
      </c>
      <c r="C1049" s="20">
        <v>0</v>
      </c>
      <c r="E1049" s="20" t="s">
        <v>3084</v>
      </c>
      <c r="F1049" s="20" t="s">
        <v>2191</v>
      </c>
      <c r="G1049" s="20">
        <v>10539</v>
      </c>
      <c r="AA1049" s="20" t="s">
        <v>2836</v>
      </c>
      <c r="AB1049" s="20">
        <v>0</v>
      </c>
      <c r="AC1049" s="20">
        <v>0</v>
      </c>
    </row>
    <row r="1050" spans="1:29" x14ac:dyDescent="0.25">
      <c r="A1050" s="20" t="s">
        <v>1922</v>
      </c>
      <c r="B1050" s="20" t="s">
        <v>2191</v>
      </c>
      <c r="C1050" s="20">
        <v>0</v>
      </c>
      <c r="E1050" s="20" t="s">
        <v>3071</v>
      </c>
      <c r="F1050" s="20" t="s">
        <v>2191</v>
      </c>
      <c r="G1050" s="20">
        <v>0</v>
      </c>
      <c r="AA1050" s="20" t="s">
        <v>1936</v>
      </c>
      <c r="AB1050" s="20">
        <v>0</v>
      </c>
      <c r="AC1050" s="20">
        <v>0</v>
      </c>
    </row>
    <row r="1051" spans="1:29" x14ac:dyDescent="0.25">
      <c r="A1051" s="20" t="s">
        <v>626</v>
      </c>
      <c r="B1051" s="20" t="s">
        <v>2191</v>
      </c>
      <c r="C1051" s="20">
        <v>0</v>
      </c>
      <c r="E1051" s="20" t="s">
        <v>3091</v>
      </c>
      <c r="F1051" s="20" t="s">
        <v>2191</v>
      </c>
      <c r="G1051" s="20">
        <v>5017</v>
      </c>
      <c r="AA1051" s="20" t="s">
        <v>2837</v>
      </c>
      <c r="AB1051" s="20">
        <v>0</v>
      </c>
      <c r="AC1051" s="20">
        <v>0</v>
      </c>
    </row>
    <row r="1052" spans="1:29" x14ac:dyDescent="0.25">
      <c r="A1052" s="20" t="s">
        <v>624</v>
      </c>
      <c r="B1052" s="20" t="s">
        <v>2191</v>
      </c>
      <c r="C1052" s="20">
        <v>0</v>
      </c>
      <c r="E1052" s="20" t="s">
        <v>3076</v>
      </c>
      <c r="F1052" s="20" t="s">
        <v>2191</v>
      </c>
      <c r="G1052" s="20">
        <v>0</v>
      </c>
      <c r="AA1052" s="20" t="s">
        <v>2015</v>
      </c>
      <c r="AB1052" s="20">
        <v>0</v>
      </c>
      <c r="AC1052" s="20">
        <v>0</v>
      </c>
    </row>
    <row r="1053" spans="1:29" x14ac:dyDescent="0.25">
      <c r="A1053" s="20" t="s">
        <v>1923</v>
      </c>
      <c r="B1053" s="20" t="s">
        <v>2191</v>
      </c>
      <c r="C1053" s="20">
        <v>0</v>
      </c>
      <c r="E1053" s="20" t="s">
        <v>3111</v>
      </c>
      <c r="F1053" s="20" t="s">
        <v>2191</v>
      </c>
      <c r="G1053" s="20">
        <v>-32679.759999999998</v>
      </c>
      <c r="AA1053" s="20" t="s">
        <v>1685</v>
      </c>
      <c r="AB1053" s="20">
        <v>-424.79</v>
      </c>
      <c r="AC1053" s="20">
        <v>0</v>
      </c>
    </row>
    <row r="1054" spans="1:29" x14ac:dyDescent="0.25">
      <c r="A1054" s="20" t="s">
        <v>627</v>
      </c>
      <c r="B1054" s="20" t="s">
        <v>2191</v>
      </c>
      <c r="C1054" s="20">
        <v>0</v>
      </c>
      <c r="E1054" s="20" t="s">
        <v>3092</v>
      </c>
      <c r="F1054" s="20" t="s">
        <v>2191</v>
      </c>
      <c r="G1054" s="20">
        <v>0</v>
      </c>
      <c r="AA1054" s="20" t="s">
        <v>2838</v>
      </c>
      <c r="AB1054" s="20">
        <v>0</v>
      </c>
      <c r="AC1054" s="20">
        <v>0</v>
      </c>
    </row>
    <row r="1055" spans="1:29" x14ac:dyDescent="0.25">
      <c r="A1055" s="20" t="s">
        <v>1924</v>
      </c>
      <c r="B1055" s="20" t="s">
        <v>2191</v>
      </c>
      <c r="C1055" s="20">
        <v>0</v>
      </c>
      <c r="E1055" s="20" t="s">
        <v>3079</v>
      </c>
      <c r="F1055" s="20" t="s">
        <v>2191</v>
      </c>
      <c r="G1055" s="20">
        <v>0</v>
      </c>
      <c r="AA1055" s="20" t="s">
        <v>2839</v>
      </c>
      <c r="AB1055" s="20">
        <v>0</v>
      </c>
      <c r="AC1055" s="20">
        <v>0</v>
      </c>
    </row>
    <row r="1056" spans="1:29" x14ac:dyDescent="0.25">
      <c r="A1056" s="20" t="s">
        <v>1925</v>
      </c>
      <c r="B1056" s="20" t="s">
        <v>2191</v>
      </c>
      <c r="C1056" s="20">
        <v>0</v>
      </c>
      <c r="E1056" s="20" t="s">
        <v>3087</v>
      </c>
      <c r="F1056" s="20" t="s">
        <v>2191</v>
      </c>
      <c r="G1056" s="20">
        <v>0</v>
      </c>
      <c r="AA1056" s="20" t="s">
        <v>467</v>
      </c>
      <c r="AB1056" s="20">
        <v>-7210.2</v>
      </c>
      <c r="AC1056" s="20">
        <v>92633.12</v>
      </c>
    </row>
    <row r="1057" spans="1:29" x14ac:dyDescent="0.25">
      <c r="A1057" s="20" t="s">
        <v>629</v>
      </c>
      <c r="B1057" s="20" t="s">
        <v>2191</v>
      </c>
      <c r="C1057" s="20">
        <v>0</v>
      </c>
      <c r="E1057" s="20" t="s">
        <v>3078</v>
      </c>
      <c r="F1057" s="20" t="s">
        <v>2191</v>
      </c>
      <c r="G1057" s="20">
        <v>1173</v>
      </c>
      <c r="AA1057" s="20" t="s">
        <v>641</v>
      </c>
      <c r="AB1057" s="20">
        <v>3096.65</v>
      </c>
      <c r="AC1057" s="20">
        <v>45387.17</v>
      </c>
    </row>
    <row r="1058" spans="1:29" x14ac:dyDescent="0.25">
      <c r="A1058" s="20" t="s">
        <v>630</v>
      </c>
      <c r="B1058" s="20" t="s">
        <v>2191</v>
      </c>
      <c r="C1058" s="20">
        <v>0</v>
      </c>
      <c r="E1058" s="20" t="s">
        <v>3107</v>
      </c>
      <c r="F1058" s="20" t="s">
        <v>2191</v>
      </c>
      <c r="G1058" s="20">
        <v>0</v>
      </c>
      <c r="AA1058" s="20" t="s">
        <v>2841</v>
      </c>
      <c r="AB1058" s="20">
        <v>0</v>
      </c>
      <c r="AC1058" s="20">
        <v>0</v>
      </c>
    </row>
    <row r="1059" spans="1:29" x14ac:dyDescent="0.25">
      <c r="A1059" s="20" t="s">
        <v>631</v>
      </c>
      <c r="B1059" s="20" t="s">
        <v>2191</v>
      </c>
      <c r="C1059" s="20">
        <v>0</v>
      </c>
      <c r="E1059" s="20" t="s">
        <v>3106</v>
      </c>
      <c r="F1059" s="20" t="s">
        <v>2191</v>
      </c>
      <c r="G1059" s="20">
        <v>63599.12</v>
      </c>
      <c r="AA1059" s="20" t="s">
        <v>1891</v>
      </c>
      <c r="AB1059" s="20">
        <v>0</v>
      </c>
      <c r="AC1059" s="20">
        <v>0</v>
      </c>
    </row>
    <row r="1060" spans="1:29" x14ac:dyDescent="0.25">
      <c r="A1060" s="20" t="s">
        <v>1926</v>
      </c>
      <c r="B1060" s="20" t="s">
        <v>2191</v>
      </c>
      <c r="C1060" s="20">
        <v>0</v>
      </c>
      <c r="E1060" s="20" t="s">
        <v>3073</v>
      </c>
      <c r="F1060" s="20" t="s">
        <v>2191</v>
      </c>
      <c r="G1060" s="20">
        <v>0</v>
      </c>
      <c r="AA1060" s="20" t="s">
        <v>480</v>
      </c>
      <c r="AB1060" s="20">
        <v>140591.78</v>
      </c>
      <c r="AC1060" s="20">
        <v>234887.7</v>
      </c>
    </row>
    <row r="1061" spans="1:29" x14ac:dyDescent="0.25">
      <c r="A1061" s="20" t="s">
        <v>1927</v>
      </c>
      <c r="B1061" s="20" t="s">
        <v>2191</v>
      </c>
      <c r="C1061" s="20">
        <v>0</v>
      </c>
      <c r="E1061" s="20" t="s">
        <v>3116</v>
      </c>
      <c r="F1061" s="20" t="s">
        <v>2191</v>
      </c>
      <c r="G1061" s="20">
        <v>55228.22</v>
      </c>
      <c r="AA1061" s="20" t="s">
        <v>2842</v>
      </c>
      <c r="AB1061" s="20">
        <v>0</v>
      </c>
      <c r="AC1061" s="20">
        <v>0</v>
      </c>
    </row>
    <row r="1062" spans="1:29" x14ac:dyDescent="0.25">
      <c r="A1062" s="20" t="s">
        <v>634</v>
      </c>
      <c r="B1062" s="20" t="s">
        <v>2191</v>
      </c>
      <c r="C1062" s="20">
        <v>0</v>
      </c>
      <c r="E1062" s="20" t="s">
        <v>3114</v>
      </c>
      <c r="F1062" s="20" t="s">
        <v>2191</v>
      </c>
      <c r="G1062" s="20">
        <v>0</v>
      </c>
      <c r="AA1062" s="20" t="s">
        <v>2844</v>
      </c>
      <c r="AB1062" s="20">
        <v>0</v>
      </c>
      <c r="AC1062" s="20">
        <v>0</v>
      </c>
    </row>
    <row r="1063" spans="1:29" x14ac:dyDescent="0.25">
      <c r="A1063" s="20" t="s">
        <v>1928</v>
      </c>
      <c r="B1063" s="20" t="s">
        <v>2191</v>
      </c>
      <c r="C1063" s="20">
        <v>0</v>
      </c>
      <c r="E1063" s="20" t="s">
        <v>3122</v>
      </c>
      <c r="F1063" s="20" t="s">
        <v>2191</v>
      </c>
      <c r="G1063" s="20">
        <v>0</v>
      </c>
      <c r="AA1063" s="20" t="s">
        <v>2845</v>
      </c>
      <c r="AB1063" s="20">
        <v>0</v>
      </c>
      <c r="AC1063" s="20">
        <v>0</v>
      </c>
    </row>
    <row r="1064" spans="1:29" x14ac:dyDescent="0.25">
      <c r="A1064" s="20" t="s">
        <v>636</v>
      </c>
      <c r="B1064" s="20" t="s">
        <v>2191</v>
      </c>
      <c r="C1064" s="20">
        <v>0</v>
      </c>
      <c r="E1064" s="20" t="s">
        <v>3113</v>
      </c>
      <c r="F1064" s="20" t="s">
        <v>2191</v>
      </c>
      <c r="G1064" s="20">
        <v>0</v>
      </c>
      <c r="AA1064" s="20" t="s">
        <v>2846</v>
      </c>
      <c r="AB1064" s="20">
        <v>0</v>
      </c>
      <c r="AC1064" s="20">
        <v>0</v>
      </c>
    </row>
    <row r="1065" spans="1:29" x14ac:dyDescent="0.25">
      <c r="A1065" s="20" t="s">
        <v>1929</v>
      </c>
      <c r="B1065" s="20" t="s">
        <v>2191</v>
      </c>
      <c r="C1065" s="20">
        <v>0</v>
      </c>
      <c r="E1065" s="20" t="s">
        <v>3119</v>
      </c>
      <c r="F1065" s="20" t="s">
        <v>2191</v>
      </c>
      <c r="G1065" s="20">
        <v>0</v>
      </c>
      <c r="AA1065" s="20" t="s">
        <v>2847</v>
      </c>
      <c r="AB1065" s="20">
        <v>0</v>
      </c>
      <c r="AC1065" s="20">
        <v>0</v>
      </c>
    </row>
    <row r="1066" spans="1:29" x14ac:dyDescent="0.25">
      <c r="A1066" s="20" t="s">
        <v>637</v>
      </c>
      <c r="B1066" s="20" t="s">
        <v>2191</v>
      </c>
      <c r="C1066" s="20">
        <v>0</v>
      </c>
      <c r="E1066" s="20" t="s">
        <v>3132</v>
      </c>
      <c r="F1066" s="20" t="s">
        <v>2191</v>
      </c>
      <c r="G1066" s="20">
        <v>9403.25</v>
      </c>
      <c r="AA1066" s="20" t="s">
        <v>1687</v>
      </c>
      <c r="AB1066" s="20">
        <v>-1166.72</v>
      </c>
      <c r="AC1066" s="20">
        <v>0</v>
      </c>
    </row>
    <row r="1067" spans="1:29" x14ac:dyDescent="0.25">
      <c r="A1067" s="20" t="s">
        <v>1651</v>
      </c>
      <c r="B1067" s="20" t="s">
        <v>2191</v>
      </c>
      <c r="C1067" s="20">
        <v>0</v>
      </c>
      <c r="E1067" s="20" t="s">
        <v>3135</v>
      </c>
      <c r="F1067" s="20" t="s">
        <v>2191</v>
      </c>
      <c r="G1067" s="20">
        <v>0</v>
      </c>
      <c r="AA1067" s="20" t="s">
        <v>917</v>
      </c>
      <c r="AB1067" s="20">
        <v>5490505.1299999999</v>
      </c>
      <c r="AC1067" s="20">
        <v>469149.88</v>
      </c>
    </row>
    <row r="1068" spans="1:29" x14ac:dyDescent="0.25">
      <c r="A1068" s="20" t="s">
        <v>1930</v>
      </c>
      <c r="B1068" s="20" t="s">
        <v>2191</v>
      </c>
      <c r="C1068" s="20">
        <v>0</v>
      </c>
      <c r="E1068" s="20" t="s">
        <v>3130</v>
      </c>
      <c r="F1068" s="20" t="s">
        <v>2191</v>
      </c>
      <c r="G1068" s="20">
        <v>0</v>
      </c>
      <c r="AA1068" s="20" t="s">
        <v>2848</v>
      </c>
      <c r="AB1068" s="20">
        <v>0</v>
      </c>
      <c r="AC1068" s="20">
        <v>0</v>
      </c>
    </row>
    <row r="1069" spans="1:29" x14ac:dyDescent="0.25">
      <c r="A1069" s="20" t="s">
        <v>1442</v>
      </c>
      <c r="B1069" s="20" t="s">
        <v>2191</v>
      </c>
      <c r="C1069" s="20">
        <v>0</v>
      </c>
      <c r="E1069" s="20" t="s">
        <v>3125</v>
      </c>
      <c r="F1069" s="20" t="s">
        <v>2191</v>
      </c>
      <c r="G1069" s="20">
        <v>64194</v>
      </c>
      <c r="AA1069" s="20" t="s">
        <v>1976</v>
      </c>
      <c r="AB1069" s="20">
        <v>0</v>
      </c>
      <c r="AC1069" s="20">
        <v>0</v>
      </c>
    </row>
    <row r="1070" spans="1:29" x14ac:dyDescent="0.25">
      <c r="A1070" s="20" t="s">
        <v>1444</v>
      </c>
      <c r="B1070" s="20" t="s">
        <v>2191</v>
      </c>
      <c r="C1070" s="20">
        <v>7629.53</v>
      </c>
      <c r="E1070" s="20" t="s">
        <v>3129</v>
      </c>
      <c r="F1070" s="20" t="s">
        <v>2191</v>
      </c>
      <c r="G1070" s="20">
        <v>0</v>
      </c>
      <c r="AA1070" s="20" t="s">
        <v>483</v>
      </c>
      <c r="AB1070" s="20">
        <v>8566.33</v>
      </c>
      <c r="AC1070" s="20">
        <v>387813.26</v>
      </c>
    </row>
    <row r="1071" spans="1:29" x14ac:dyDescent="0.25">
      <c r="A1071" s="20" t="s">
        <v>2172</v>
      </c>
      <c r="B1071" s="20" t="s">
        <v>2191</v>
      </c>
      <c r="C1071" s="20">
        <v>0</v>
      </c>
      <c r="E1071" s="20" t="s">
        <v>3145</v>
      </c>
      <c r="F1071" s="20" t="s">
        <v>2191</v>
      </c>
      <c r="G1071" s="20">
        <v>0</v>
      </c>
      <c r="AA1071" s="20" t="s">
        <v>2849</v>
      </c>
      <c r="AB1071" s="20">
        <v>0</v>
      </c>
      <c r="AC1071" s="20">
        <v>0</v>
      </c>
    </row>
    <row r="1072" spans="1:29" x14ac:dyDescent="0.25">
      <c r="A1072" s="20" t="s">
        <v>590</v>
      </c>
      <c r="B1072" s="20" t="s">
        <v>2191</v>
      </c>
      <c r="C1072" s="20">
        <v>23629.39</v>
      </c>
      <c r="E1072" s="20" t="s">
        <v>3146</v>
      </c>
      <c r="F1072" s="20" t="s">
        <v>2191</v>
      </c>
      <c r="G1072" s="20">
        <v>0</v>
      </c>
      <c r="AA1072" s="20" t="s">
        <v>2851</v>
      </c>
      <c r="AB1072" s="20">
        <v>0</v>
      </c>
      <c r="AC1072" s="20">
        <v>0</v>
      </c>
    </row>
    <row r="1073" spans="1:29" x14ac:dyDescent="0.25">
      <c r="A1073" s="20" t="s">
        <v>2645</v>
      </c>
      <c r="B1073" s="20" t="s">
        <v>2191</v>
      </c>
      <c r="C1073" s="20">
        <v>0</v>
      </c>
      <c r="E1073" s="20" t="s">
        <v>3148</v>
      </c>
      <c r="F1073" s="20" t="s">
        <v>2191</v>
      </c>
      <c r="G1073" s="20">
        <v>0</v>
      </c>
      <c r="AA1073" s="20" t="s">
        <v>2853</v>
      </c>
      <c r="AB1073" s="20">
        <v>0</v>
      </c>
      <c r="AC1073" s="20">
        <v>0</v>
      </c>
    </row>
    <row r="1074" spans="1:29" x14ac:dyDescent="0.25">
      <c r="A1074" s="20" t="s">
        <v>1931</v>
      </c>
      <c r="B1074" s="20" t="s">
        <v>2191</v>
      </c>
      <c r="C1074" s="20">
        <v>0</v>
      </c>
      <c r="E1074" s="20" t="s">
        <v>3152</v>
      </c>
      <c r="F1074" s="20" t="s">
        <v>2191</v>
      </c>
      <c r="G1074" s="20">
        <v>0</v>
      </c>
      <c r="AA1074" s="20" t="s">
        <v>117</v>
      </c>
      <c r="AB1074" s="20">
        <v>-5.43</v>
      </c>
      <c r="AC1074" s="20">
        <v>0</v>
      </c>
    </row>
    <row r="1075" spans="1:29" x14ac:dyDescent="0.25">
      <c r="A1075" s="20" t="s">
        <v>1652</v>
      </c>
      <c r="B1075" s="20" t="s">
        <v>2191</v>
      </c>
      <c r="C1075" s="20">
        <v>0</v>
      </c>
      <c r="E1075" s="20" t="s">
        <v>3150</v>
      </c>
      <c r="F1075" s="20" t="s">
        <v>2191</v>
      </c>
      <c r="G1075" s="20">
        <v>-29.46</v>
      </c>
      <c r="AA1075" s="20" t="s">
        <v>2854</v>
      </c>
      <c r="AB1075" s="20">
        <v>0</v>
      </c>
      <c r="AC1075" s="20">
        <v>0</v>
      </c>
    </row>
    <row r="1076" spans="1:29" x14ac:dyDescent="0.25">
      <c r="A1076" s="20" t="s">
        <v>2173</v>
      </c>
      <c r="B1076" s="20" t="s">
        <v>2191</v>
      </c>
      <c r="C1076" s="20">
        <v>0</v>
      </c>
      <c r="E1076" s="20" t="s">
        <v>3151</v>
      </c>
      <c r="F1076" s="20" t="s">
        <v>2191</v>
      </c>
      <c r="G1076" s="20">
        <v>7612</v>
      </c>
      <c r="AA1076" s="20" t="s">
        <v>1689</v>
      </c>
      <c r="AB1076" s="20">
        <v>-7420.71</v>
      </c>
      <c r="AC1076" s="20">
        <v>440.24</v>
      </c>
    </row>
    <row r="1077" spans="1:29" x14ac:dyDescent="0.25">
      <c r="A1077" s="20" t="s">
        <v>1446</v>
      </c>
      <c r="B1077" s="20" t="s">
        <v>2191</v>
      </c>
      <c r="C1077" s="20">
        <v>0</v>
      </c>
      <c r="E1077" s="20" t="s">
        <v>3153</v>
      </c>
      <c r="F1077" s="20" t="s">
        <v>2191</v>
      </c>
      <c r="G1077" s="20">
        <v>9899</v>
      </c>
      <c r="AA1077" s="20" t="s">
        <v>2855</v>
      </c>
      <c r="AB1077" s="20">
        <v>0</v>
      </c>
      <c r="AC1077" s="20">
        <v>0</v>
      </c>
    </row>
    <row r="1078" spans="1:29" x14ac:dyDescent="0.25">
      <c r="A1078" s="20" t="s">
        <v>2174</v>
      </c>
      <c r="B1078" s="20" t="s">
        <v>2191</v>
      </c>
      <c r="C1078" s="20">
        <v>0</v>
      </c>
      <c r="E1078" s="20" t="s">
        <v>3175</v>
      </c>
      <c r="F1078" s="20" t="s">
        <v>2191</v>
      </c>
      <c r="G1078" s="20">
        <v>0</v>
      </c>
      <c r="AA1078" s="20" t="s">
        <v>2856</v>
      </c>
      <c r="AB1078" s="20">
        <v>0</v>
      </c>
      <c r="AC1078" s="20">
        <v>0</v>
      </c>
    </row>
    <row r="1079" spans="1:29" x14ac:dyDescent="0.25">
      <c r="A1079" s="20" t="s">
        <v>2646</v>
      </c>
      <c r="B1079" s="20" t="s">
        <v>2191</v>
      </c>
      <c r="C1079" s="20">
        <v>0</v>
      </c>
      <c r="E1079" s="20" t="s">
        <v>3166</v>
      </c>
      <c r="F1079" s="20" t="s">
        <v>2191</v>
      </c>
      <c r="G1079" s="20">
        <v>60831.1</v>
      </c>
      <c r="AA1079" s="20" t="s">
        <v>2857</v>
      </c>
      <c r="AB1079" s="20">
        <v>0</v>
      </c>
      <c r="AC1079" s="20">
        <v>0</v>
      </c>
    </row>
    <row r="1080" spans="1:29" x14ac:dyDescent="0.25">
      <c r="A1080" s="20" t="s">
        <v>1932</v>
      </c>
      <c r="B1080" s="20" t="s">
        <v>2191</v>
      </c>
      <c r="C1080" s="20">
        <v>0</v>
      </c>
      <c r="E1080" s="20" t="s">
        <v>3168</v>
      </c>
      <c r="F1080" s="20" t="s">
        <v>2191</v>
      </c>
      <c r="G1080" s="20">
        <v>12177</v>
      </c>
      <c r="AA1080" s="20" t="s">
        <v>1977</v>
      </c>
      <c r="AB1080" s="20">
        <v>0</v>
      </c>
      <c r="AC1080" s="20">
        <v>0</v>
      </c>
    </row>
    <row r="1081" spans="1:29" x14ac:dyDescent="0.25">
      <c r="A1081" s="20" t="s">
        <v>1448</v>
      </c>
      <c r="B1081" s="20" t="s">
        <v>2191</v>
      </c>
      <c r="C1081" s="20">
        <v>0</v>
      </c>
      <c r="E1081" s="20" t="s">
        <v>3181</v>
      </c>
      <c r="F1081" s="20" t="s">
        <v>2191</v>
      </c>
      <c r="G1081" s="20">
        <v>-2348</v>
      </c>
      <c r="AA1081" s="20" t="s">
        <v>1978</v>
      </c>
      <c r="AB1081" s="20">
        <v>0</v>
      </c>
      <c r="AC1081" s="20">
        <v>0</v>
      </c>
    </row>
    <row r="1082" spans="1:29" x14ac:dyDescent="0.25">
      <c r="A1082" s="20" t="s">
        <v>2647</v>
      </c>
      <c r="B1082" s="20" t="s">
        <v>2191</v>
      </c>
      <c r="C1082" s="20">
        <v>0</v>
      </c>
      <c r="E1082" s="20" t="s">
        <v>3185</v>
      </c>
      <c r="F1082" s="20" t="s">
        <v>2191</v>
      </c>
      <c r="G1082" s="20">
        <v>0</v>
      </c>
      <c r="AA1082" s="20" t="s">
        <v>2858</v>
      </c>
      <c r="AB1082" s="20">
        <v>0</v>
      </c>
      <c r="AC1082" s="20">
        <v>0</v>
      </c>
    </row>
    <row r="1083" spans="1:29" x14ac:dyDescent="0.25">
      <c r="A1083" s="20" t="s">
        <v>610</v>
      </c>
      <c r="B1083" s="20" t="s">
        <v>2191</v>
      </c>
      <c r="C1083" s="20">
        <v>0</v>
      </c>
      <c r="E1083" s="20" t="s">
        <v>3176</v>
      </c>
      <c r="F1083" s="20" t="s">
        <v>2191</v>
      </c>
      <c r="G1083" s="20">
        <v>0</v>
      </c>
      <c r="AA1083" s="20" t="s">
        <v>716</v>
      </c>
      <c r="AB1083" s="20">
        <v>6163.33</v>
      </c>
      <c r="AC1083" s="20">
        <v>191805.58</v>
      </c>
    </row>
    <row r="1084" spans="1:29" x14ac:dyDescent="0.25">
      <c r="A1084" s="20" t="s">
        <v>2648</v>
      </c>
      <c r="B1084" s="20" t="s">
        <v>2191</v>
      </c>
      <c r="C1084" s="20">
        <v>0</v>
      </c>
      <c r="E1084" s="20" t="s">
        <v>3178</v>
      </c>
      <c r="F1084" s="20" t="s">
        <v>2191</v>
      </c>
      <c r="G1084" s="20">
        <v>5664.5</v>
      </c>
      <c r="AA1084" s="20" t="s">
        <v>643</v>
      </c>
      <c r="AB1084" s="20">
        <v>815.59</v>
      </c>
      <c r="AC1084" s="20">
        <v>40382.199999999997</v>
      </c>
    </row>
    <row r="1085" spans="1:29" x14ac:dyDescent="0.25">
      <c r="A1085" s="20" t="s">
        <v>2175</v>
      </c>
      <c r="B1085" s="20" t="s">
        <v>2191</v>
      </c>
      <c r="C1085" s="20">
        <v>0</v>
      </c>
      <c r="E1085" s="20" t="s">
        <v>3164</v>
      </c>
      <c r="F1085" s="20" t="s">
        <v>2191</v>
      </c>
      <c r="G1085" s="20">
        <v>22628</v>
      </c>
      <c r="AA1085" s="20" t="s">
        <v>1690</v>
      </c>
      <c r="AB1085" s="20">
        <v>-404.73</v>
      </c>
      <c r="AC1085" s="20">
        <v>2064</v>
      </c>
    </row>
    <row r="1086" spans="1:29" x14ac:dyDescent="0.25">
      <c r="A1086" s="20" t="s">
        <v>1451</v>
      </c>
      <c r="B1086" s="20" t="s">
        <v>2191</v>
      </c>
      <c r="C1086" s="20">
        <v>0</v>
      </c>
      <c r="E1086" s="20" t="s">
        <v>3154</v>
      </c>
      <c r="F1086" s="20" t="s">
        <v>2191</v>
      </c>
      <c r="G1086" s="20">
        <v>0</v>
      </c>
      <c r="AA1086" s="20" t="s">
        <v>1691</v>
      </c>
      <c r="AB1086" s="20">
        <v>-1835.22</v>
      </c>
      <c r="AC1086" s="20">
        <v>0</v>
      </c>
    </row>
    <row r="1087" spans="1:29" x14ac:dyDescent="0.25">
      <c r="A1087" s="20" t="s">
        <v>2176</v>
      </c>
      <c r="B1087" s="20" t="s">
        <v>2191</v>
      </c>
      <c r="C1087" s="20">
        <v>0</v>
      </c>
      <c r="E1087" s="20" t="s">
        <v>3180</v>
      </c>
      <c r="F1087" s="20" t="s">
        <v>2191</v>
      </c>
      <c r="G1087" s="20">
        <v>1501</v>
      </c>
      <c r="AA1087" s="20" t="s">
        <v>1000</v>
      </c>
      <c r="AB1087" s="20">
        <v>27440.720000000001</v>
      </c>
      <c r="AC1087" s="20">
        <v>361543.27</v>
      </c>
    </row>
    <row r="1088" spans="1:29" x14ac:dyDescent="0.25">
      <c r="A1088" s="20" t="s">
        <v>1453</v>
      </c>
      <c r="B1088" s="20" t="s">
        <v>2191</v>
      </c>
      <c r="C1088" s="20">
        <v>-4082</v>
      </c>
      <c r="E1088" s="20" t="s">
        <v>3171</v>
      </c>
      <c r="F1088" s="20" t="s">
        <v>2191</v>
      </c>
      <c r="G1088" s="20">
        <v>0</v>
      </c>
      <c r="AA1088" s="20" t="s">
        <v>718</v>
      </c>
      <c r="AB1088" s="20">
        <v>2830.98</v>
      </c>
      <c r="AC1088" s="20">
        <v>41511.07</v>
      </c>
    </row>
    <row r="1089" spans="1:29" x14ac:dyDescent="0.25">
      <c r="A1089" s="20" t="s">
        <v>1454</v>
      </c>
      <c r="B1089" s="20" t="s">
        <v>2191</v>
      </c>
      <c r="C1089" s="20">
        <v>0</v>
      </c>
      <c r="E1089" s="20" t="s">
        <v>3173</v>
      </c>
      <c r="F1089" s="20" t="s">
        <v>2191</v>
      </c>
      <c r="G1089" s="20">
        <v>1809.98</v>
      </c>
      <c r="AA1089" s="20" t="s">
        <v>2859</v>
      </c>
      <c r="AB1089" s="20">
        <v>0</v>
      </c>
      <c r="AC1089" s="20">
        <v>0</v>
      </c>
    </row>
    <row r="1090" spans="1:29" x14ac:dyDescent="0.25">
      <c r="A1090" s="20" t="s">
        <v>1455</v>
      </c>
      <c r="B1090" s="20" t="s">
        <v>2191</v>
      </c>
      <c r="C1090" s="20">
        <v>0</v>
      </c>
      <c r="E1090" s="20" t="s">
        <v>3174</v>
      </c>
      <c r="F1090" s="20" t="s">
        <v>2191</v>
      </c>
      <c r="G1090" s="20">
        <v>20115</v>
      </c>
      <c r="AA1090" s="20" t="s">
        <v>118</v>
      </c>
      <c r="AB1090" s="20">
        <v>-2403.7600000000002</v>
      </c>
      <c r="AC1090" s="20">
        <v>45092.06</v>
      </c>
    </row>
    <row r="1091" spans="1:29" x14ac:dyDescent="0.25">
      <c r="A1091" s="20" t="s">
        <v>2177</v>
      </c>
      <c r="B1091" s="20" t="s">
        <v>2191</v>
      </c>
      <c r="C1091" s="20">
        <v>0</v>
      </c>
      <c r="E1091" s="20" t="s">
        <v>3201</v>
      </c>
      <c r="F1091" s="20" t="s">
        <v>2191</v>
      </c>
      <c r="G1091" s="20">
        <v>0</v>
      </c>
      <c r="AA1091" s="20" t="s">
        <v>2860</v>
      </c>
      <c r="AB1091" s="20">
        <v>0</v>
      </c>
      <c r="AC1091" s="20">
        <v>0</v>
      </c>
    </row>
    <row r="1092" spans="1:29" x14ac:dyDescent="0.25">
      <c r="A1092" s="20" t="s">
        <v>1456</v>
      </c>
      <c r="B1092" s="20" t="s">
        <v>2191</v>
      </c>
      <c r="C1092" s="20">
        <v>804</v>
      </c>
      <c r="E1092" s="20" t="s">
        <v>3187</v>
      </c>
      <c r="F1092" s="20" t="s">
        <v>2191</v>
      </c>
      <c r="G1092" s="20">
        <v>0</v>
      </c>
      <c r="AA1092" s="20" t="s">
        <v>2862</v>
      </c>
      <c r="AB1092" s="20">
        <v>0</v>
      </c>
      <c r="AC1092" s="20">
        <v>0</v>
      </c>
    </row>
    <row r="1093" spans="1:29" x14ac:dyDescent="0.25">
      <c r="A1093" s="20" t="s">
        <v>911</v>
      </c>
      <c r="B1093" s="20" t="s">
        <v>2191</v>
      </c>
      <c r="C1093" s="20">
        <v>0</v>
      </c>
      <c r="E1093" s="20" t="s">
        <v>3206</v>
      </c>
      <c r="F1093" s="20" t="s">
        <v>2191</v>
      </c>
      <c r="G1093" s="20">
        <v>0</v>
      </c>
      <c r="AA1093" s="20" t="s">
        <v>296</v>
      </c>
      <c r="AB1093" s="20">
        <v>571.04999999999995</v>
      </c>
      <c r="AC1093" s="20">
        <v>147095.32999999999</v>
      </c>
    </row>
    <row r="1094" spans="1:29" x14ac:dyDescent="0.25">
      <c r="A1094" s="20" t="s">
        <v>1933</v>
      </c>
      <c r="B1094" s="20" t="s">
        <v>2191</v>
      </c>
      <c r="C1094" s="20">
        <v>0</v>
      </c>
      <c r="E1094" s="20" t="s">
        <v>3188</v>
      </c>
      <c r="F1094" s="20" t="s">
        <v>2191</v>
      </c>
      <c r="G1094" s="20">
        <v>0</v>
      </c>
      <c r="AA1094" s="20" t="s">
        <v>1199</v>
      </c>
      <c r="AB1094" s="20">
        <v>32391.72</v>
      </c>
      <c r="AC1094" s="20">
        <v>1250001.53</v>
      </c>
    </row>
    <row r="1095" spans="1:29" x14ac:dyDescent="0.25">
      <c r="A1095" s="20" t="s">
        <v>1934</v>
      </c>
      <c r="B1095" s="20" t="s">
        <v>2191</v>
      </c>
      <c r="C1095" s="20">
        <v>0</v>
      </c>
      <c r="E1095" s="20" t="s">
        <v>3196</v>
      </c>
      <c r="F1095" s="20" t="s">
        <v>2191</v>
      </c>
      <c r="G1095" s="20">
        <v>-472.39</v>
      </c>
      <c r="AA1095" s="20" t="s">
        <v>2179</v>
      </c>
      <c r="AB1095" s="20">
        <v>0</v>
      </c>
      <c r="AC1095" s="20">
        <v>0</v>
      </c>
    </row>
    <row r="1096" spans="1:29" x14ac:dyDescent="0.25">
      <c r="A1096" s="20" t="s">
        <v>1458</v>
      </c>
      <c r="B1096" s="20" t="s">
        <v>2191</v>
      </c>
      <c r="C1096" s="20">
        <v>0</v>
      </c>
      <c r="E1096" s="20" t="s">
        <v>3199</v>
      </c>
      <c r="F1096" s="20" t="s">
        <v>2191</v>
      </c>
      <c r="G1096" s="20">
        <v>0</v>
      </c>
      <c r="AA1096" s="20" t="s">
        <v>2160</v>
      </c>
      <c r="AB1096" s="20">
        <v>0</v>
      </c>
      <c r="AC1096" s="20">
        <v>0</v>
      </c>
    </row>
    <row r="1097" spans="1:29" x14ac:dyDescent="0.25">
      <c r="A1097" s="20" t="s">
        <v>1461</v>
      </c>
      <c r="B1097" s="20" t="s">
        <v>2191</v>
      </c>
      <c r="C1097" s="20">
        <v>4936.13</v>
      </c>
      <c r="E1097" s="20" t="s">
        <v>3190</v>
      </c>
      <c r="F1097" s="20" t="s">
        <v>2191</v>
      </c>
      <c r="G1097" s="20">
        <v>0</v>
      </c>
      <c r="AA1097" s="20" t="s">
        <v>2136</v>
      </c>
      <c r="AB1097" s="20">
        <v>0</v>
      </c>
      <c r="AC1097" s="20">
        <v>0</v>
      </c>
    </row>
    <row r="1098" spans="1:29" x14ac:dyDescent="0.25">
      <c r="A1098" s="20" t="s">
        <v>1462</v>
      </c>
      <c r="B1098" s="20" t="s">
        <v>2191</v>
      </c>
      <c r="C1098" s="20">
        <v>6229.75</v>
      </c>
      <c r="E1098" s="20" t="s">
        <v>3191</v>
      </c>
      <c r="F1098" s="20" t="s">
        <v>2191</v>
      </c>
      <c r="G1098" s="20">
        <v>0</v>
      </c>
      <c r="AA1098" s="20" t="s">
        <v>2053</v>
      </c>
      <c r="AB1098" s="20">
        <v>0</v>
      </c>
      <c r="AC1098" s="20">
        <v>0</v>
      </c>
    </row>
    <row r="1099" spans="1:29" x14ac:dyDescent="0.25">
      <c r="A1099" s="20" t="s">
        <v>1463</v>
      </c>
      <c r="B1099" s="20" t="s">
        <v>2191</v>
      </c>
      <c r="C1099" s="20">
        <v>0</v>
      </c>
      <c r="E1099" s="20" t="s">
        <v>3193</v>
      </c>
      <c r="F1099" s="20" t="s">
        <v>2191</v>
      </c>
      <c r="G1099" s="20">
        <v>0</v>
      </c>
      <c r="AA1099" s="20" t="s">
        <v>2863</v>
      </c>
      <c r="AB1099" s="20">
        <v>0</v>
      </c>
      <c r="AC1099" s="20">
        <v>0</v>
      </c>
    </row>
    <row r="1100" spans="1:29" x14ac:dyDescent="0.25">
      <c r="A1100" s="20" t="s">
        <v>2649</v>
      </c>
      <c r="B1100" s="20" t="s">
        <v>2191</v>
      </c>
      <c r="C1100" s="20">
        <v>0</v>
      </c>
      <c r="E1100" s="20" t="s">
        <v>3205</v>
      </c>
      <c r="F1100" s="20" t="s">
        <v>2191</v>
      </c>
      <c r="G1100" s="20">
        <v>-4732.9399999999996</v>
      </c>
      <c r="AA1100" s="20" t="s">
        <v>2864</v>
      </c>
      <c r="AB1100" s="20">
        <v>0</v>
      </c>
      <c r="AC1100" s="20">
        <v>0</v>
      </c>
    </row>
    <row r="1101" spans="1:29" x14ac:dyDescent="0.25">
      <c r="A1101" s="20" t="s">
        <v>1653</v>
      </c>
      <c r="B1101" s="20" t="s">
        <v>2191</v>
      </c>
      <c r="C1101" s="20">
        <v>0</v>
      </c>
      <c r="E1101" s="20" t="s">
        <v>3204</v>
      </c>
      <c r="F1101" s="20" t="s">
        <v>2191</v>
      </c>
      <c r="G1101" s="20">
        <v>0</v>
      </c>
      <c r="AA1101" s="20" t="s">
        <v>1937</v>
      </c>
      <c r="AB1101" s="20">
        <v>0</v>
      </c>
      <c r="AC1101" s="20">
        <v>0</v>
      </c>
    </row>
    <row r="1102" spans="1:29" x14ac:dyDescent="0.25">
      <c r="A1102" s="20" t="s">
        <v>1464</v>
      </c>
      <c r="B1102" s="20" t="s">
        <v>2191</v>
      </c>
      <c r="C1102" s="20">
        <v>0</v>
      </c>
      <c r="E1102" s="20" t="s">
        <v>3214</v>
      </c>
      <c r="F1102" s="20" t="s">
        <v>2191</v>
      </c>
      <c r="G1102" s="20">
        <v>0</v>
      </c>
      <c r="AA1102" s="20" t="s">
        <v>1124</v>
      </c>
      <c r="AB1102" s="20">
        <v>-27.94</v>
      </c>
      <c r="AC1102" s="20">
        <v>0</v>
      </c>
    </row>
    <row r="1103" spans="1:29" x14ac:dyDescent="0.25">
      <c r="A1103" s="20" t="s">
        <v>2650</v>
      </c>
      <c r="B1103" s="20" t="s">
        <v>2191</v>
      </c>
      <c r="C1103" s="20">
        <v>0</v>
      </c>
      <c r="E1103" s="20" t="s">
        <v>3220</v>
      </c>
      <c r="F1103" s="20" t="s">
        <v>2191</v>
      </c>
      <c r="G1103" s="20">
        <v>7303</v>
      </c>
      <c r="AA1103" s="20" t="s">
        <v>2865</v>
      </c>
      <c r="AB1103" s="20">
        <v>0</v>
      </c>
      <c r="AC1103" s="20">
        <v>0</v>
      </c>
    </row>
    <row r="1104" spans="1:29" x14ac:dyDescent="0.25">
      <c r="A1104" s="20" t="s">
        <v>2651</v>
      </c>
      <c r="B1104" s="20" t="s">
        <v>2191</v>
      </c>
      <c r="C1104" s="20">
        <v>0</v>
      </c>
      <c r="E1104" s="20" t="s">
        <v>3222</v>
      </c>
      <c r="F1104" s="20" t="s">
        <v>2191</v>
      </c>
      <c r="G1104" s="20">
        <v>0</v>
      </c>
      <c r="AA1104" s="20" t="s">
        <v>2866</v>
      </c>
      <c r="AB1104" s="20">
        <v>0</v>
      </c>
      <c r="AC1104" s="20">
        <v>0</v>
      </c>
    </row>
    <row r="1105" spans="1:29" x14ac:dyDescent="0.25">
      <c r="A1105" s="20" t="s">
        <v>2652</v>
      </c>
      <c r="B1105" s="20" t="s">
        <v>2191</v>
      </c>
      <c r="C1105" s="20">
        <v>0</v>
      </c>
      <c r="E1105" s="20" t="s">
        <v>3224</v>
      </c>
      <c r="F1105" s="20" t="s">
        <v>2191</v>
      </c>
      <c r="G1105" s="20">
        <v>0</v>
      </c>
      <c r="AA1105" s="20" t="s">
        <v>1467</v>
      </c>
      <c r="AB1105" s="20">
        <v>-1235.3399999999999</v>
      </c>
      <c r="AC1105" s="20">
        <v>9448.5300000000007</v>
      </c>
    </row>
    <row r="1106" spans="1:29" x14ac:dyDescent="0.25">
      <c r="A1106" s="20" t="s">
        <v>1654</v>
      </c>
      <c r="B1106" s="20" t="s">
        <v>2191</v>
      </c>
      <c r="C1106" s="20">
        <v>0</v>
      </c>
      <c r="E1106" s="20" t="s">
        <v>3230</v>
      </c>
      <c r="F1106" s="20" t="s">
        <v>2191</v>
      </c>
      <c r="G1106" s="20">
        <v>23240.05</v>
      </c>
      <c r="AA1106" s="20" t="s">
        <v>2114</v>
      </c>
      <c r="AB1106" s="20">
        <v>0</v>
      </c>
      <c r="AC1106" s="20">
        <v>0</v>
      </c>
    </row>
    <row r="1107" spans="1:29" x14ac:dyDescent="0.25">
      <c r="A1107" s="20" t="s">
        <v>2653</v>
      </c>
      <c r="B1107" s="20" t="s">
        <v>2191</v>
      </c>
      <c r="C1107" s="20">
        <v>0</v>
      </c>
      <c r="E1107" s="20" t="s">
        <v>3239</v>
      </c>
      <c r="F1107" s="20" t="s">
        <v>2191</v>
      </c>
      <c r="G1107" s="20">
        <v>0</v>
      </c>
      <c r="AA1107" s="20" t="s">
        <v>481</v>
      </c>
      <c r="AB1107" s="20">
        <v>0</v>
      </c>
      <c r="AC1107" s="20">
        <v>0</v>
      </c>
    </row>
    <row r="1108" spans="1:29" x14ac:dyDescent="0.25">
      <c r="A1108" s="20" t="s">
        <v>2654</v>
      </c>
      <c r="B1108" s="20" t="s">
        <v>2191</v>
      </c>
      <c r="C1108" s="20">
        <v>0</v>
      </c>
      <c r="E1108" s="20" t="s">
        <v>3241</v>
      </c>
      <c r="F1108" s="20" t="s">
        <v>2191</v>
      </c>
      <c r="G1108" s="20">
        <v>0</v>
      </c>
      <c r="AA1108" s="20" t="s">
        <v>2868</v>
      </c>
      <c r="AB1108" s="20">
        <v>0</v>
      </c>
      <c r="AC1108" s="20">
        <v>0</v>
      </c>
    </row>
    <row r="1109" spans="1:29" x14ac:dyDescent="0.25">
      <c r="A1109" s="20" t="s">
        <v>1655</v>
      </c>
      <c r="B1109" s="20" t="s">
        <v>2191</v>
      </c>
      <c r="C1109" s="20">
        <v>0</v>
      </c>
      <c r="E1109" s="20" t="s">
        <v>3243</v>
      </c>
      <c r="F1109" s="20" t="s">
        <v>2191</v>
      </c>
      <c r="G1109" s="20">
        <v>0</v>
      </c>
      <c r="AA1109" s="20" t="s">
        <v>2869</v>
      </c>
      <c r="AB1109" s="20">
        <v>0</v>
      </c>
      <c r="AC1109" s="20">
        <v>0</v>
      </c>
    </row>
    <row r="1110" spans="1:29" x14ac:dyDescent="0.25">
      <c r="A1110" s="20" t="s">
        <v>2655</v>
      </c>
      <c r="B1110" s="20" t="s">
        <v>2191</v>
      </c>
      <c r="C1110" s="20">
        <v>0</v>
      </c>
      <c r="E1110" s="20" t="s">
        <v>3235</v>
      </c>
      <c r="F1110" s="20" t="s">
        <v>2191</v>
      </c>
      <c r="G1110" s="20">
        <v>500.25</v>
      </c>
      <c r="AA1110" s="20" t="s">
        <v>2870</v>
      </c>
      <c r="AB1110" s="20">
        <v>0</v>
      </c>
      <c r="AC1110" s="20">
        <v>0</v>
      </c>
    </row>
    <row r="1111" spans="1:29" x14ac:dyDescent="0.25">
      <c r="A1111" s="20" t="s">
        <v>2656</v>
      </c>
      <c r="B1111" s="20" t="s">
        <v>2191</v>
      </c>
      <c r="C1111" s="20">
        <v>0</v>
      </c>
      <c r="E1111" s="20" t="s">
        <v>3233</v>
      </c>
      <c r="F1111" s="20" t="s">
        <v>2191</v>
      </c>
      <c r="G1111" s="20">
        <v>0</v>
      </c>
      <c r="AA1111" s="20" t="s">
        <v>2871</v>
      </c>
      <c r="AB1111" s="20">
        <v>0</v>
      </c>
      <c r="AC1111" s="20">
        <v>0</v>
      </c>
    </row>
    <row r="1112" spans="1:29" x14ac:dyDescent="0.25">
      <c r="A1112" s="20" t="s">
        <v>1656</v>
      </c>
      <c r="B1112" s="20" t="s">
        <v>2191</v>
      </c>
      <c r="C1112" s="20">
        <v>0</v>
      </c>
      <c r="E1112" s="20" t="s">
        <v>3248</v>
      </c>
      <c r="F1112" s="20" t="s">
        <v>2191</v>
      </c>
      <c r="G1112" s="20">
        <v>0</v>
      </c>
      <c r="AA1112" s="20" t="s">
        <v>646</v>
      </c>
      <c r="AB1112" s="20">
        <v>13039.5</v>
      </c>
      <c r="AC1112" s="20">
        <v>24905.02</v>
      </c>
    </row>
    <row r="1113" spans="1:29" x14ac:dyDescent="0.25">
      <c r="A1113" s="20" t="s">
        <v>1657</v>
      </c>
      <c r="B1113" s="20" t="s">
        <v>2191</v>
      </c>
      <c r="C1113" s="20">
        <v>0</v>
      </c>
      <c r="E1113" s="20" t="s">
        <v>3244</v>
      </c>
      <c r="F1113" s="20" t="s">
        <v>2191</v>
      </c>
      <c r="G1113" s="20">
        <v>0</v>
      </c>
      <c r="AA1113" s="20" t="s">
        <v>1219</v>
      </c>
      <c r="AB1113" s="20">
        <v>3052.24</v>
      </c>
      <c r="AC1113" s="20">
        <v>16538.05</v>
      </c>
    </row>
    <row r="1114" spans="1:29" x14ac:dyDescent="0.25">
      <c r="A1114" s="20" t="s">
        <v>2657</v>
      </c>
      <c r="B1114" s="20" t="s">
        <v>2191</v>
      </c>
      <c r="C1114" s="20">
        <v>0</v>
      </c>
      <c r="E1114" s="20" t="s">
        <v>3256</v>
      </c>
      <c r="F1114" s="20" t="s">
        <v>2191</v>
      </c>
      <c r="G1114" s="20">
        <v>0</v>
      </c>
      <c r="AA1114" s="20" t="s">
        <v>668</v>
      </c>
      <c r="AB1114" s="20">
        <v>338509.03</v>
      </c>
      <c r="AC1114" s="20">
        <v>833009.82</v>
      </c>
    </row>
    <row r="1115" spans="1:29" x14ac:dyDescent="0.25">
      <c r="A1115" s="20" t="s">
        <v>2658</v>
      </c>
      <c r="B1115" s="20" t="s">
        <v>2191</v>
      </c>
      <c r="C1115" s="20">
        <v>0</v>
      </c>
      <c r="E1115" s="20" t="s">
        <v>3257</v>
      </c>
      <c r="F1115" s="20" t="s">
        <v>2191</v>
      </c>
      <c r="G1115" s="20">
        <v>2921.65</v>
      </c>
      <c r="AA1115" s="20" t="s">
        <v>1125</v>
      </c>
      <c r="AB1115" s="20">
        <v>-362.5</v>
      </c>
      <c r="AC1115" s="20">
        <v>19744.46</v>
      </c>
    </row>
    <row r="1116" spans="1:29" x14ac:dyDescent="0.25">
      <c r="A1116" s="20" t="s">
        <v>2659</v>
      </c>
      <c r="B1116" s="20" t="s">
        <v>2191</v>
      </c>
      <c r="C1116" s="20">
        <v>0</v>
      </c>
      <c r="E1116" s="20" t="s">
        <v>3252</v>
      </c>
      <c r="F1116" s="20" t="s">
        <v>2191</v>
      </c>
      <c r="G1116" s="20">
        <v>0</v>
      </c>
      <c r="AA1116" s="20" t="s">
        <v>1126</v>
      </c>
      <c r="AB1116" s="20">
        <v>144724.60999999999</v>
      </c>
      <c r="AC1116" s="20">
        <v>146489.47</v>
      </c>
    </row>
    <row r="1117" spans="1:29" x14ac:dyDescent="0.25">
      <c r="A1117" s="20" t="s">
        <v>1658</v>
      </c>
      <c r="B1117" s="20" t="s">
        <v>2191</v>
      </c>
      <c r="C1117" s="20">
        <v>0</v>
      </c>
      <c r="E1117" s="20" t="s">
        <v>3265</v>
      </c>
      <c r="F1117" s="20" t="s">
        <v>2191</v>
      </c>
      <c r="G1117" s="20">
        <v>0</v>
      </c>
      <c r="AA1117" s="20" t="s">
        <v>1892</v>
      </c>
      <c r="AB1117" s="20">
        <v>0</v>
      </c>
      <c r="AC1117" s="20">
        <v>0</v>
      </c>
    </row>
    <row r="1118" spans="1:29" x14ac:dyDescent="0.25">
      <c r="A1118" s="20" t="s">
        <v>807</v>
      </c>
      <c r="B1118" s="20" t="s">
        <v>2191</v>
      </c>
      <c r="C1118" s="20">
        <v>0</v>
      </c>
      <c r="E1118" s="20" t="s">
        <v>3276</v>
      </c>
      <c r="F1118" s="20" t="s">
        <v>2191</v>
      </c>
      <c r="G1118" s="20">
        <v>0</v>
      </c>
      <c r="AA1118" s="20" t="s">
        <v>1127</v>
      </c>
      <c r="AB1118" s="20">
        <v>29788.11</v>
      </c>
      <c r="AC1118" s="20">
        <v>94228.52</v>
      </c>
    </row>
    <row r="1119" spans="1:29" x14ac:dyDescent="0.25">
      <c r="A1119" s="20" t="s">
        <v>2660</v>
      </c>
      <c r="B1119" s="20" t="s">
        <v>2191</v>
      </c>
      <c r="C1119" s="20">
        <v>0</v>
      </c>
      <c r="E1119" s="20" t="s">
        <v>3266</v>
      </c>
      <c r="F1119" s="20" t="s">
        <v>2191</v>
      </c>
      <c r="G1119" s="20">
        <v>0</v>
      </c>
      <c r="AA1119" s="20" t="s">
        <v>298</v>
      </c>
      <c r="AB1119" s="20">
        <v>-7033.53</v>
      </c>
      <c r="AC1119" s="20">
        <v>172742.15</v>
      </c>
    </row>
    <row r="1120" spans="1:29" x14ac:dyDescent="0.25">
      <c r="A1120" s="20" t="s">
        <v>2661</v>
      </c>
      <c r="B1120" s="20" t="s">
        <v>2191</v>
      </c>
      <c r="C1120" s="20">
        <v>0</v>
      </c>
      <c r="E1120" s="20" t="s">
        <v>3260</v>
      </c>
      <c r="F1120" s="20" t="s">
        <v>2191</v>
      </c>
      <c r="G1120" s="20">
        <v>22732</v>
      </c>
      <c r="AA1120" s="20" t="s">
        <v>2872</v>
      </c>
      <c r="AB1120" s="20">
        <v>0</v>
      </c>
      <c r="AC1120" s="20">
        <v>0</v>
      </c>
    </row>
    <row r="1121" spans="1:29" x14ac:dyDescent="0.25">
      <c r="A1121" s="20" t="s">
        <v>1659</v>
      </c>
      <c r="B1121" s="20" t="s">
        <v>2191</v>
      </c>
      <c r="C1121" s="20">
        <v>0</v>
      </c>
      <c r="E1121" s="20" t="s">
        <v>3275</v>
      </c>
      <c r="F1121" s="20" t="s">
        <v>2191</v>
      </c>
      <c r="G1121" s="20">
        <v>0</v>
      </c>
      <c r="AA1121" s="20" t="s">
        <v>2984</v>
      </c>
      <c r="AB1121" s="20">
        <v>0</v>
      </c>
      <c r="AC1121" s="20">
        <v>0</v>
      </c>
    </row>
    <row r="1122" spans="1:29" x14ac:dyDescent="0.25">
      <c r="A1122" s="20" t="s">
        <v>2662</v>
      </c>
      <c r="B1122" s="20" t="s">
        <v>2191</v>
      </c>
      <c r="C1122" s="20">
        <v>0</v>
      </c>
      <c r="E1122" s="20" t="s">
        <v>3272</v>
      </c>
      <c r="F1122" s="20" t="s">
        <v>2191</v>
      </c>
      <c r="G1122" s="20">
        <v>0</v>
      </c>
      <c r="AA1122" s="20" t="s">
        <v>2873</v>
      </c>
      <c r="AB1122" s="20">
        <v>0</v>
      </c>
      <c r="AC1122" s="20">
        <v>0</v>
      </c>
    </row>
    <row r="1123" spans="1:29" x14ac:dyDescent="0.25">
      <c r="A1123" s="20" t="s">
        <v>2663</v>
      </c>
      <c r="B1123" s="20" t="s">
        <v>2191</v>
      </c>
      <c r="C1123" s="20">
        <v>0</v>
      </c>
      <c r="E1123" s="20" t="s">
        <v>3278</v>
      </c>
      <c r="F1123" s="20" t="s">
        <v>2191</v>
      </c>
      <c r="G1123" s="20">
        <v>8831</v>
      </c>
      <c r="AA1123" s="20" t="s">
        <v>1011</v>
      </c>
      <c r="AB1123" s="20">
        <v>0</v>
      </c>
      <c r="AC1123" s="20">
        <v>0</v>
      </c>
    </row>
    <row r="1124" spans="1:29" x14ac:dyDescent="0.25">
      <c r="A1124" s="20" t="s">
        <v>2664</v>
      </c>
      <c r="B1124" s="20" t="s">
        <v>2191</v>
      </c>
      <c r="C1124" s="20">
        <v>0</v>
      </c>
      <c r="E1124" s="20" t="s">
        <v>3280</v>
      </c>
      <c r="F1124" s="20" t="s">
        <v>2191</v>
      </c>
      <c r="G1124" s="20">
        <v>0</v>
      </c>
      <c r="AA1124" s="20" t="s">
        <v>721</v>
      </c>
      <c r="AB1124" s="20">
        <v>-1818.33</v>
      </c>
      <c r="AC1124" s="20">
        <v>8864.1299999999992</v>
      </c>
    </row>
    <row r="1125" spans="1:29" x14ac:dyDescent="0.25">
      <c r="A1125" s="20" t="s">
        <v>2665</v>
      </c>
      <c r="B1125" s="20" t="s">
        <v>2191</v>
      </c>
      <c r="C1125" s="20">
        <v>0</v>
      </c>
      <c r="E1125" s="20" t="s">
        <v>3285</v>
      </c>
      <c r="F1125" s="20" t="s">
        <v>2191</v>
      </c>
      <c r="G1125" s="20">
        <v>13955.25</v>
      </c>
      <c r="AA1125" s="20" t="s">
        <v>2874</v>
      </c>
      <c r="AB1125" s="20">
        <v>0</v>
      </c>
      <c r="AC1125" s="20">
        <v>0</v>
      </c>
    </row>
    <row r="1126" spans="1:29" x14ac:dyDescent="0.25">
      <c r="A1126" s="20" t="s">
        <v>2666</v>
      </c>
      <c r="B1126" s="20" t="s">
        <v>2191</v>
      </c>
      <c r="C1126" s="20">
        <v>0</v>
      </c>
      <c r="E1126" s="20" t="s">
        <v>3308</v>
      </c>
      <c r="F1126" s="20" t="s">
        <v>2191</v>
      </c>
      <c r="G1126" s="20">
        <v>3514</v>
      </c>
      <c r="AA1126" s="20" t="s">
        <v>2875</v>
      </c>
      <c r="AB1126" s="20">
        <v>0</v>
      </c>
      <c r="AC1126" s="20">
        <v>0</v>
      </c>
    </row>
    <row r="1127" spans="1:29" x14ac:dyDescent="0.25">
      <c r="A1127" s="20" t="s">
        <v>1660</v>
      </c>
      <c r="B1127" s="20" t="s">
        <v>2191</v>
      </c>
      <c r="C1127" s="20">
        <v>0</v>
      </c>
      <c r="E1127" s="20" t="s">
        <v>3301</v>
      </c>
      <c r="F1127" s="20" t="s">
        <v>2191</v>
      </c>
      <c r="G1127" s="20">
        <v>0</v>
      </c>
      <c r="AA1127" s="20" t="s">
        <v>300</v>
      </c>
      <c r="AB1127" s="20">
        <v>191372.73</v>
      </c>
      <c r="AC1127" s="20">
        <v>182643.72</v>
      </c>
    </row>
    <row r="1128" spans="1:29" x14ac:dyDescent="0.25">
      <c r="A1128" s="20" t="s">
        <v>2667</v>
      </c>
      <c r="B1128" s="20" t="s">
        <v>2191</v>
      </c>
      <c r="C1128" s="20">
        <v>0</v>
      </c>
      <c r="E1128" s="20" t="s">
        <v>3287</v>
      </c>
      <c r="F1128" s="20" t="s">
        <v>2191</v>
      </c>
      <c r="G1128" s="20">
        <v>0</v>
      </c>
      <c r="AA1128" s="20" t="s">
        <v>487</v>
      </c>
      <c r="AB1128" s="20">
        <v>138296.26999999999</v>
      </c>
      <c r="AC1128" s="20">
        <v>305982.13</v>
      </c>
    </row>
    <row r="1129" spans="1:29" x14ac:dyDescent="0.25">
      <c r="A1129" s="20" t="s">
        <v>2668</v>
      </c>
      <c r="B1129" s="20" t="s">
        <v>2191</v>
      </c>
      <c r="C1129" s="20">
        <v>0</v>
      </c>
      <c r="E1129" s="20" t="s">
        <v>3299</v>
      </c>
      <c r="F1129" s="20" t="s">
        <v>2191</v>
      </c>
      <c r="G1129" s="20">
        <v>10060</v>
      </c>
      <c r="AA1129" s="20" t="s">
        <v>2876</v>
      </c>
      <c r="AB1129" s="20">
        <v>0</v>
      </c>
      <c r="AC1129" s="20">
        <v>0</v>
      </c>
    </row>
    <row r="1130" spans="1:29" x14ac:dyDescent="0.25">
      <c r="A1130" s="20" t="s">
        <v>2669</v>
      </c>
      <c r="B1130" s="20" t="s">
        <v>2191</v>
      </c>
      <c r="C1130" s="20">
        <v>0</v>
      </c>
      <c r="E1130" s="20" t="s">
        <v>3311</v>
      </c>
      <c r="F1130" s="20" t="s">
        <v>2191</v>
      </c>
      <c r="G1130" s="20">
        <v>14319</v>
      </c>
      <c r="AA1130" s="20" t="s">
        <v>1692</v>
      </c>
      <c r="AB1130" s="20">
        <v>-2048.52</v>
      </c>
      <c r="AC1130" s="20">
        <v>5731.23</v>
      </c>
    </row>
    <row r="1131" spans="1:29" x14ac:dyDescent="0.25">
      <c r="A1131" s="20" t="s">
        <v>2670</v>
      </c>
      <c r="B1131" s="20" t="s">
        <v>2191</v>
      </c>
      <c r="C1131" s="20">
        <v>0</v>
      </c>
      <c r="E1131" s="20" t="s">
        <v>3304</v>
      </c>
      <c r="F1131" s="20" t="s">
        <v>2191</v>
      </c>
      <c r="G1131" s="20">
        <v>78310</v>
      </c>
      <c r="AA1131" s="20" t="s">
        <v>2137</v>
      </c>
      <c r="AB1131" s="20">
        <v>0</v>
      </c>
      <c r="AC1131" s="20">
        <v>0</v>
      </c>
    </row>
    <row r="1132" spans="1:29" x14ac:dyDescent="0.25">
      <c r="A1132" s="20" t="s">
        <v>2671</v>
      </c>
      <c r="B1132" s="20" t="s">
        <v>2191</v>
      </c>
      <c r="C1132" s="20">
        <v>0</v>
      </c>
      <c r="E1132" s="20" t="s">
        <v>3309</v>
      </c>
      <c r="F1132" s="20" t="s">
        <v>2191</v>
      </c>
      <c r="G1132" s="20">
        <v>12457</v>
      </c>
      <c r="AA1132" s="20" t="s">
        <v>922</v>
      </c>
      <c r="AB1132" s="20">
        <v>-764.97</v>
      </c>
      <c r="AC1132" s="20">
        <v>11439.87</v>
      </c>
    </row>
    <row r="1133" spans="1:29" x14ac:dyDescent="0.25">
      <c r="A1133" s="20" t="s">
        <v>2672</v>
      </c>
      <c r="B1133" s="20" t="s">
        <v>2191</v>
      </c>
      <c r="C1133" s="20">
        <v>0</v>
      </c>
      <c r="E1133" s="20" t="s">
        <v>3310</v>
      </c>
      <c r="F1133" s="20" t="s">
        <v>2191</v>
      </c>
      <c r="G1133" s="20">
        <v>15811</v>
      </c>
      <c r="AA1133" s="20" t="s">
        <v>1693</v>
      </c>
      <c r="AB1133" s="20">
        <v>-5936.64</v>
      </c>
      <c r="AC1133" s="20">
        <v>0</v>
      </c>
    </row>
    <row r="1134" spans="1:29" x14ac:dyDescent="0.25">
      <c r="A1134" s="20" t="s">
        <v>2673</v>
      </c>
      <c r="B1134" s="20" t="s">
        <v>2191</v>
      </c>
      <c r="C1134" s="20">
        <v>0</v>
      </c>
      <c r="E1134" s="20" t="s">
        <v>3288</v>
      </c>
      <c r="F1134" s="20" t="s">
        <v>2191</v>
      </c>
      <c r="G1134" s="20">
        <v>4675</v>
      </c>
      <c r="AA1134" s="20" t="s">
        <v>1290</v>
      </c>
      <c r="AB1134" s="20">
        <v>1897698.78</v>
      </c>
      <c r="AC1134" s="20">
        <v>855099.77</v>
      </c>
    </row>
    <row r="1135" spans="1:29" x14ac:dyDescent="0.25">
      <c r="A1135" s="20" t="s">
        <v>2674</v>
      </c>
      <c r="B1135" s="20" t="s">
        <v>2191</v>
      </c>
      <c r="C1135" s="20">
        <v>0</v>
      </c>
      <c r="E1135" s="20" t="s">
        <v>3292</v>
      </c>
      <c r="F1135" s="20" t="s">
        <v>2191</v>
      </c>
      <c r="G1135" s="20">
        <v>43988</v>
      </c>
      <c r="AA1135" s="20" t="s">
        <v>135</v>
      </c>
      <c r="AB1135" s="20">
        <v>193765.38</v>
      </c>
      <c r="AC1135" s="20">
        <v>38658.61</v>
      </c>
    </row>
    <row r="1136" spans="1:29" x14ac:dyDescent="0.25">
      <c r="A1136" s="20" t="s">
        <v>2675</v>
      </c>
      <c r="B1136" s="20" t="s">
        <v>2191</v>
      </c>
      <c r="C1136" s="20">
        <v>0</v>
      </c>
      <c r="E1136" s="20" t="s">
        <v>3315</v>
      </c>
      <c r="F1136" s="20" t="s">
        <v>2191</v>
      </c>
      <c r="G1136" s="20">
        <v>2109</v>
      </c>
      <c r="AA1136" s="20" t="s">
        <v>2877</v>
      </c>
      <c r="AB1136" s="20">
        <v>0</v>
      </c>
      <c r="AC1136" s="20">
        <v>0</v>
      </c>
    </row>
    <row r="1137" spans="1:29" x14ac:dyDescent="0.25">
      <c r="A1137" s="20" t="s">
        <v>2676</v>
      </c>
      <c r="B1137" s="20" t="s">
        <v>2191</v>
      </c>
      <c r="C1137" s="20">
        <v>0</v>
      </c>
      <c r="E1137" s="20" t="s">
        <v>3302</v>
      </c>
      <c r="F1137" s="20" t="s">
        <v>2191</v>
      </c>
      <c r="G1137" s="20">
        <v>48203.48</v>
      </c>
      <c r="AA1137" s="20" t="s">
        <v>1012</v>
      </c>
      <c r="AB1137" s="20">
        <v>-1643.66</v>
      </c>
      <c r="AC1137" s="20">
        <v>10875.77</v>
      </c>
    </row>
    <row r="1138" spans="1:29" x14ac:dyDescent="0.25">
      <c r="A1138" s="20" t="s">
        <v>2677</v>
      </c>
      <c r="B1138" s="20" t="s">
        <v>2191</v>
      </c>
      <c r="C1138" s="20">
        <v>0</v>
      </c>
      <c r="E1138" s="20" t="s">
        <v>3303</v>
      </c>
      <c r="F1138" s="20" t="s">
        <v>2191</v>
      </c>
      <c r="G1138" s="20">
        <v>10279</v>
      </c>
      <c r="AA1138" s="20" t="s">
        <v>490</v>
      </c>
      <c r="AB1138" s="20">
        <v>0</v>
      </c>
      <c r="AC1138" s="20">
        <v>0</v>
      </c>
    </row>
    <row r="1139" spans="1:29" x14ac:dyDescent="0.25">
      <c r="A1139" s="20" t="s">
        <v>2678</v>
      </c>
      <c r="B1139" s="20" t="s">
        <v>2191</v>
      </c>
      <c r="C1139" s="20">
        <v>0</v>
      </c>
      <c r="E1139" s="20" t="s">
        <v>3289</v>
      </c>
      <c r="F1139" s="20" t="s">
        <v>2191</v>
      </c>
      <c r="G1139" s="20">
        <v>0</v>
      </c>
      <c r="AA1139" s="20" t="s">
        <v>1517</v>
      </c>
      <c r="AB1139" s="20">
        <v>14106.87</v>
      </c>
      <c r="AC1139" s="20">
        <v>18262.02</v>
      </c>
    </row>
    <row r="1140" spans="1:29" x14ac:dyDescent="0.25">
      <c r="A1140" s="20" t="s">
        <v>2679</v>
      </c>
      <c r="B1140" s="20" t="s">
        <v>2191</v>
      </c>
      <c r="C1140" s="20">
        <v>0</v>
      </c>
      <c r="E1140" s="20" t="s">
        <v>3314</v>
      </c>
      <c r="F1140" s="20" t="s">
        <v>2191</v>
      </c>
      <c r="G1140" s="20">
        <v>0</v>
      </c>
      <c r="AA1140" s="20" t="s">
        <v>1894</v>
      </c>
      <c r="AB1140" s="20">
        <v>0</v>
      </c>
      <c r="AC1140" s="20">
        <v>0</v>
      </c>
    </row>
    <row r="1141" spans="1:29" x14ac:dyDescent="0.25">
      <c r="A1141" s="20" t="s">
        <v>2680</v>
      </c>
      <c r="B1141" s="20" t="s">
        <v>2191</v>
      </c>
      <c r="C1141" s="20">
        <v>0</v>
      </c>
      <c r="E1141" s="20" t="s">
        <v>3313</v>
      </c>
      <c r="F1141" s="20" t="s">
        <v>2191</v>
      </c>
      <c r="G1141" s="20">
        <v>-1525.29</v>
      </c>
      <c r="AA1141" s="20" t="s">
        <v>303</v>
      </c>
      <c r="AB1141" s="20">
        <v>40492.050000000003</v>
      </c>
      <c r="AC1141" s="20">
        <v>541212.87</v>
      </c>
    </row>
    <row r="1142" spans="1:29" x14ac:dyDescent="0.25">
      <c r="A1142" s="20" t="s">
        <v>1661</v>
      </c>
      <c r="B1142" s="20" t="s">
        <v>2191</v>
      </c>
      <c r="C1142" s="20">
        <v>0</v>
      </c>
      <c r="E1142" s="20" t="s">
        <v>3336</v>
      </c>
      <c r="F1142" s="20" t="s">
        <v>2191</v>
      </c>
      <c r="G1142" s="20">
        <v>0</v>
      </c>
      <c r="AA1142" s="20" t="s">
        <v>1293</v>
      </c>
      <c r="AB1142" s="20">
        <v>-240.25</v>
      </c>
      <c r="AC1142" s="20">
        <v>95029.78</v>
      </c>
    </row>
    <row r="1143" spans="1:29" x14ac:dyDescent="0.25">
      <c r="A1143" s="20" t="s">
        <v>1662</v>
      </c>
      <c r="B1143" s="20" t="s">
        <v>2191</v>
      </c>
      <c r="C1143" s="20">
        <v>0</v>
      </c>
      <c r="E1143" s="20" t="s">
        <v>3346</v>
      </c>
      <c r="F1143" s="20" t="s">
        <v>2191</v>
      </c>
      <c r="G1143" s="20">
        <v>600</v>
      </c>
      <c r="AA1143" s="20" t="s">
        <v>492</v>
      </c>
      <c r="AB1143" s="20">
        <v>5965.09</v>
      </c>
      <c r="AC1143" s="20">
        <v>81373.509999999995</v>
      </c>
    </row>
    <row r="1144" spans="1:29" x14ac:dyDescent="0.25">
      <c r="A1144" s="20" t="s">
        <v>2681</v>
      </c>
      <c r="B1144" s="20" t="s">
        <v>2191</v>
      </c>
      <c r="C1144" s="20">
        <v>0</v>
      </c>
      <c r="E1144" s="20" t="s">
        <v>3334</v>
      </c>
      <c r="F1144" s="20" t="s">
        <v>2191</v>
      </c>
      <c r="G1144" s="20">
        <v>0</v>
      </c>
      <c r="AA1144" s="20" t="s">
        <v>305</v>
      </c>
      <c r="AB1144" s="20">
        <v>1655.58</v>
      </c>
      <c r="AC1144" s="20">
        <v>44941.18</v>
      </c>
    </row>
    <row r="1145" spans="1:29" x14ac:dyDescent="0.25">
      <c r="A1145" s="20" t="s">
        <v>2682</v>
      </c>
      <c r="B1145" s="20" t="s">
        <v>2191</v>
      </c>
      <c r="C1145" s="20">
        <v>0</v>
      </c>
      <c r="E1145" s="20" t="s">
        <v>3343</v>
      </c>
      <c r="F1145" s="20" t="s">
        <v>2191</v>
      </c>
      <c r="G1145" s="20">
        <v>20844.62</v>
      </c>
      <c r="AA1145" s="20" t="s">
        <v>307</v>
      </c>
      <c r="AB1145" s="20">
        <v>-10616.03</v>
      </c>
      <c r="AC1145" s="20">
        <v>169274.78</v>
      </c>
    </row>
    <row r="1146" spans="1:29" x14ac:dyDescent="0.25">
      <c r="A1146" s="20" t="s">
        <v>2683</v>
      </c>
      <c r="B1146" s="20" t="s">
        <v>2191</v>
      </c>
      <c r="C1146" s="20">
        <v>0</v>
      </c>
      <c r="E1146" s="20" t="s">
        <v>3341</v>
      </c>
      <c r="F1146" s="20" t="s">
        <v>2191</v>
      </c>
      <c r="G1146" s="20">
        <v>0</v>
      </c>
      <c r="AA1146" s="20" t="s">
        <v>493</v>
      </c>
      <c r="AB1146" s="20">
        <v>174.47</v>
      </c>
      <c r="AC1146" s="20">
        <v>31105.79</v>
      </c>
    </row>
    <row r="1147" spans="1:29" x14ac:dyDescent="0.25">
      <c r="A1147" s="20" t="s">
        <v>2684</v>
      </c>
      <c r="B1147" s="20" t="s">
        <v>2191</v>
      </c>
      <c r="C1147" s="20">
        <v>0</v>
      </c>
      <c r="E1147" s="20" t="s">
        <v>3335</v>
      </c>
      <c r="F1147" s="20" t="s">
        <v>2191</v>
      </c>
      <c r="G1147" s="20">
        <v>10527</v>
      </c>
      <c r="AA1147" s="20" t="s">
        <v>309</v>
      </c>
      <c r="AB1147" s="20">
        <v>6058.23</v>
      </c>
      <c r="AC1147" s="20">
        <v>48090.57</v>
      </c>
    </row>
    <row r="1148" spans="1:29" x14ac:dyDescent="0.25">
      <c r="A1148" s="20" t="s">
        <v>2685</v>
      </c>
      <c r="B1148" s="20" t="s">
        <v>2191</v>
      </c>
      <c r="C1148" s="20">
        <v>0</v>
      </c>
      <c r="E1148" s="20" t="s">
        <v>3342</v>
      </c>
      <c r="F1148" s="20" t="s">
        <v>2191</v>
      </c>
      <c r="G1148" s="20">
        <v>36682.370000000003</v>
      </c>
      <c r="AA1148" s="20" t="s">
        <v>123</v>
      </c>
      <c r="AB1148" s="20">
        <v>-4618.3999999999996</v>
      </c>
      <c r="AC1148" s="20">
        <v>-1603.63</v>
      </c>
    </row>
    <row r="1149" spans="1:29" x14ac:dyDescent="0.25">
      <c r="A1149" s="20" t="s">
        <v>2686</v>
      </c>
      <c r="B1149" s="20" t="s">
        <v>2191</v>
      </c>
      <c r="C1149" s="20">
        <v>0</v>
      </c>
      <c r="E1149" s="20" t="s">
        <v>3349</v>
      </c>
      <c r="F1149" s="20" t="s">
        <v>2191</v>
      </c>
      <c r="G1149" s="20">
        <v>1757</v>
      </c>
      <c r="AA1149" s="20" t="s">
        <v>1014</v>
      </c>
      <c r="AB1149" s="20">
        <v>0</v>
      </c>
      <c r="AC1149" s="20">
        <v>0</v>
      </c>
    </row>
    <row r="1150" spans="1:29" x14ac:dyDescent="0.25">
      <c r="A1150" s="20" t="s">
        <v>2687</v>
      </c>
      <c r="B1150" s="20" t="s">
        <v>2191</v>
      </c>
      <c r="C1150" s="20">
        <v>0</v>
      </c>
      <c r="E1150" s="20" t="s">
        <v>3372</v>
      </c>
      <c r="F1150" s="20" t="s">
        <v>2191</v>
      </c>
      <c r="G1150" s="20">
        <v>31212</v>
      </c>
      <c r="AA1150" s="20" t="s">
        <v>633</v>
      </c>
      <c r="AB1150" s="20">
        <v>182906.92</v>
      </c>
      <c r="AC1150" s="20">
        <v>279323.37</v>
      </c>
    </row>
    <row r="1151" spans="1:29" x14ac:dyDescent="0.25">
      <c r="A1151" s="20" t="s">
        <v>2688</v>
      </c>
      <c r="B1151" s="20" t="s">
        <v>2191</v>
      </c>
      <c r="C1151" s="20">
        <v>0</v>
      </c>
      <c r="E1151" s="20" t="s">
        <v>3368</v>
      </c>
      <c r="F1151" s="20" t="s">
        <v>2191</v>
      </c>
      <c r="G1151" s="20">
        <v>14799</v>
      </c>
      <c r="AA1151" s="20" t="s">
        <v>1846</v>
      </c>
      <c r="AB1151" s="20">
        <v>0</v>
      </c>
      <c r="AC1151" s="20">
        <v>0</v>
      </c>
    </row>
    <row r="1152" spans="1:29" x14ac:dyDescent="0.25">
      <c r="A1152" s="20" t="s">
        <v>1663</v>
      </c>
      <c r="B1152" s="20" t="s">
        <v>2191</v>
      </c>
      <c r="C1152" s="20">
        <v>0</v>
      </c>
      <c r="E1152" s="20" t="s">
        <v>3367</v>
      </c>
      <c r="F1152" s="20" t="s">
        <v>2191</v>
      </c>
      <c r="G1152" s="20">
        <v>0</v>
      </c>
      <c r="AA1152" s="20" t="s">
        <v>1980</v>
      </c>
      <c r="AB1152" s="20">
        <v>0</v>
      </c>
      <c r="AC1152" s="20">
        <v>0</v>
      </c>
    </row>
    <row r="1153" spans="1:29" x14ac:dyDescent="0.25">
      <c r="A1153" s="20" t="s">
        <v>2689</v>
      </c>
      <c r="B1153" s="20" t="s">
        <v>2191</v>
      </c>
      <c r="C1153" s="20">
        <v>0</v>
      </c>
      <c r="E1153" s="20" t="s">
        <v>3364</v>
      </c>
      <c r="F1153" s="20" t="s">
        <v>2191</v>
      </c>
      <c r="G1153" s="20">
        <v>2254</v>
      </c>
      <c r="AA1153" s="20" t="s">
        <v>2181</v>
      </c>
      <c r="AB1153" s="20">
        <v>0</v>
      </c>
      <c r="AC1153" s="20">
        <v>0</v>
      </c>
    </row>
    <row r="1154" spans="1:29" x14ac:dyDescent="0.25">
      <c r="A1154" s="20" t="s">
        <v>1664</v>
      </c>
      <c r="B1154" s="20" t="s">
        <v>2191</v>
      </c>
      <c r="C1154" s="20">
        <v>0</v>
      </c>
      <c r="E1154" s="20" t="s">
        <v>3362</v>
      </c>
      <c r="F1154" s="20" t="s">
        <v>2191</v>
      </c>
      <c r="G1154" s="20">
        <v>0</v>
      </c>
      <c r="AA1154" s="20" t="s">
        <v>1847</v>
      </c>
      <c r="AB1154" s="20">
        <v>0</v>
      </c>
      <c r="AC1154" s="20">
        <v>0</v>
      </c>
    </row>
    <row r="1155" spans="1:29" x14ac:dyDescent="0.25">
      <c r="A1155" s="20" t="s">
        <v>2690</v>
      </c>
      <c r="B1155" s="20" t="s">
        <v>2191</v>
      </c>
      <c r="C1155" s="20">
        <v>0</v>
      </c>
      <c r="E1155" s="20" t="s">
        <v>3377</v>
      </c>
      <c r="F1155" s="20" t="s">
        <v>2191</v>
      </c>
      <c r="G1155" s="20">
        <v>13799</v>
      </c>
      <c r="AA1155" s="20" t="s">
        <v>1296</v>
      </c>
      <c r="AB1155" s="20">
        <v>75434.84</v>
      </c>
      <c r="AC1155" s="20">
        <v>836563.42</v>
      </c>
    </row>
    <row r="1156" spans="1:29" x14ac:dyDescent="0.25">
      <c r="A1156" s="20" t="s">
        <v>913</v>
      </c>
      <c r="B1156" s="20" t="s">
        <v>2191</v>
      </c>
      <c r="C1156" s="20">
        <v>0</v>
      </c>
      <c r="E1156" s="20" t="s">
        <v>3380</v>
      </c>
      <c r="F1156" s="20" t="s">
        <v>2191</v>
      </c>
      <c r="G1156" s="20">
        <v>-4976.3900000000003</v>
      </c>
      <c r="AA1156" s="20" t="s">
        <v>1694</v>
      </c>
      <c r="AB1156" s="20">
        <v>-2343.23</v>
      </c>
      <c r="AC1156" s="20">
        <v>0</v>
      </c>
    </row>
    <row r="1157" spans="1:29" x14ac:dyDescent="0.25">
      <c r="A1157" s="20" t="s">
        <v>2691</v>
      </c>
      <c r="B1157" s="20" t="s">
        <v>2191</v>
      </c>
      <c r="C1157" s="20">
        <v>0</v>
      </c>
      <c r="E1157" s="20" t="s">
        <v>3394</v>
      </c>
      <c r="F1157" s="20" t="s">
        <v>2191</v>
      </c>
      <c r="G1157" s="20">
        <v>0</v>
      </c>
      <c r="AA1157" s="20" t="s">
        <v>2879</v>
      </c>
      <c r="AB1157" s="20">
        <v>0</v>
      </c>
      <c r="AC1157" s="20">
        <v>0</v>
      </c>
    </row>
    <row r="1158" spans="1:29" x14ac:dyDescent="0.25">
      <c r="A1158" s="20" t="s">
        <v>2692</v>
      </c>
      <c r="B1158" s="20" t="s">
        <v>2191</v>
      </c>
      <c r="C1158" s="20">
        <v>0</v>
      </c>
      <c r="E1158" s="20" t="s">
        <v>3393</v>
      </c>
      <c r="F1158" s="20" t="s">
        <v>2191</v>
      </c>
      <c r="G1158" s="20">
        <v>1377</v>
      </c>
      <c r="AA1158" s="20" t="s">
        <v>495</v>
      </c>
      <c r="AB1158" s="20">
        <v>-2477.83</v>
      </c>
      <c r="AC1158" s="20">
        <v>117259.68</v>
      </c>
    </row>
    <row r="1159" spans="1:29" x14ac:dyDescent="0.25">
      <c r="A1159" s="20" t="s">
        <v>2693</v>
      </c>
      <c r="B1159" s="20" t="s">
        <v>2191</v>
      </c>
      <c r="C1159" s="20">
        <v>0</v>
      </c>
      <c r="E1159" s="20" t="s">
        <v>3388</v>
      </c>
      <c r="F1159" s="20" t="s">
        <v>2191</v>
      </c>
      <c r="G1159" s="20">
        <v>0</v>
      </c>
      <c r="AA1159" s="20" t="s">
        <v>2182</v>
      </c>
      <c r="AB1159" s="20">
        <v>0</v>
      </c>
      <c r="AC1159" s="20">
        <v>0</v>
      </c>
    </row>
    <row r="1160" spans="1:29" x14ac:dyDescent="0.25">
      <c r="A1160" s="20" t="s">
        <v>2694</v>
      </c>
      <c r="B1160" s="20" t="s">
        <v>2191</v>
      </c>
      <c r="C1160" s="20">
        <v>0</v>
      </c>
      <c r="E1160" s="20" t="s">
        <v>3396</v>
      </c>
      <c r="F1160" s="20" t="s">
        <v>2191</v>
      </c>
      <c r="G1160" s="20">
        <v>10804</v>
      </c>
      <c r="AA1160" s="20" t="s">
        <v>1297</v>
      </c>
      <c r="AB1160" s="20">
        <v>-264.17</v>
      </c>
      <c r="AC1160" s="20">
        <v>2389.39</v>
      </c>
    </row>
    <row r="1161" spans="1:29" x14ac:dyDescent="0.25">
      <c r="A1161" s="20" t="s">
        <v>1665</v>
      </c>
      <c r="B1161" s="20" t="s">
        <v>2191</v>
      </c>
      <c r="C1161" s="20">
        <v>0</v>
      </c>
      <c r="E1161" s="20" t="s">
        <v>3390</v>
      </c>
      <c r="F1161" s="20" t="s">
        <v>2191</v>
      </c>
      <c r="G1161" s="20">
        <v>14178.42</v>
      </c>
      <c r="AA1161" s="20" t="s">
        <v>1695</v>
      </c>
      <c r="AB1161" s="20">
        <v>-119.55</v>
      </c>
      <c r="AC1161" s="20">
        <v>0</v>
      </c>
    </row>
    <row r="1162" spans="1:29" x14ac:dyDescent="0.25">
      <c r="A1162" s="20" t="s">
        <v>2695</v>
      </c>
      <c r="B1162" s="20" t="s">
        <v>2191</v>
      </c>
      <c r="C1162" s="20">
        <v>0</v>
      </c>
      <c r="E1162" s="20" t="s">
        <v>3399</v>
      </c>
      <c r="F1162" s="20" t="s">
        <v>2191</v>
      </c>
      <c r="G1162" s="20">
        <v>0</v>
      </c>
      <c r="AA1162" s="20" t="s">
        <v>1696</v>
      </c>
      <c r="AB1162" s="20">
        <v>-1370.48</v>
      </c>
      <c r="AC1162" s="20">
        <v>0</v>
      </c>
    </row>
    <row r="1163" spans="1:29" x14ac:dyDescent="0.25">
      <c r="A1163" s="20" t="s">
        <v>2696</v>
      </c>
      <c r="B1163" s="20" t="s">
        <v>2191</v>
      </c>
      <c r="C1163" s="20">
        <v>0</v>
      </c>
      <c r="E1163" s="20" t="s">
        <v>3403</v>
      </c>
      <c r="F1163" s="20" t="s">
        <v>2191</v>
      </c>
      <c r="G1163" s="20">
        <v>-605.04999999999995</v>
      </c>
      <c r="AA1163" s="20" t="s">
        <v>1697</v>
      </c>
      <c r="AB1163" s="20">
        <v>-2772.56</v>
      </c>
      <c r="AC1163" s="20">
        <v>0</v>
      </c>
    </row>
    <row r="1164" spans="1:29" x14ac:dyDescent="0.25">
      <c r="A1164" s="20" t="s">
        <v>2697</v>
      </c>
      <c r="B1164" s="20" t="s">
        <v>2191</v>
      </c>
      <c r="C1164" s="20">
        <v>0</v>
      </c>
      <c r="E1164" s="20" t="s">
        <v>3400</v>
      </c>
      <c r="F1164" s="20" t="s">
        <v>2191</v>
      </c>
      <c r="G1164" s="20">
        <v>1310</v>
      </c>
      <c r="AA1164" s="20" t="s">
        <v>2880</v>
      </c>
      <c r="AB1164" s="20">
        <v>0</v>
      </c>
      <c r="AC1164" s="20">
        <v>0</v>
      </c>
    </row>
    <row r="1165" spans="1:29" x14ac:dyDescent="0.25">
      <c r="A1165" s="20" t="s">
        <v>2698</v>
      </c>
      <c r="B1165" s="20" t="s">
        <v>2191</v>
      </c>
      <c r="C1165" s="20">
        <v>0</v>
      </c>
      <c r="E1165" s="20" t="s">
        <v>3401</v>
      </c>
      <c r="F1165" s="20" t="s">
        <v>2191</v>
      </c>
      <c r="G1165" s="20">
        <v>11119</v>
      </c>
      <c r="AA1165" s="20" t="s">
        <v>2881</v>
      </c>
      <c r="AB1165" s="20">
        <v>0</v>
      </c>
      <c r="AC1165" s="20">
        <v>0</v>
      </c>
    </row>
    <row r="1166" spans="1:29" x14ac:dyDescent="0.25">
      <c r="A1166" s="20" t="s">
        <v>2699</v>
      </c>
      <c r="B1166" s="20" t="s">
        <v>2191</v>
      </c>
      <c r="C1166" s="20">
        <v>0</v>
      </c>
      <c r="E1166" s="20" t="s">
        <v>3413</v>
      </c>
      <c r="F1166" s="20" t="s">
        <v>2191</v>
      </c>
      <c r="G1166" s="20">
        <v>0</v>
      </c>
      <c r="AA1166" s="20" t="s">
        <v>2883</v>
      </c>
      <c r="AB1166" s="20">
        <v>0</v>
      </c>
      <c r="AC1166" s="20">
        <v>0</v>
      </c>
    </row>
    <row r="1167" spans="1:29" x14ac:dyDescent="0.25">
      <c r="A1167" s="20" t="s">
        <v>2700</v>
      </c>
      <c r="B1167" s="20" t="s">
        <v>2191</v>
      </c>
      <c r="C1167" s="20">
        <v>0</v>
      </c>
      <c r="E1167" s="20" t="s">
        <v>3412</v>
      </c>
      <c r="F1167" s="20" t="s">
        <v>2191</v>
      </c>
      <c r="G1167" s="20">
        <v>0</v>
      </c>
      <c r="AA1167" s="20" t="s">
        <v>2884</v>
      </c>
      <c r="AB1167" s="20">
        <v>0</v>
      </c>
      <c r="AC1167" s="20">
        <v>0</v>
      </c>
    </row>
    <row r="1168" spans="1:29" x14ac:dyDescent="0.25">
      <c r="A1168" s="20" t="s">
        <v>2701</v>
      </c>
      <c r="B1168" s="20" t="s">
        <v>2191</v>
      </c>
      <c r="C1168" s="20">
        <v>0</v>
      </c>
      <c r="E1168" s="20" t="s">
        <v>3415</v>
      </c>
      <c r="F1168" s="20" t="s">
        <v>2191</v>
      </c>
      <c r="G1168" s="20">
        <v>1999.5</v>
      </c>
      <c r="AA1168" s="20" t="s">
        <v>1015</v>
      </c>
      <c r="AB1168" s="20">
        <v>0</v>
      </c>
      <c r="AC1168" s="20">
        <v>0</v>
      </c>
    </row>
    <row r="1169" spans="1:29" x14ac:dyDescent="0.25">
      <c r="A1169" s="20" t="s">
        <v>2702</v>
      </c>
      <c r="B1169" s="20" t="s">
        <v>2191</v>
      </c>
      <c r="C1169" s="20">
        <v>0</v>
      </c>
      <c r="E1169" s="20" t="s">
        <v>3426</v>
      </c>
      <c r="F1169" s="20" t="s">
        <v>2191</v>
      </c>
      <c r="G1169" s="20">
        <v>2494</v>
      </c>
      <c r="AA1169" s="20" t="s">
        <v>312</v>
      </c>
      <c r="AB1169" s="20">
        <v>-4588.87</v>
      </c>
      <c r="AC1169" s="20">
        <v>82272.77</v>
      </c>
    </row>
    <row r="1170" spans="1:29" x14ac:dyDescent="0.25">
      <c r="A1170" s="20" t="s">
        <v>2703</v>
      </c>
      <c r="B1170" s="20" t="s">
        <v>2191</v>
      </c>
      <c r="C1170" s="20">
        <v>0</v>
      </c>
      <c r="E1170" s="20" t="s">
        <v>3573</v>
      </c>
      <c r="F1170" s="20" t="s">
        <v>2191</v>
      </c>
      <c r="G1170" s="20">
        <v>0</v>
      </c>
      <c r="AA1170" s="20" t="s">
        <v>2885</v>
      </c>
      <c r="AB1170" s="20">
        <v>0</v>
      </c>
      <c r="AC1170" s="20">
        <v>0</v>
      </c>
    </row>
    <row r="1171" spans="1:29" x14ac:dyDescent="0.25">
      <c r="A1171" s="20" t="s">
        <v>2704</v>
      </c>
      <c r="B1171" s="20" t="s">
        <v>2191</v>
      </c>
      <c r="C1171" s="20">
        <v>0</v>
      </c>
      <c r="E1171" s="20" t="s">
        <v>3572</v>
      </c>
      <c r="F1171" s="20" t="s">
        <v>2191</v>
      </c>
      <c r="G1171" s="20">
        <v>19495</v>
      </c>
      <c r="AA1171" s="20" t="s">
        <v>1131</v>
      </c>
      <c r="AB1171" s="20">
        <v>-1450.84</v>
      </c>
      <c r="AC1171" s="20">
        <v>3228.65</v>
      </c>
    </row>
    <row r="1172" spans="1:29" x14ac:dyDescent="0.25">
      <c r="A1172" s="20" t="s">
        <v>2705</v>
      </c>
      <c r="B1172" s="20" t="s">
        <v>2191</v>
      </c>
      <c r="C1172" s="20">
        <v>0</v>
      </c>
      <c r="E1172" s="20" t="s">
        <v>3575</v>
      </c>
      <c r="F1172" s="20" t="s">
        <v>2191</v>
      </c>
      <c r="G1172" s="20">
        <v>0</v>
      </c>
      <c r="AA1172" s="20" t="s">
        <v>1016</v>
      </c>
      <c r="AB1172" s="20">
        <v>-2278.46</v>
      </c>
      <c r="AC1172" s="20">
        <v>22936.04</v>
      </c>
    </row>
    <row r="1173" spans="1:29" x14ac:dyDescent="0.25">
      <c r="A1173" s="20" t="s">
        <v>2706</v>
      </c>
      <c r="B1173" s="20" t="s">
        <v>2191</v>
      </c>
      <c r="C1173" s="20">
        <v>0</v>
      </c>
      <c r="E1173" s="20" t="s">
        <v>3576</v>
      </c>
      <c r="F1173" s="20" t="s">
        <v>2191</v>
      </c>
      <c r="G1173" s="20">
        <v>153677</v>
      </c>
      <c r="AA1173" s="20" t="s">
        <v>2054</v>
      </c>
      <c r="AB1173" s="20">
        <v>0</v>
      </c>
      <c r="AC1173" s="20">
        <v>0</v>
      </c>
    </row>
    <row r="1174" spans="1:29" x14ac:dyDescent="0.25">
      <c r="A1174" s="20" t="s">
        <v>2707</v>
      </c>
      <c r="B1174" s="20" t="s">
        <v>2191</v>
      </c>
      <c r="C1174" s="20">
        <v>0</v>
      </c>
      <c r="E1174" s="20" t="s">
        <v>3578</v>
      </c>
      <c r="F1174" s="20" t="s">
        <v>2191</v>
      </c>
      <c r="G1174" s="20">
        <v>0</v>
      </c>
      <c r="AA1174" s="20" t="s">
        <v>2887</v>
      </c>
      <c r="AB1174" s="20">
        <v>0</v>
      </c>
      <c r="AC1174" s="20">
        <v>0</v>
      </c>
    </row>
    <row r="1175" spans="1:29" x14ac:dyDescent="0.25">
      <c r="A1175" s="20" t="s">
        <v>2708</v>
      </c>
      <c r="B1175" s="20" t="s">
        <v>2191</v>
      </c>
      <c r="C1175" s="20">
        <v>0</v>
      </c>
      <c r="E1175" s="20" t="s">
        <v>3582</v>
      </c>
      <c r="F1175" s="20" t="s">
        <v>2191</v>
      </c>
      <c r="G1175" s="20">
        <v>10051</v>
      </c>
      <c r="AA1175" s="20" t="s">
        <v>2888</v>
      </c>
      <c r="AB1175" s="20">
        <v>0</v>
      </c>
      <c r="AC1175" s="20">
        <v>0</v>
      </c>
    </row>
    <row r="1176" spans="1:29" x14ac:dyDescent="0.25">
      <c r="A1176" s="20" t="s">
        <v>2709</v>
      </c>
      <c r="B1176" s="20" t="s">
        <v>2191</v>
      </c>
      <c r="C1176" s="20">
        <v>0</v>
      </c>
      <c r="E1176" s="20" t="s">
        <v>3587</v>
      </c>
      <c r="F1176" s="20" t="s">
        <v>2191</v>
      </c>
      <c r="G1176" s="20">
        <v>0</v>
      </c>
      <c r="AA1176" s="20" t="s">
        <v>808</v>
      </c>
      <c r="AB1176" s="20">
        <v>-693.29</v>
      </c>
      <c r="AC1176" s="20">
        <v>0</v>
      </c>
    </row>
    <row r="1177" spans="1:29" x14ac:dyDescent="0.25">
      <c r="A1177" s="20" t="s">
        <v>2710</v>
      </c>
      <c r="B1177" s="20" t="s">
        <v>2191</v>
      </c>
      <c r="C1177" s="20">
        <v>0</v>
      </c>
      <c r="E1177" s="20" t="s">
        <v>3583</v>
      </c>
      <c r="F1177" s="20" t="s">
        <v>2191</v>
      </c>
      <c r="G1177" s="20">
        <v>0</v>
      </c>
      <c r="AA1177" s="20" t="s">
        <v>1300</v>
      </c>
      <c r="AB1177" s="20">
        <v>-2636.7</v>
      </c>
      <c r="AC1177" s="20">
        <v>201305.53</v>
      </c>
    </row>
    <row r="1178" spans="1:29" x14ac:dyDescent="0.25">
      <c r="A1178" s="20" t="s">
        <v>2711</v>
      </c>
      <c r="B1178" s="20" t="s">
        <v>2191</v>
      </c>
      <c r="C1178" s="20">
        <v>0</v>
      </c>
      <c r="E1178" s="20" t="s">
        <v>3591</v>
      </c>
      <c r="F1178" s="20" t="s">
        <v>2191</v>
      </c>
      <c r="G1178" s="20">
        <v>0</v>
      </c>
      <c r="AA1178" s="20" t="s">
        <v>2889</v>
      </c>
      <c r="AB1178" s="20">
        <v>0</v>
      </c>
      <c r="AC1178" s="20">
        <v>0</v>
      </c>
    </row>
    <row r="1179" spans="1:29" x14ac:dyDescent="0.25">
      <c r="A1179" s="20" t="s">
        <v>2712</v>
      </c>
      <c r="B1179" s="20" t="s">
        <v>2191</v>
      </c>
      <c r="C1179" s="20">
        <v>0</v>
      </c>
      <c r="E1179" s="20" t="s">
        <v>3588</v>
      </c>
      <c r="F1179" s="20" t="s">
        <v>2191</v>
      </c>
      <c r="G1179" s="20">
        <v>47930.5</v>
      </c>
      <c r="AA1179" s="20" t="s">
        <v>723</v>
      </c>
      <c r="AB1179" s="20">
        <v>4900731.75</v>
      </c>
      <c r="AC1179" s="20">
        <v>2255431.17</v>
      </c>
    </row>
    <row r="1180" spans="1:29" x14ac:dyDescent="0.25">
      <c r="A1180" s="20" t="s">
        <v>1666</v>
      </c>
      <c r="B1180" s="20" t="s">
        <v>2191</v>
      </c>
      <c r="C1180" s="20">
        <v>0</v>
      </c>
      <c r="E1180" s="20" t="s">
        <v>3596</v>
      </c>
      <c r="F1180" s="20" t="s">
        <v>2191</v>
      </c>
      <c r="G1180" s="20">
        <v>0</v>
      </c>
      <c r="AA1180" s="20" t="s">
        <v>2890</v>
      </c>
      <c r="AB1180" s="20">
        <v>0</v>
      </c>
      <c r="AC1180" s="20">
        <v>0</v>
      </c>
    </row>
    <row r="1181" spans="1:29" x14ac:dyDescent="0.25">
      <c r="A1181" s="20" t="s">
        <v>2713</v>
      </c>
      <c r="B1181" s="20" t="s">
        <v>2191</v>
      </c>
      <c r="C1181" s="20">
        <v>0</v>
      </c>
      <c r="E1181" s="20" t="s">
        <v>3593</v>
      </c>
      <c r="F1181" s="20" t="s">
        <v>2191</v>
      </c>
      <c r="G1181" s="20">
        <v>2091</v>
      </c>
      <c r="AA1181" s="20" t="s">
        <v>2891</v>
      </c>
      <c r="AB1181" s="20">
        <v>0</v>
      </c>
      <c r="AC1181" s="20">
        <v>0</v>
      </c>
    </row>
    <row r="1182" spans="1:29" x14ac:dyDescent="0.25">
      <c r="A1182" s="20" t="s">
        <v>2714</v>
      </c>
      <c r="B1182" s="20" t="s">
        <v>2191</v>
      </c>
      <c r="C1182" s="20">
        <v>0</v>
      </c>
      <c r="E1182" s="20" t="s">
        <v>3605</v>
      </c>
      <c r="F1182" s="20" t="s">
        <v>2191</v>
      </c>
      <c r="G1182" s="20">
        <v>0</v>
      </c>
      <c r="AA1182" s="20" t="s">
        <v>2892</v>
      </c>
      <c r="AB1182" s="20">
        <v>0</v>
      </c>
      <c r="AC1182" s="20">
        <v>0</v>
      </c>
    </row>
    <row r="1183" spans="1:29" x14ac:dyDescent="0.25">
      <c r="A1183" s="20" t="s">
        <v>2715</v>
      </c>
      <c r="B1183" s="20" t="s">
        <v>2191</v>
      </c>
      <c r="C1183" s="20">
        <v>0</v>
      </c>
      <c r="E1183" s="20" t="s">
        <v>3613</v>
      </c>
      <c r="F1183" s="20" t="s">
        <v>2191</v>
      </c>
      <c r="G1183" s="20">
        <v>7121.25</v>
      </c>
      <c r="AA1183" s="20" t="s">
        <v>1459</v>
      </c>
      <c r="AB1183" s="20">
        <v>11694.84</v>
      </c>
      <c r="AC1183" s="20">
        <v>598717.48</v>
      </c>
    </row>
    <row r="1184" spans="1:29" x14ac:dyDescent="0.25">
      <c r="A1184" s="20" t="s">
        <v>2716</v>
      </c>
      <c r="B1184" s="20" t="s">
        <v>2191</v>
      </c>
      <c r="C1184" s="20">
        <v>0</v>
      </c>
      <c r="E1184" s="20" t="s">
        <v>3621</v>
      </c>
      <c r="F1184" s="20" t="s">
        <v>2191</v>
      </c>
      <c r="G1184" s="20">
        <v>11364</v>
      </c>
      <c r="AA1184" s="20" t="s">
        <v>1983</v>
      </c>
      <c r="AB1184" s="20">
        <v>0</v>
      </c>
      <c r="AC1184" s="20">
        <v>0</v>
      </c>
    </row>
    <row r="1185" spans="1:29" x14ac:dyDescent="0.25">
      <c r="A1185" s="20" t="s">
        <v>2717</v>
      </c>
      <c r="B1185" s="20" t="s">
        <v>2191</v>
      </c>
      <c r="C1185" s="20">
        <v>0</v>
      </c>
      <c r="E1185" s="20" t="s">
        <v>3629</v>
      </c>
      <c r="F1185" s="20" t="s">
        <v>2191</v>
      </c>
      <c r="G1185" s="20">
        <v>20125</v>
      </c>
      <c r="AA1185" s="20" t="s">
        <v>2056</v>
      </c>
      <c r="AB1185" s="20">
        <v>0</v>
      </c>
      <c r="AC1185" s="20">
        <v>0</v>
      </c>
    </row>
    <row r="1186" spans="1:29" x14ac:dyDescent="0.25">
      <c r="A1186" s="20" t="s">
        <v>2718</v>
      </c>
      <c r="B1186" s="20" t="s">
        <v>2191</v>
      </c>
      <c r="C1186" s="20">
        <v>0</v>
      </c>
      <c r="E1186" s="20" t="s">
        <v>3630</v>
      </c>
      <c r="F1186" s="20" t="s">
        <v>2191</v>
      </c>
      <c r="G1186" s="20">
        <v>0</v>
      </c>
      <c r="AA1186" s="20" t="s">
        <v>2893</v>
      </c>
      <c r="AB1186" s="20">
        <v>0</v>
      </c>
      <c r="AC1186" s="20">
        <v>0</v>
      </c>
    </row>
    <row r="1187" spans="1:29" x14ac:dyDescent="0.25">
      <c r="A1187" s="20" t="s">
        <v>2719</v>
      </c>
      <c r="B1187" s="20" t="s">
        <v>2191</v>
      </c>
      <c r="C1187" s="20">
        <v>0</v>
      </c>
      <c r="E1187" s="20" t="s">
        <v>3643</v>
      </c>
      <c r="F1187" s="20" t="s">
        <v>2191</v>
      </c>
      <c r="G1187" s="20">
        <v>0</v>
      </c>
      <c r="AA1187" s="20" t="s">
        <v>2894</v>
      </c>
      <c r="AB1187" s="20">
        <v>0</v>
      </c>
      <c r="AC1187" s="20">
        <v>0</v>
      </c>
    </row>
    <row r="1188" spans="1:29" x14ac:dyDescent="0.25">
      <c r="A1188" s="20" t="s">
        <v>2720</v>
      </c>
      <c r="B1188" s="20" t="s">
        <v>2191</v>
      </c>
      <c r="C1188" s="20">
        <v>0</v>
      </c>
      <c r="E1188" s="20" t="s">
        <v>3671</v>
      </c>
      <c r="F1188" s="20" t="s">
        <v>2191</v>
      </c>
      <c r="G1188" s="20">
        <v>3492</v>
      </c>
      <c r="AA1188" s="20" t="s">
        <v>1848</v>
      </c>
      <c r="AB1188" s="20">
        <v>0</v>
      </c>
      <c r="AC1188" s="20">
        <v>0</v>
      </c>
    </row>
    <row r="1189" spans="1:29" x14ac:dyDescent="0.25">
      <c r="A1189" s="20" t="s">
        <v>2721</v>
      </c>
      <c r="B1189" s="20" t="s">
        <v>2191</v>
      </c>
      <c r="C1189" s="20">
        <v>0</v>
      </c>
      <c r="E1189" s="20" t="s">
        <v>3666</v>
      </c>
      <c r="F1189" s="20" t="s">
        <v>2191</v>
      </c>
      <c r="G1189" s="20">
        <v>16500</v>
      </c>
      <c r="AA1189" s="20" t="s">
        <v>2895</v>
      </c>
      <c r="AB1189" s="20">
        <v>0</v>
      </c>
      <c r="AC1189" s="20">
        <v>0</v>
      </c>
    </row>
    <row r="1190" spans="1:29" x14ac:dyDescent="0.25">
      <c r="A1190" s="20" t="s">
        <v>2722</v>
      </c>
      <c r="B1190" s="20" t="s">
        <v>2191</v>
      </c>
      <c r="C1190" s="20">
        <v>0</v>
      </c>
      <c r="E1190" s="20" t="s">
        <v>3662</v>
      </c>
      <c r="F1190" s="20" t="s">
        <v>2191</v>
      </c>
      <c r="G1190" s="20">
        <v>8367</v>
      </c>
      <c r="AA1190" s="20" t="s">
        <v>2896</v>
      </c>
      <c r="AB1190" s="20">
        <v>-916.03</v>
      </c>
      <c r="AC1190" s="20">
        <v>0</v>
      </c>
    </row>
    <row r="1191" spans="1:29" x14ac:dyDescent="0.25">
      <c r="A1191" s="20" t="s">
        <v>2723</v>
      </c>
      <c r="B1191" s="20" t="s">
        <v>2191</v>
      </c>
      <c r="C1191" s="20">
        <v>0</v>
      </c>
      <c r="E1191" s="20" t="s">
        <v>584</v>
      </c>
      <c r="F1191" s="20" t="s">
        <v>2191</v>
      </c>
      <c r="G1191" s="20">
        <v>0</v>
      </c>
      <c r="AA1191" s="20" t="s">
        <v>2057</v>
      </c>
      <c r="AB1191" s="20">
        <v>0</v>
      </c>
      <c r="AC1191" s="20">
        <v>0</v>
      </c>
    </row>
    <row r="1192" spans="1:29" x14ac:dyDescent="0.25">
      <c r="A1192" s="20" t="s">
        <v>2724</v>
      </c>
      <c r="B1192" s="20" t="s">
        <v>2191</v>
      </c>
      <c r="C1192" s="20">
        <v>0</v>
      </c>
      <c r="E1192" s="20" t="s">
        <v>805</v>
      </c>
      <c r="F1192" s="20" t="s">
        <v>2191</v>
      </c>
      <c r="G1192" s="20">
        <v>0</v>
      </c>
      <c r="AA1192" s="20" t="s">
        <v>1018</v>
      </c>
      <c r="AB1192" s="20">
        <v>47675.38</v>
      </c>
      <c r="AC1192" s="20">
        <v>168627.88</v>
      </c>
    </row>
    <row r="1193" spans="1:29" x14ac:dyDescent="0.25">
      <c r="A1193" s="20" t="s">
        <v>2725</v>
      </c>
      <c r="B1193" s="20" t="s">
        <v>2191</v>
      </c>
      <c r="C1193" s="20">
        <v>0</v>
      </c>
      <c r="E1193" s="20" t="s">
        <v>1429</v>
      </c>
      <c r="F1193" s="20" t="s">
        <v>2191</v>
      </c>
      <c r="G1193" s="20">
        <v>0</v>
      </c>
      <c r="AA1193" s="20" t="s">
        <v>1698</v>
      </c>
      <c r="AB1193" s="20">
        <v>-2365.9</v>
      </c>
      <c r="AC1193" s="20">
        <v>0</v>
      </c>
    </row>
    <row r="1194" spans="1:29" x14ac:dyDescent="0.25">
      <c r="A1194" s="20" t="s">
        <v>2726</v>
      </c>
      <c r="B1194" s="20" t="s">
        <v>2191</v>
      </c>
      <c r="C1194" s="20">
        <v>0</v>
      </c>
      <c r="E1194" s="20" t="s">
        <v>1430</v>
      </c>
      <c r="F1194" s="20" t="s">
        <v>2191</v>
      </c>
      <c r="G1194" s="20">
        <v>1418.17</v>
      </c>
      <c r="AA1194" s="20" t="s">
        <v>1865</v>
      </c>
      <c r="AB1194" s="20">
        <v>0</v>
      </c>
      <c r="AC1194" s="20">
        <v>0</v>
      </c>
    </row>
    <row r="1195" spans="1:29" x14ac:dyDescent="0.25">
      <c r="A1195" s="20" t="s">
        <v>2727</v>
      </c>
      <c r="B1195" s="20" t="s">
        <v>2191</v>
      </c>
      <c r="C1195" s="20">
        <v>0</v>
      </c>
      <c r="E1195" s="20" t="s">
        <v>2972</v>
      </c>
      <c r="F1195" s="20" t="s">
        <v>2191</v>
      </c>
      <c r="G1195" s="20">
        <v>0</v>
      </c>
      <c r="AA1195" s="20" t="s">
        <v>2897</v>
      </c>
      <c r="AB1195" s="20">
        <v>0</v>
      </c>
      <c r="AC1195" s="20">
        <v>0</v>
      </c>
    </row>
    <row r="1196" spans="1:29" x14ac:dyDescent="0.25">
      <c r="A1196" s="20" t="s">
        <v>2728</v>
      </c>
      <c r="B1196" s="20" t="s">
        <v>2191</v>
      </c>
      <c r="C1196" s="20">
        <v>0</v>
      </c>
      <c r="E1196" s="20" t="s">
        <v>1994</v>
      </c>
      <c r="F1196" s="20" t="s">
        <v>2191</v>
      </c>
      <c r="G1196" s="20">
        <v>0</v>
      </c>
      <c r="AA1196" s="20" t="s">
        <v>2898</v>
      </c>
      <c r="AB1196" s="20">
        <v>0</v>
      </c>
      <c r="AC1196" s="20">
        <v>0</v>
      </c>
    </row>
    <row r="1197" spans="1:29" x14ac:dyDescent="0.25">
      <c r="A1197" s="20" t="s">
        <v>2729</v>
      </c>
      <c r="B1197" s="20" t="s">
        <v>2191</v>
      </c>
      <c r="C1197" s="20">
        <v>0</v>
      </c>
      <c r="E1197" s="20" t="s">
        <v>2974</v>
      </c>
      <c r="F1197" s="20" t="s">
        <v>2191</v>
      </c>
      <c r="G1197" s="20">
        <v>0</v>
      </c>
      <c r="AA1197" s="20" t="s">
        <v>2899</v>
      </c>
      <c r="AB1197" s="20">
        <v>0</v>
      </c>
      <c r="AC1197" s="20">
        <v>0</v>
      </c>
    </row>
    <row r="1198" spans="1:29" x14ac:dyDescent="0.25">
      <c r="A1198" s="20" t="s">
        <v>2730</v>
      </c>
      <c r="B1198" s="20" t="s">
        <v>2191</v>
      </c>
      <c r="C1198" s="20">
        <v>0</v>
      </c>
      <c r="E1198" s="20" t="s">
        <v>1065</v>
      </c>
      <c r="F1198" s="20" t="s">
        <v>2191</v>
      </c>
      <c r="G1198" s="20">
        <v>0</v>
      </c>
      <c r="AA1198" s="20" t="s">
        <v>503</v>
      </c>
      <c r="AB1198" s="20">
        <v>31316.54</v>
      </c>
      <c r="AC1198" s="20">
        <v>1125015.1299999999</v>
      </c>
    </row>
    <row r="1199" spans="1:29" x14ac:dyDescent="0.25">
      <c r="A1199" s="20" t="s">
        <v>2731</v>
      </c>
      <c r="B1199" s="20" t="s">
        <v>2191</v>
      </c>
      <c r="C1199" s="20">
        <v>0</v>
      </c>
      <c r="E1199" s="20" t="s">
        <v>2065</v>
      </c>
      <c r="F1199" s="20" t="s">
        <v>2191</v>
      </c>
      <c r="G1199" s="20">
        <v>0</v>
      </c>
      <c r="AA1199" s="20" t="s">
        <v>2900</v>
      </c>
      <c r="AB1199" s="20">
        <v>0</v>
      </c>
      <c r="AC1199" s="20">
        <v>0</v>
      </c>
    </row>
    <row r="1200" spans="1:29" x14ac:dyDescent="0.25">
      <c r="A1200" s="20" t="s">
        <v>2732</v>
      </c>
      <c r="B1200" s="20" t="s">
        <v>2191</v>
      </c>
      <c r="C1200" s="20">
        <v>0</v>
      </c>
      <c r="E1200" s="20" t="s">
        <v>988</v>
      </c>
      <c r="F1200" s="20" t="s">
        <v>2191</v>
      </c>
      <c r="G1200" s="20">
        <v>15176</v>
      </c>
      <c r="AA1200" s="20" t="s">
        <v>1984</v>
      </c>
      <c r="AB1200" s="20">
        <v>0</v>
      </c>
      <c r="AC1200" s="20">
        <v>0</v>
      </c>
    </row>
    <row r="1201" spans="1:29" x14ac:dyDescent="0.25">
      <c r="A1201" s="20" t="s">
        <v>2733</v>
      </c>
      <c r="B1201" s="20" t="s">
        <v>2191</v>
      </c>
      <c r="C1201" s="20">
        <v>0</v>
      </c>
      <c r="E1201" s="20" t="s">
        <v>1470</v>
      </c>
      <c r="F1201" s="20" t="s">
        <v>2191</v>
      </c>
      <c r="G1201" s="20">
        <v>0</v>
      </c>
      <c r="AA1201" s="20" t="s">
        <v>924</v>
      </c>
      <c r="AB1201" s="20">
        <v>13107.19</v>
      </c>
      <c r="AC1201" s="20">
        <v>117300.24</v>
      </c>
    </row>
    <row r="1202" spans="1:29" x14ac:dyDescent="0.25">
      <c r="A1202" s="20" t="s">
        <v>2734</v>
      </c>
      <c r="B1202" s="20" t="s">
        <v>2191</v>
      </c>
      <c r="C1202" s="20">
        <v>0</v>
      </c>
      <c r="E1202" s="20" t="s">
        <v>586</v>
      </c>
      <c r="F1202" s="20" t="s">
        <v>2191</v>
      </c>
      <c r="G1202" s="20">
        <v>0</v>
      </c>
      <c r="AA1202" s="20" t="s">
        <v>1985</v>
      </c>
      <c r="AB1202" s="20">
        <v>0</v>
      </c>
      <c r="AC1202" s="20">
        <v>0</v>
      </c>
    </row>
    <row r="1203" spans="1:29" x14ac:dyDescent="0.25">
      <c r="A1203" s="20" t="s">
        <v>2735</v>
      </c>
      <c r="B1203" s="20" t="s">
        <v>2191</v>
      </c>
      <c r="C1203" s="20">
        <v>0</v>
      </c>
      <c r="E1203" s="20" t="s">
        <v>2066</v>
      </c>
      <c r="F1203" s="20" t="s">
        <v>2191</v>
      </c>
      <c r="G1203" s="20">
        <v>0</v>
      </c>
      <c r="AA1203" s="20" t="s">
        <v>2901</v>
      </c>
      <c r="AB1203" s="20">
        <v>0</v>
      </c>
      <c r="AC1203" s="20">
        <v>0</v>
      </c>
    </row>
    <row r="1204" spans="1:29" x14ac:dyDescent="0.25">
      <c r="A1204" s="20" t="s">
        <v>2736</v>
      </c>
      <c r="B1204" s="20" t="s">
        <v>2191</v>
      </c>
      <c r="C1204" s="20">
        <v>0</v>
      </c>
      <c r="E1204" s="20" t="s">
        <v>1853</v>
      </c>
      <c r="F1204" s="20" t="s">
        <v>2191</v>
      </c>
      <c r="G1204" s="20">
        <v>0</v>
      </c>
      <c r="AA1204" s="20" t="s">
        <v>2902</v>
      </c>
      <c r="AB1204" s="20">
        <v>0</v>
      </c>
      <c r="AC1204" s="20">
        <v>0</v>
      </c>
    </row>
    <row r="1205" spans="1:29" x14ac:dyDescent="0.25">
      <c r="A1205" s="20" t="s">
        <v>2737</v>
      </c>
      <c r="B1205" s="20" t="s">
        <v>2191</v>
      </c>
      <c r="C1205" s="20">
        <v>0</v>
      </c>
      <c r="E1205" s="20" t="s">
        <v>1070</v>
      </c>
      <c r="F1205" s="20" t="s">
        <v>2191</v>
      </c>
      <c r="G1205" s="20">
        <v>11779</v>
      </c>
      <c r="AA1205" s="20" t="s">
        <v>1986</v>
      </c>
      <c r="AB1205" s="20">
        <v>0</v>
      </c>
      <c r="AC1205" s="20">
        <v>0</v>
      </c>
    </row>
    <row r="1206" spans="1:29" x14ac:dyDescent="0.25">
      <c r="A1206" s="20" t="s">
        <v>2738</v>
      </c>
      <c r="B1206" s="20" t="s">
        <v>2191</v>
      </c>
      <c r="C1206" s="20">
        <v>0</v>
      </c>
      <c r="AA1206" s="20" t="s">
        <v>2903</v>
      </c>
      <c r="AB1206" s="20">
        <v>0</v>
      </c>
      <c r="AC1206" s="20">
        <v>0</v>
      </c>
    </row>
    <row r="1207" spans="1:29" x14ac:dyDescent="0.25">
      <c r="A1207" s="20" t="s">
        <v>2739</v>
      </c>
      <c r="B1207" s="20" t="s">
        <v>2191</v>
      </c>
      <c r="C1207" s="20">
        <v>0</v>
      </c>
      <c r="AA1207" s="20" t="s">
        <v>2184</v>
      </c>
      <c r="AB1207" s="20">
        <v>0</v>
      </c>
      <c r="AC1207" s="20">
        <v>0</v>
      </c>
    </row>
    <row r="1208" spans="1:29" x14ac:dyDescent="0.25">
      <c r="A1208" s="20" t="s">
        <v>2740</v>
      </c>
      <c r="B1208" s="20" t="s">
        <v>2191</v>
      </c>
      <c r="C1208" s="20">
        <v>0</v>
      </c>
      <c r="AA1208" s="20" t="s">
        <v>2185</v>
      </c>
      <c r="AB1208" s="20">
        <v>0</v>
      </c>
      <c r="AC1208" s="20">
        <v>0</v>
      </c>
    </row>
    <row r="1209" spans="1:29" x14ac:dyDescent="0.25">
      <c r="A1209" s="20" t="s">
        <v>2741</v>
      </c>
      <c r="B1209" s="20" t="s">
        <v>2191</v>
      </c>
      <c r="C1209" s="20">
        <v>0</v>
      </c>
      <c r="AA1209" s="20" t="s">
        <v>81</v>
      </c>
      <c r="AB1209" s="20">
        <v>156303.99</v>
      </c>
      <c r="AC1209" s="20">
        <v>1403915.81</v>
      </c>
    </row>
    <row r="1210" spans="1:29" x14ac:dyDescent="0.25">
      <c r="A1210" s="20" t="s">
        <v>2742</v>
      </c>
      <c r="B1210" s="20" t="s">
        <v>2191</v>
      </c>
      <c r="C1210" s="20">
        <v>0</v>
      </c>
      <c r="AA1210" s="20" t="s">
        <v>2138</v>
      </c>
      <c r="AB1210" s="20">
        <v>0</v>
      </c>
      <c r="AC1210" s="20">
        <v>0</v>
      </c>
    </row>
    <row r="1211" spans="1:29" x14ac:dyDescent="0.25">
      <c r="A1211" s="20" t="s">
        <v>2743</v>
      </c>
      <c r="B1211" s="20" t="s">
        <v>2191</v>
      </c>
      <c r="C1211" s="20">
        <v>0</v>
      </c>
      <c r="AA1211" s="20" t="s">
        <v>1699</v>
      </c>
      <c r="AB1211" s="20">
        <v>-12846.18</v>
      </c>
      <c r="AC1211" s="20">
        <v>39431.89</v>
      </c>
    </row>
    <row r="1212" spans="1:29" x14ac:dyDescent="0.25">
      <c r="A1212" s="20" t="s">
        <v>2744</v>
      </c>
      <c r="B1212" s="20" t="s">
        <v>2191</v>
      </c>
      <c r="C1212" s="20">
        <v>0</v>
      </c>
      <c r="AA1212" s="20" t="s">
        <v>648</v>
      </c>
      <c r="AB1212" s="20">
        <v>-833.9</v>
      </c>
      <c r="AC1212" s="20">
        <v>50198.38</v>
      </c>
    </row>
    <row r="1213" spans="1:29" x14ac:dyDescent="0.25">
      <c r="A1213" s="20" t="s">
        <v>2745</v>
      </c>
      <c r="B1213" s="20" t="s">
        <v>2191</v>
      </c>
      <c r="C1213" s="20">
        <v>0</v>
      </c>
      <c r="AA1213" s="20" t="s">
        <v>2904</v>
      </c>
      <c r="AB1213" s="20">
        <v>0</v>
      </c>
      <c r="AC1213" s="20">
        <v>0</v>
      </c>
    </row>
    <row r="1214" spans="1:29" x14ac:dyDescent="0.25">
      <c r="A1214" s="20" t="s">
        <v>2746</v>
      </c>
      <c r="B1214" s="20" t="s">
        <v>2191</v>
      </c>
      <c r="C1214" s="20">
        <v>0</v>
      </c>
      <c r="AA1214" s="20" t="s">
        <v>172</v>
      </c>
      <c r="AB1214" s="20">
        <v>1015.77</v>
      </c>
      <c r="AC1214" s="20">
        <v>4148.7700000000004</v>
      </c>
    </row>
    <row r="1215" spans="1:29" x14ac:dyDescent="0.25">
      <c r="A1215" s="20" t="s">
        <v>2747</v>
      </c>
      <c r="B1215" s="20" t="s">
        <v>2191</v>
      </c>
      <c r="C1215" s="20">
        <v>0</v>
      </c>
      <c r="AA1215" s="20" t="s">
        <v>2906</v>
      </c>
      <c r="AB1215" s="20">
        <v>0</v>
      </c>
      <c r="AC1215" s="20">
        <v>0</v>
      </c>
    </row>
    <row r="1216" spans="1:29" x14ac:dyDescent="0.25">
      <c r="A1216" s="20" t="s">
        <v>2748</v>
      </c>
      <c r="B1216" s="20" t="s">
        <v>2191</v>
      </c>
      <c r="C1216" s="20">
        <v>0</v>
      </c>
      <c r="AA1216" s="20" t="s">
        <v>926</v>
      </c>
      <c r="AB1216" s="20">
        <v>-26312.3</v>
      </c>
      <c r="AC1216" s="20">
        <v>134058.57</v>
      </c>
    </row>
    <row r="1217" spans="1:29" x14ac:dyDescent="0.25">
      <c r="A1217" s="20" t="s">
        <v>2749</v>
      </c>
      <c r="B1217" s="20" t="s">
        <v>2191</v>
      </c>
      <c r="C1217" s="20">
        <v>0</v>
      </c>
      <c r="AA1217" s="20" t="s">
        <v>2907</v>
      </c>
      <c r="AB1217" s="20">
        <v>0</v>
      </c>
      <c r="AC1217" s="20">
        <v>0</v>
      </c>
    </row>
    <row r="1218" spans="1:29" x14ac:dyDescent="0.25">
      <c r="A1218" s="20" t="s">
        <v>2750</v>
      </c>
      <c r="B1218" s="20" t="s">
        <v>2191</v>
      </c>
      <c r="C1218" s="20">
        <v>0</v>
      </c>
      <c r="AA1218" s="20" t="s">
        <v>1987</v>
      </c>
      <c r="AB1218" s="20">
        <v>0</v>
      </c>
      <c r="AC1218" s="20">
        <v>0</v>
      </c>
    </row>
    <row r="1219" spans="1:29" x14ac:dyDescent="0.25">
      <c r="A1219" s="20" t="s">
        <v>2751</v>
      </c>
      <c r="B1219" s="20" t="s">
        <v>2191</v>
      </c>
      <c r="C1219" s="20">
        <v>0</v>
      </c>
      <c r="AA1219" s="20" t="s">
        <v>2908</v>
      </c>
      <c r="AB1219" s="20">
        <v>0</v>
      </c>
      <c r="AC1219" s="20">
        <v>0</v>
      </c>
    </row>
    <row r="1220" spans="1:29" x14ac:dyDescent="0.25">
      <c r="A1220" s="20" t="s">
        <v>2752</v>
      </c>
      <c r="B1220" s="20" t="s">
        <v>2191</v>
      </c>
      <c r="C1220" s="20">
        <v>0</v>
      </c>
      <c r="AA1220" s="20" t="s">
        <v>1700</v>
      </c>
      <c r="AB1220" s="20">
        <v>-3449.72</v>
      </c>
      <c r="AC1220" s="20">
        <v>0</v>
      </c>
    </row>
    <row r="1221" spans="1:29" x14ac:dyDescent="0.25">
      <c r="A1221" s="20" t="s">
        <v>2753</v>
      </c>
      <c r="B1221" s="20" t="s">
        <v>2191</v>
      </c>
      <c r="C1221" s="20">
        <v>0</v>
      </c>
      <c r="AA1221" s="20" t="s">
        <v>1701</v>
      </c>
      <c r="AB1221" s="20">
        <v>-5836.98</v>
      </c>
      <c r="AC1221" s="20">
        <v>0</v>
      </c>
    </row>
    <row r="1222" spans="1:29" x14ac:dyDescent="0.25">
      <c r="A1222" s="20" t="s">
        <v>1667</v>
      </c>
      <c r="B1222" s="20" t="s">
        <v>2191</v>
      </c>
      <c r="C1222" s="20">
        <v>0</v>
      </c>
      <c r="AA1222" s="20" t="s">
        <v>2910</v>
      </c>
      <c r="AB1222" s="20">
        <v>0</v>
      </c>
      <c r="AC1222" s="20">
        <v>0</v>
      </c>
    </row>
    <row r="1223" spans="1:29" x14ac:dyDescent="0.25">
      <c r="A1223" s="20" t="s">
        <v>2754</v>
      </c>
      <c r="B1223" s="20" t="s">
        <v>2191</v>
      </c>
      <c r="C1223" s="20">
        <v>0</v>
      </c>
      <c r="AA1223" s="20" t="s">
        <v>1702</v>
      </c>
      <c r="AB1223" s="20">
        <v>-4433.75</v>
      </c>
      <c r="AC1223" s="20">
        <v>0</v>
      </c>
    </row>
    <row r="1224" spans="1:29" x14ac:dyDescent="0.25">
      <c r="A1224" s="20" t="s">
        <v>2755</v>
      </c>
      <c r="B1224" s="20" t="s">
        <v>2191</v>
      </c>
      <c r="C1224" s="20">
        <v>0</v>
      </c>
      <c r="AA1224" s="20" t="s">
        <v>1703</v>
      </c>
      <c r="AB1224" s="20">
        <v>-8175.95</v>
      </c>
      <c r="AC1224" s="20">
        <v>12126.06</v>
      </c>
    </row>
    <row r="1225" spans="1:29" x14ac:dyDescent="0.25">
      <c r="A1225" s="20" t="s">
        <v>2756</v>
      </c>
      <c r="B1225" s="20" t="s">
        <v>2191</v>
      </c>
      <c r="C1225" s="20">
        <v>0</v>
      </c>
      <c r="AA1225" s="20" t="s">
        <v>1229</v>
      </c>
      <c r="AB1225" s="20">
        <v>22409.08</v>
      </c>
      <c r="AC1225" s="20">
        <v>63549.760000000002</v>
      </c>
    </row>
    <row r="1226" spans="1:29" x14ac:dyDescent="0.25">
      <c r="A1226" s="20" t="s">
        <v>2757</v>
      </c>
      <c r="B1226" s="20" t="s">
        <v>2191</v>
      </c>
      <c r="C1226" s="20">
        <v>0</v>
      </c>
      <c r="AA1226" s="20" t="s">
        <v>1939</v>
      </c>
      <c r="AB1226" s="20">
        <v>0</v>
      </c>
      <c r="AC1226" s="20">
        <v>0</v>
      </c>
    </row>
    <row r="1227" spans="1:29" x14ac:dyDescent="0.25">
      <c r="A1227" s="20" t="s">
        <v>1668</v>
      </c>
      <c r="B1227" s="20" t="s">
        <v>2191</v>
      </c>
      <c r="C1227" s="20">
        <v>0</v>
      </c>
      <c r="AA1227" s="20" t="s">
        <v>725</v>
      </c>
      <c r="AB1227" s="20">
        <v>32963.51</v>
      </c>
      <c r="AC1227" s="20">
        <v>114875.33</v>
      </c>
    </row>
    <row r="1228" spans="1:29" x14ac:dyDescent="0.25">
      <c r="A1228" s="20" t="s">
        <v>2758</v>
      </c>
      <c r="B1228" s="20" t="s">
        <v>2191</v>
      </c>
      <c r="C1228" s="20">
        <v>0</v>
      </c>
      <c r="AA1228" s="20" t="s">
        <v>1518</v>
      </c>
      <c r="AB1228" s="20">
        <v>0</v>
      </c>
      <c r="AC1228" s="20">
        <v>0</v>
      </c>
    </row>
    <row r="1229" spans="1:29" x14ac:dyDescent="0.25">
      <c r="A1229" s="20" t="s">
        <v>2759</v>
      </c>
      <c r="B1229" s="20" t="s">
        <v>2191</v>
      </c>
      <c r="C1229" s="20">
        <v>0</v>
      </c>
      <c r="AA1229" s="20" t="s">
        <v>1303</v>
      </c>
      <c r="AB1229" s="20">
        <v>296.85000000000002</v>
      </c>
      <c r="AC1229" s="20">
        <v>35939.96</v>
      </c>
    </row>
    <row r="1230" spans="1:29" x14ac:dyDescent="0.25">
      <c r="A1230" s="20" t="s">
        <v>1669</v>
      </c>
      <c r="B1230" s="20" t="s">
        <v>2191</v>
      </c>
      <c r="C1230" s="20">
        <v>0</v>
      </c>
      <c r="AA1230" s="20" t="s">
        <v>650</v>
      </c>
      <c r="AB1230" s="20">
        <v>3677.06</v>
      </c>
      <c r="AC1230" s="20">
        <v>39390.120000000003</v>
      </c>
    </row>
    <row r="1231" spans="1:29" x14ac:dyDescent="0.25">
      <c r="A1231" s="20" t="s">
        <v>2760</v>
      </c>
      <c r="B1231" s="20" t="s">
        <v>2191</v>
      </c>
      <c r="C1231" s="20">
        <v>0</v>
      </c>
      <c r="AA1231" s="20" t="s">
        <v>508</v>
      </c>
      <c r="AB1231" s="20">
        <v>-1042.6300000000001</v>
      </c>
      <c r="AC1231" s="20">
        <v>0</v>
      </c>
    </row>
    <row r="1232" spans="1:29" x14ac:dyDescent="0.25">
      <c r="A1232" s="20" t="s">
        <v>2761</v>
      </c>
      <c r="B1232" s="20" t="s">
        <v>2191</v>
      </c>
      <c r="C1232" s="20">
        <v>0</v>
      </c>
      <c r="AA1232" s="20" t="s">
        <v>129</v>
      </c>
      <c r="AB1232" s="20">
        <v>27129.17</v>
      </c>
      <c r="AC1232" s="20">
        <v>408675.44</v>
      </c>
    </row>
    <row r="1233" spans="1:29" x14ac:dyDescent="0.25">
      <c r="A1233" s="20" t="s">
        <v>2762</v>
      </c>
      <c r="B1233" s="20" t="s">
        <v>2191</v>
      </c>
      <c r="C1233" s="20">
        <v>0</v>
      </c>
      <c r="AA1233" s="20" t="s">
        <v>1704</v>
      </c>
      <c r="AB1233" s="20">
        <v>-577.29999999999995</v>
      </c>
      <c r="AC1233" s="20">
        <v>0</v>
      </c>
    </row>
    <row r="1234" spans="1:29" x14ac:dyDescent="0.25">
      <c r="A1234" s="20" t="s">
        <v>2763</v>
      </c>
      <c r="B1234" s="20" t="s">
        <v>2191</v>
      </c>
      <c r="C1234" s="20">
        <v>0</v>
      </c>
      <c r="AA1234" s="20" t="s">
        <v>652</v>
      </c>
      <c r="AB1234" s="20">
        <v>12931.57</v>
      </c>
      <c r="AC1234" s="20">
        <v>3557.2</v>
      </c>
    </row>
    <row r="1235" spans="1:29" x14ac:dyDescent="0.25">
      <c r="A1235" s="20" t="s">
        <v>2764</v>
      </c>
      <c r="B1235" s="20" t="s">
        <v>2191</v>
      </c>
      <c r="C1235" s="20">
        <v>0</v>
      </c>
      <c r="AA1235" s="20" t="s">
        <v>2059</v>
      </c>
      <c r="AB1235" s="20">
        <v>0</v>
      </c>
      <c r="AC1235" s="20">
        <v>0</v>
      </c>
    </row>
    <row r="1236" spans="1:29" x14ac:dyDescent="0.25">
      <c r="A1236" s="20" t="s">
        <v>2765</v>
      </c>
      <c r="B1236" s="20" t="s">
        <v>2191</v>
      </c>
      <c r="C1236" s="20">
        <v>0</v>
      </c>
      <c r="AA1236" s="20" t="s">
        <v>2913</v>
      </c>
      <c r="AB1236" s="20">
        <v>0</v>
      </c>
      <c r="AC1236" s="20">
        <v>0</v>
      </c>
    </row>
    <row r="1237" spans="1:29" x14ac:dyDescent="0.25">
      <c r="A1237" s="20" t="s">
        <v>2766</v>
      </c>
      <c r="B1237" s="20" t="s">
        <v>2191</v>
      </c>
      <c r="C1237" s="20">
        <v>0</v>
      </c>
      <c r="AA1237" s="20" t="s">
        <v>1705</v>
      </c>
      <c r="AB1237" s="20">
        <v>42410.67</v>
      </c>
      <c r="AC1237" s="20">
        <v>267743.75</v>
      </c>
    </row>
    <row r="1238" spans="1:29" x14ac:dyDescent="0.25">
      <c r="A1238" s="20" t="s">
        <v>1670</v>
      </c>
      <c r="B1238" s="20" t="s">
        <v>2191</v>
      </c>
      <c r="C1238" s="20">
        <v>0</v>
      </c>
      <c r="AA1238" s="20" t="s">
        <v>2139</v>
      </c>
      <c r="AB1238" s="20">
        <v>0</v>
      </c>
      <c r="AC1238" s="20">
        <v>0</v>
      </c>
    </row>
    <row r="1239" spans="1:29" x14ac:dyDescent="0.25">
      <c r="A1239" s="20" t="s">
        <v>2767</v>
      </c>
      <c r="B1239" s="20" t="s">
        <v>2191</v>
      </c>
      <c r="C1239" s="20">
        <v>0</v>
      </c>
      <c r="AA1239" s="20" t="s">
        <v>1706</v>
      </c>
      <c r="AB1239" s="20">
        <v>-706.92</v>
      </c>
      <c r="AC1239" s="20">
        <v>0</v>
      </c>
    </row>
    <row r="1240" spans="1:29" x14ac:dyDescent="0.25">
      <c r="A1240" s="20" t="s">
        <v>1671</v>
      </c>
      <c r="B1240" s="20" t="s">
        <v>2191</v>
      </c>
      <c r="C1240" s="20">
        <v>0</v>
      </c>
      <c r="AA1240" s="20" t="s">
        <v>928</v>
      </c>
      <c r="AB1240" s="20">
        <v>-15367.28</v>
      </c>
      <c r="AC1240" s="20">
        <v>119175.39</v>
      </c>
    </row>
    <row r="1241" spans="1:29" x14ac:dyDescent="0.25">
      <c r="A1241" s="20" t="s">
        <v>2768</v>
      </c>
      <c r="B1241" s="20" t="s">
        <v>2191</v>
      </c>
      <c r="C1241" s="20">
        <v>0</v>
      </c>
      <c r="AA1241" s="20" t="s">
        <v>131</v>
      </c>
      <c r="AB1241" s="20">
        <v>-15818.49</v>
      </c>
      <c r="AC1241" s="20">
        <v>473834.14</v>
      </c>
    </row>
    <row r="1242" spans="1:29" x14ac:dyDescent="0.25">
      <c r="A1242" s="20" t="s">
        <v>2769</v>
      </c>
      <c r="B1242" s="20" t="s">
        <v>2191</v>
      </c>
      <c r="C1242" s="20">
        <v>0</v>
      </c>
      <c r="AA1242" s="20" t="s">
        <v>2914</v>
      </c>
      <c r="AB1242" s="20">
        <v>0</v>
      </c>
      <c r="AC1242" s="20">
        <v>0</v>
      </c>
    </row>
    <row r="1243" spans="1:29" x14ac:dyDescent="0.25">
      <c r="A1243" s="20" t="s">
        <v>2770</v>
      </c>
      <c r="B1243" s="20" t="s">
        <v>2191</v>
      </c>
      <c r="C1243" s="20">
        <v>0</v>
      </c>
      <c r="AA1243" s="20" t="s">
        <v>295</v>
      </c>
      <c r="AB1243" s="20">
        <v>4173.43</v>
      </c>
      <c r="AC1243" s="20">
        <v>22854.47</v>
      </c>
    </row>
    <row r="1244" spans="1:29" x14ac:dyDescent="0.25">
      <c r="A1244" s="20" t="s">
        <v>2771</v>
      </c>
      <c r="B1244" s="20" t="s">
        <v>2191</v>
      </c>
      <c r="C1244" s="20">
        <v>0</v>
      </c>
      <c r="AA1244" s="20" t="s">
        <v>1088</v>
      </c>
      <c r="AB1244" s="20">
        <v>0</v>
      </c>
      <c r="AC1244" s="20">
        <v>0</v>
      </c>
    </row>
    <row r="1245" spans="1:29" x14ac:dyDescent="0.25">
      <c r="A1245" s="20" t="s">
        <v>2772</v>
      </c>
      <c r="B1245" s="20" t="s">
        <v>2191</v>
      </c>
      <c r="C1245" s="20">
        <v>0</v>
      </c>
      <c r="AA1245" s="20" t="s">
        <v>2019</v>
      </c>
      <c r="AB1245" s="20">
        <v>0</v>
      </c>
      <c r="AC1245" s="20">
        <v>0</v>
      </c>
    </row>
    <row r="1246" spans="1:29" x14ac:dyDescent="0.25">
      <c r="A1246" s="20" t="s">
        <v>2773</v>
      </c>
      <c r="B1246" s="20" t="s">
        <v>2191</v>
      </c>
      <c r="C1246" s="20">
        <v>0</v>
      </c>
      <c r="AA1246" s="20" t="s">
        <v>1850</v>
      </c>
      <c r="AB1246" s="20">
        <v>0</v>
      </c>
      <c r="AC1246" s="20">
        <v>0</v>
      </c>
    </row>
    <row r="1247" spans="1:29" x14ac:dyDescent="0.25">
      <c r="A1247" s="20" t="s">
        <v>2774</v>
      </c>
      <c r="B1247" s="20" t="s">
        <v>2191</v>
      </c>
      <c r="C1247" s="20">
        <v>0</v>
      </c>
      <c r="AA1247" s="20" t="s">
        <v>2917</v>
      </c>
      <c r="AB1247" s="20">
        <v>0</v>
      </c>
      <c r="AC1247" s="20">
        <v>0</v>
      </c>
    </row>
    <row r="1248" spans="1:29" x14ac:dyDescent="0.25">
      <c r="A1248" s="20" t="s">
        <v>2775</v>
      </c>
      <c r="B1248" s="20" t="s">
        <v>2191</v>
      </c>
      <c r="C1248" s="20">
        <v>0</v>
      </c>
      <c r="AA1248" s="20" t="s">
        <v>2140</v>
      </c>
      <c r="AB1248" s="20">
        <v>0</v>
      </c>
      <c r="AC1248" s="20">
        <v>0</v>
      </c>
    </row>
    <row r="1249" spans="1:29" x14ac:dyDescent="0.25">
      <c r="A1249" s="20" t="s">
        <v>2776</v>
      </c>
      <c r="B1249" s="20" t="s">
        <v>2191</v>
      </c>
      <c r="C1249" s="20">
        <v>0</v>
      </c>
      <c r="AA1249" s="20" t="s">
        <v>1707</v>
      </c>
      <c r="AB1249" s="20">
        <v>-2550.17</v>
      </c>
      <c r="AC1249" s="20">
        <v>0</v>
      </c>
    </row>
    <row r="1250" spans="1:29" x14ac:dyDescent="0.25">
      <c r="A1250" s="20" t="s">
        <v>1672</v>
      </c>
      <c r="B1250" s="20" t="s">
        <v>2191</v>
      </c>
      <c r="C1250" s="20">
        <v>0</v>
      </c>
      <c r="AA1250" s="20" t="s">
        <v>1708</v>
      </c>
      <c r="AB1250" s="20">
        <v>-1099.07</v>
      </c>
      <c r="AC1250" s="20">
        <v>5784.39</v>
      </c>
    </row>
    <row r="1251" spans="1:29" x14ac:dyDescent="0.25">
      <c r="A1251" s="20" t="s">
        <v>2777</v>
      </c>
      <c r="B1251" s="20" t="s">
        <v>2191</v>
      </c>
      <c r="C1251" s="20">
        <v>0</v>
      </c>
      <c r="AA1251" s="20" t="s">
        <v>133</v>
      </c>
      <c r="AB1251" s="20">
        <v>1293280.74</v>
      </c>
      <c r="AC1251" s="20">
        <v>164037.14000000001</v>
      </c>
    </row>
    <row r="1252" spans="1:29" x14ac:dyDescent="0.25">
      <c r="A1252" s="20" t="s">
        <v>2778</v>
      </c>
      <c r="B1252" s="20" t="s">
        <v>2191</v>
      </c>
      <c r="C1252" s="20">
        <v>0</v>
      </c>
      <c r="AA1252" s="20" t="s">
        <v>1709</v>
      </c>
      <c r="AB1252" s="20">
        <v>-1029.79</v>
      </c>
      <c r="AC1252" s="20">
        <v>0</v>
      </c>
    </row>
    <row r="1253" spans="1:29" x14ac:dyDescent="0.25">
      <c r="A1253" s="20" t="s">
        <v>2049</v>
      </c>
      <c r="B1253" s="20" t="s">
        <v>2191</v>
      </c>
      <c r="C1253" s="20">
        <v>0</v>
      </c>
      <c r="AA1253" s="20" t="s">
        <v>2062</v>
      </c>
      <c r="AB1253" s="20">
        <v>0</v>
      </c>
      <c r="AC1253" s="20">
        <v>0</v>
      </c>
    </row>
    <row r="1254" spans="1:29" x14ac:dyDescent="0.25">
      <c r="A1254" s="20" t="s">
        <v>2779</v>
      </c>
      <c r="B1254" s="20" t="s">
        <v>2191</v>
      </c>
      <c r="C1254" s="20">
        <v>0</v>
      </c>
      <c r="AA1254" s="20" t="s">
        <v>2919</v>
      </c>
      <c r="AB1254" s="20">
        <v>0</v>
      </c>
      <c r="AC1254" s="20">
        <v>0</v>
      </c>
    </row>
    <row r="1255" spans="1:29" x14ac:dyDescent="0.25">
      <c r="A1255" s="20" t="s">
        <v>2780</v>
      </c>
      <c r="B1255" s="20" t="s">
        <v>2191</v>
      </c>
      <c r="C1255" s="20">
        <v>0</v>
      </c>
      <c r="AA1255" s="20" t="s">
        <v>134</v>
      </c>
      <c r="AB1255" s="20">
        <v>6934.32</v>
      </c>
      <c r="AC1255" s="20">
        <v>87383.88</v>
      </c>
    </row>
    <row r="1256" spans="1:29" x14ac:dyDescent="0.25">
      <c r="A1256" s="20" t="s">
        <v>2781</v>
      </c>
      <c r="B1256" s="20" t="s">
        <v>2191</v>
      </c>
      <c r="C1256" s="20">
        <v>0</v>
      </c>
      <c r="AA1256" s="20" t="s">
        <v>1026</v>
      </c>
      <c r="AB1256" s="20">
        <v>1688.23</v>
      </c>
      <c r="AC1256" s="20">
        <v>83913.16</v>
      </c>
    </row>
    <row r="1257" spans="1:29" x14ac:dyDescent="0.25">
      <c r="A1257" s="20" t="s">
        <v>2782</v>
      </c>
      <c r="B1257" s="20" t="s">
        <v>2191</v>
      </c>
      <c r="C1257" s="20">
        <v>0</v>
      </c>
      <c r="AA1257" s="20" t="s">
        <v>1028</v>
      </c>
      <c r="AB1257" s="20">
        <v>-53.48</v>
      </c>
      <c r="AC1257" s="20">
        <v>0</v>
      </c>
    </row>
    <row r="1258" spans="1:29" x14ac:dyDescent="0.25">
      <c r="A1258" s="20" t="s">
        <v>2783</v>
      </c>
      <c r="B1258" s="20" t="s">
        <v>2191</v>
      </c>
      <c r="C1258" s="20">
        <v>0</v>
      </c>
      <c r="AA1258" s="20" t="s">
        <v>2920</v>
      </c>
      <c r="AB1258" s="20">
        <v>0</v>
      </c>
      <c r="AC1258" s="20">
        <v>0</v>
      </c>
    </row>
    <row r="1259" spans="1:29" x14ac:dyDescent="0.25">
      <c r="A1259" s="20" t="s">
        <v>1673</v>
      </c>
      <c r="B1259" s="20" t="s">
        <v>2191</v>
      </c>
      <c r="C1259" s="20">
        <v>0</v>
      </c>
      <c r="AA1259" s="20" t="s">
        <v>316</v>
      </c>
      <c r="AB1259" s="20">
        <v>-118.64</v>
      </c>
      <c r="AC1259" s="20">
        <v>12190.96</v>
      </c>
    </row>
    <row r="1260" spans="1:29" x14ac:dyDescent="0.25">
      <c r="A1260" s="20" t="s">
        <v>2784</v>
      </c>
      <c r="B1260" s="20" t="s">
        <v>2191</v>
      </c>
      <c r="C1260" s="20">
        <v>0</v>
      </c>
      <c r="AA1260" s="20" t="s">
        <v>2141</v>
      </c>
      <c r="AB1260" s="20">
        <v>0</v>
      </c>
      <c r="AC1260" s="20">
        <v>0</v>
      </c>
    </row>
    <row r="1261" spans="1:29" x14ac:dyDescent="0.25">
      <c r="A1261" s="20" t="s">
        <v>2785</v>
      </c>
      <c r="B1261" s="20" t="s">
        <v>2191</v>
      </c>
      <c r="C1261" s="20">
        <v>0</v>
      </c>
      <c r="AA1261" s="20" t="s">
        <v>2921</v>
      </c>
      <c r="AB1261" s="20">
        <v>0</v>
      </c>
      <c r="AC1261" s="20">
        <v>0</v>
      </c>
    </row>
    <row r="1262" spans="1:29" x14ac:dyDescent="0.25">
      <c r="A1262" s="20" t="s">
        <v>2786</v>
      </c>
      <c r="B1262" s="20" t="s">
        <v>2191</v>
      </c>
      <c r="C1262" s="20">
        <v>0</v>
      </c>
      <c r="AA1262" s="20" t="s">
        <v>2922</v>
      </c>
      <c r="AB1262" s="20">
        <v>0</v>
      </c>
      <c r="AC1262" s="20">
        <v>0</v>
      </c>
    </row>
    <row r="1263" spans="1:29" x14ac:dyDescent="0.25">
      <c r="A1263" s="20" t="s">
        <v>2787</v>
      </c>
      <c r="B1263" s="20" t="s">
        <v>2191</v>
      </c>
      <c r="C1263" s="20">
        <v>0</v>
      </c>
      <c r="AA1263" s="20" t="s">
        <v>2923</v>
      </c>
      <c r="AB1263" s="20">
        <v>0</v>
      </c>
      <c r="AC1263" s="20">
        <v>0</v>
      </c>
    </row>
    <row r="1264" spans="1:29" x14ac:dyDescent="0.25">
      <c r="A1264" s="20" t="s">
        <v>1674</v>
      </c>
      <c r="B1264" s="20" t="s">
        <v>2191</v>
      </c>
      <c r="C1264" s="20">
        <v>0</v>
      </c>
      <c r="AA1264" s="20" t="s">
        <v>930</v>
      </c>
      <c r="AB1264" s="20">
        <v>152332.62</v>
      </c>
      <c r="AC1264" s="20">
        <v>120314.46</v>
      </c>
    </row>
    <row r="1265" spans="1:29" x14ac:dyDescent="0.25">
      <c r="A1265" s="20" t="s">
        <v>2788</v>
      </c>
      <c r="B1265" s="20" t="s">
        <v>2191</v>
      </c>
      <c r="C1265" s="20">
        <v>0</v>
      </c>
      <c r="AA1265" s="20" t="s">
        <v>2187</v>
      </c>
      <c r="AB1265" s="20">
        <v>0</v>
      </c>
      <c r="AC1265" s="20">
        <v>0</v>
      </c>
    </row>
    <row r="1266" spans="1:29" x14ac:dyDescent="0.25">
      <c r="A1266" s="20" t="s">
        <v>2789</v>
      </c>
      <c r="B1266" s="20" t="s">
        <v>2191</v>
      </c>
      <c r="C1266" s="20">
        <v>0</v>
      </c>
      <c r="AA1266" s="20" t="s">
        <v>1029</v>
      </c>
      <c r="AB1266" s="20">
        <v>1172520.19</v>
      </c>
      <c r="AC1266" s="20">
        <v>122048.66</v>
      </c>
    </row>
    <row r="1267" spans="1:29" x14ac:dyDescent="0.25">
      <c r="A1267" s="20" t="s">
        <v>2790</v>
      </c>
      <c r="B1267" s="20" t="s">
        <v>2191</v>
      </c>
      <c r="C1267" s="20">
        <v>0</v>
      </c>
      <c r="AA1267" s="20" t="s">
        <v>513</v>
      </c>
      <c r="AB1267" s="20">
        <v>208373.81</v>
      </c>
      <c r="AC1267" s="20">
        <v>30031.759999999998</v>
      </c>
    </row>
    <row r="1268" spans="1:29" x14ac:dyDescent="0.25">
      <c r="A1268" s="20" t="s">
        <v>2791</v>
      </c>
      <c r="B1268" s="20" t="s">
        <v>2191</v>
      </c>
      <c r="C1268" s="20">
        <v>0</v>
      </c>
      <c r="AA1268" s="20" t="s">
        <v>728</v>
      </c>
      <c r="AB1268" s="20">
        <v>375654.94</v>
      </c>
      <c r="AC1268" s="20">
        <v>1731539.39</v>
      </c>
    </row>
    <row r="1269" spans="1:29" x14ac:dyDescent="0.25">
      <c r="A1269" s="20" t="s">
        <v>2792</v>
      </c>
      <c r="B1269" s="20" t="s">
        <v>2191</v>
      </c>
      <c r="C1269" s="20">
        <v>0</v>
      </c>
      <c r="AA1269" s="20" t="s">
        <v>732</v>
      </c>
      <c r="AB1269" s="20">
        <v>-12.13</v>
      </c>
      <c r="AC1269" s="20">
        <v>0</v>
      </c>
    </row>
    <row r="1270" spans="1:29" x14ac:dyDescent="0.25">
      <c r="A1270" s="20" t="s">
        <v>2793</v>
      </c>
      <c r="B1270" s="20" t="s">
        <v>2191</v>
      </c>
      <c r="C1270" s="20">
        <v>0</v>
      </c>
      <c r="AA1270" s="20" t="s">
        <v>319</v>
      </c>
      <c r="AB1270" s="20">
        <v>-21124.639999999999</v>
      </c>
      <c r="AC1270" s="20">
        <v>156486.46</v>
      </c>
    </row>
    <row r="1271" spans="1:29" x14ac:dyDescent="0.25">
      <c r="A1271" s="20" t="s">
        <v>2794</v>
      </c>
      <c r="B1271" s="20" t="s">
        <v>2191</v>
      </c>
      <c r="C1271" s="20">
        <v>0</v>
      </c>
      <c r="AA1271" s="20" t="s">
        <v>321</v>
      </c>
      <c r="AB1271" s="20">
        <v>23193.47</v>
      </c>
      <c r="AC1271" s="20">
        <v>453053.58</v>
      </c>
    </row>
    <row r="1272" spans="1:29" x14ac:dyDescent="0.25">
      <c r="A1272" s="20" t="s">
        <v>2795</v>
      </c>
      <c r="B1272" s="20" t="s">
        <v>2191</v>
      </c>
      <c r="C1272" s="20">
        <v>0</v>
      </c>
      <c r="AA1272" s="20" t="s">
        <v>1133</v>
      </c>
      <c r="AB1272" s="20">
        <v>0</v>
      </c>
      <c r="AC1272" s="20">
        <v>0</v>
      </c>
    </row>
    <row r="1273" spans="1:29" x14ac:dyDescent="0.25">
      <c r="A1273" s="20" t="s">
        <v>2796</v>
      </c>
      <c r="B1273" s="20" t="s">
        <v>2191</v>
      </c>
      <c r="C1273" s="20">
        <v>0</v>
      </c>
      <c r="AA1273" s="20" t="s">
        <v>1383</v>
      </c>
      <c r="AB1273" s="20">
        <v>-122701.52</v>
      </c>
      <c r="AC1273" s="20">
        <v>49348.28</v>
      </c>
    </row>
    <row r="1274" spans="1:29" x14ac:dyDescent="0.25">
      <c r="A1274" s="20" t="s">
        <v>2797</v>
      </c>
      <c r="B1274" s="20" t="s">
        <v>2191</v>
      </c>
      <c r="C1274" s="20">
        <v>0</v>
      </c>
      <c r="AA1274" s="20" t="s">
        <v>1135</v>
      </c>
      <c r="AB1274" s="20">
        <v>-2118.21</v>
      </c>
      <c r="AC1274" s="20">
        <v>253.15</v>
      </c>
    </row>
    <row r="1275" spans="1:29" x14ac:dyDescent="0.25">
      <c r="A1275" s="20" t="s">
        <v>1675</v>
      </c>
      <c r="B1275" s="20" t="s">
        <v>2191</v>
      </c>
      <c r="C1275" s="20">
        <v>0</v>
      </c>
      <c r="AA1275" s="20" t="s">
        <v>322</v>
      </c>
      <c r="AB1275" s="20">
        <v>-37.729999999999997</v>
      </c>
      <c r="AC1275" s="20">
        <v>0</v>
      </c>
    </row>
    <row r="1276" spans="1:29" x14ac:dyDescent="0.25">
      <c r="A1276" s="20" t="s">
        <v>2798</v>
      </c>
      <c r="B1276" s="20" t="s">
        <v>2191</v>
      </c>
      <c r="C1276" s="20">
        <v>0</v>
      </c>
      <c r="AA1276" s="20" t="s">
        <v>2924</v>
      </c>
      <c r="AB1276" s="20">
        <v>0</v>
      </c>
      <c r="AC1276" s="20">
        <v>0</v>
      </c>
    </row>
    <row r="1277" spans="1:29" x14ac:dyDescent="0.25">
      <c r="A1277" s="20" t="s">
        <v>2799</v>
      </c>
      <c r="B1277" s="20" t="s">
        <v>2191</v>
      </c>
      <c r="C1277" s="20">
        <v>0</v>
      </c>
      <c r="AA1277" s="20" t="s">
        <v>1868</v>
      </c>
      <c r="AB1277" s="20">
        <v>0</v>
      </c>
      <c r="AC1277" s="20">
        <v>0</v>
      </c>
    </row>
    <row r="1278" spans="1:29" x14ac:dyDescent="0.25">
      <c r="A1278" s="20" t="s">
        <v>2800</v>
      </c>
      <c r="B1278" s="20" t="s">
        <v>2191</v>
      </c>
      <c r="C1278" s="20">
        <v>0</v>
      </c>
      <c r="AA1278" s="20" t="s">
        <v>932</v>
      </c>
      <c r="AB1278" s="20">
        <v>-10.27</v>
      </c>
      <c r="AC1278" s="20">
        <v>0</v>
      </c>
    </row>
    <row r="1279" spans="1:29" x14ac:dyDescent="0.25">
      <c r="A1279" s="20" t="s">
        <v>2801</v>
      </c>
      <c r="B1279" s="20" t="s">
        <v>2191</v>
      </c>
      <c r="C1279" s="20">
        <v>0</v>
      </c>
      <c r="AA1279" s="20" t="s">
        <v>1711</v>
      </c>
      <c r="AB1279" s="20">
        <v>-63977.21</v>
      </c>
      <c r="AC1279" s="20">
        <v>-169.63</v>
      </c>
    </row>
    <row r="1280" spans="1:29" x14ac:dyDescent="0.25">
      <c r="A1280" s="20" t="s">
        <v>2802</v>
      </c>
      <c r="B1280" s="20" t="s">
        <v>2191</v>
      </c>
      <c r="C1280" s="20">
        <v>0</v>
      </c>
      <c r="AA1280" s="20" t="s">
        <v>515</v>
      </c>
      <c r="AB1280" s="20">
        <v>-8289.6299999999992</v>
      </c>
      <c r="AC1280" s="20">
        <v>4696.6899999999996</v>
      </c>
    </row>
    <row r="1281" spans="1:29" x14ac:dyDescent="0.25">
      <c r="A1281" s="20" t="s">
        <v>1515</v>
      </c>
      <c r="B1281" s="20" t="s">
        <v>2191</v>
      </c>
      <c r="C1281" s="20">
        <v>0</v>
      </c>
      <c r="AA1281" s="20" t="s">
        <v>1305</v>
      </c>
      <c r="AB1281" s="20">
        <v>-1546.13</v>
      </c>
      <c r="AC1281" s="20">
        <v>9783.83</v>
      </c>
    </row>
    <row r="1282" spans="1:29" x14ac:dyDescent="0.25">
      <c r="A1282" s="20" t="s">
        <v>1516</v>
      </c>
      <c r="B1282" s="20" t="s">
        <v>2191</v>
      </c>
      <c r="C1282" s="20">
        <v>0</v>
      </c>
      <c r="AA1282" s="20" t="s">
        <v>1942</v>
      </c>
      <c r="AB1282" s="20">
        <v>0</v>
      </c>
      <c r="AC1282" s="20">
        <v>0</v>
      </c>
    </row>
    <row r="1283" spans="1:29" x14ac:dyDescent="0.25">
      <c r="A1283" s="20" t="s">
        <v>2803</v>
      </c>
      <c r="B1283" s="20" t="s">
        <v>2191</v>
      </c>
      <c r="C1283" s="20">
        <v>0</v>
      </c>
      <c r="AA1283" s="20" t="s">
        <v>2926</v>
      </c>
      <c r="AB1283" s="20">
        <v>0</v>
      </c>
      <c r="AC1283" s="20">
        <v>0</v>
      </c>
    </row>
    <row r="1284" spans="1:29" x14ac:dyDescent="0.25">
      <c r="A1284" s="20" t="s">
        <v>1676</v>
      </c>
      <c r="B1284" s="20" t="s">
        <v>2191</v>
      </c>
      <c r="C1284" s="20">
        <v>0</v>
      </c>
      <c r="AA1284" s="20" t="s">
        <v>1712</v>
      </c>
      <c r="AB1284" s="20">
        <v>-1095.8</v>
      </c>
      <c r="AC1284" s="20">
        <v>0</v>
      </c>
    </row>
    <row r="1285" spans="1:29" x14ac:dyDescent="0.25">
      <c r="A1285" s="20" t="s">
        <v>2804</v>
      </c>
      <c r="B1285" s="20" t="s">
        <v>2191</v>
      </c>
      <c r="C1285" s="20">
        <v>0</v>
      </c>
      <c r="AA1285" s="20" t="s">
        <v>1713</v>
      </c>
      <c r="AB1285" s="20">
        <v>-1755.51</v>
      </c>
      <c r="AC1285" s="20">
        <v>0</v>
      </c>
    </row>
    <row r="1286" spans="1:29" x14ac:dyDescent="0.25">
      <c r="A1286" s="20" t="s">
        <v>2805</v>
      </c>
      <c r="B1286" s="20" t="s">
        <v>2191</v>
      </c>
      <c r="C1286" s="20">
        <v>0</v>
      </c>
      <c r="AA1286" s="20" t="s">
        <v>1030</v>
      </c>
      <c r="AB1286" s="20">
        <v>0</v>
      </c>
      <c r="AC1286" s="20">
        <v>0</v>
      </c>
    </row>
    <row r="1287" spans="1:29" x14ac:dyDescent="0.25">
      <c r="A1287" s="20" t="s">
        <v>2806</v>
      </c>
      <c r="B1287" s="20" t="s">
        <v>2191</v>
      </c>
      <c r="C1287" s="20">
        <v>0</v>
      </c>
      <c r="AA1287" s="20" t="s">
        <v>136</v>
      </c>
      <c r="AB1287" s="20">
        <v>0</v>
      </c>
      <c r="AC1287" s="20">
        <v>0</v>
      </c>
    </row>
    <row r="1288" spans="1:29" x14ac:dyDescent="0.25">
      <c r="A1288" s="20" t="s">
        <v>2807</v>
      </c>
      <c r="B1288" s="20" t="s">
        <v>2191</v>
      </c>
      <c r="C1288" s="20">
        <v>0</v>
      </c>
      <c r="AA1288" s="20" t="s">
        <v>1478</v>
      </c>
      <c r="AB1288" s="20">
        <v>-1999.57</v>
      </c>
      <c r="AC1288" s="20">
        <v>15983.16</v>
      </c>
    </row>
    <row r="1289" spans="1:29" x14ac:dyDescent="0.25">
      <c r="A1289" s="20" t="s">
        <v>2808</v>
      </c>
      <c r="B1289" s="20" t="s">
        <v>2191</v>
      </c>
      <c r="C1289" s="20">
        <v>0</v>
      </c>
      <c r="AA1289" s="20" t="s">
        <v>2928</v>
      </c>
      <c r="AB1289" s="20">
        <v>0</v>
      </c>
      <c r="AC1289" s="20">
        <v>0</v>
      </c>
    </row>
    <row r="1290" spans="1:29" x14ac:dyDescent="0.25">
      <c r="A1290" s="20" t="s">
        <v>2809</v>
      </c>
      <c r="B1290" s="20" t="s">
        <v>2191</v>
      </c>
      <c r="C1290" s="20">
        <v>0</v>
      </c>
      <c r="AA1290" s="20" t="s">
        <v>477</v>
      </c>
      <c r="AB1290" s="20">
        <v>0</v>
      </c>
      <c r="AC1290" s="20">
        <v>0</v>
      </c>
    </row>
    <row r="1291" spans="1:29" x14ac:dyDescent="0.25">
      <c r="A1291" s="20" t="s">
        <v>1972</v>
      </c>
      <c r="B1291" s="20" t="s">
        <v>2191</v>
      </c>
      <c r="C1291" s="20">
        <v>0</v>
      </c>
      <c r="AA1291" s="20" t="s">
        <v>2929</v>
      </c>
      <c r="AB1291" s="20">
        <v>0</v>
      </c>
      <c r="AC1291" s="20">
        <v>0</v>
      </c>
    </row>
    <row r="1292" spans="1:29" x14ac:dyDescent="0.25">
      <c r="A1292" s="20" t="s">
        <v>2810</v>
      </c>
      <c r="B1292" s="20" t="s">
        <v>2191</v>
      </c>
      <c r="C1292" s="20">
        <v>0</v>
      </c>
      <c r="AA1292" s="20" t="s">
        <v>810</v>
      </c>
      <c r="AB1292" s="20">
        <v>-1653.87</v>
      </c>
      <c r="AC1292" s="20">
        <v>0</v>
      </c>
    </row>
    <row r="1293" spans="1:29" x14ac:dyDescent="0.25">
      <c r="A1293" s="20" t="s">
        <v>1677</v>
      </c>
      <c r="B1293" s="20" t="s">
        <v>2191</v>
      </c>
      <c r="C1293" s="20">
        <v>0</v>
      </c>
      <c r="AA1293" s="20" t="s">
        <v>459</v>
      </c>
      <c r="AB1293" s="20">
        <v>21048.3</v>
      </c>
      <c r="AC1293" s="20">
        <v>898348.61</v>
      </c>
    </row>
    <row r="1294" spans="1:29" x14ac:dyDescent="0.25">
      <c r="A1294" s="20" t="s">
        <v>1678</v>
      </c>
      <c r="B1294" s="20" t="s">
        <v>2191</v>
      </c>
      <c r="C1294" s="20">
        <v>0</v>
      </c>
      <c r="AA1294" s="20" t="s">
        <v>520</v>
      </c>
      <c r="AB1294" s="20">
        <v>1193938.83</v>
      </c>
      <c r="AC1294" s="20">
        <v>209507.72</v>
      </c>
    </row>
    <row r="1295" spans="1:29" x14ac:dyDescent="0.25">
      <c r="A1295" s="20" t="s">
        <v>2811</v>
      </c>
      <c r="B1295" s="20" t="s">
        <v>2191</v>
      </c>
      <c r="C1295" s="20">
        <v>0</v>
      </c>
      <c r="AA1295" s="20" t="s">
        <v>1232</v>
      </c>
      <c r="AB1295" s="20">
        <v>78.05</v>
      </c>
      <c r="AC1295" s="20">
        <v>14768.36</v>
      </c>
    </row>
    <row r="1296" spans="1:29" x14ac:dyDescent="0.25">
      <c r="A1296" s="20" t="s">
        <v>1376</v>
      </c>
      <c r="B1296" s="20" t="s">
        <v>2191</v>
      </c>
      <c r="C1296" s="20">
        <v>0</v>
      </c>
      <c r="AA1296" s="20" t="s">
        <v>1714</v>
      </c>
      <c r="AB1296" s="20">
        <v>-12118.26</v>
      </c>
      <c r="AC1296" s="20">
        <v>0</v>
      </c>
    </row>
    <row r="1297" spans="1:29" x14ac:dyDescent="0.25">
      <c r="A1297" s="20" t="s">
        <v>1973</v>
      </c>
      <c r="B1297" s="20" t="s">
        <v>2191</v>
      </c>
      <c r="C1297" s="20">
        <v>0</v>
      </c>
      <c r="AA1297" s="20" t="s">
        <v>3318</v>
      </c>
      <c r="AB1297" s="20">
        <v>0</v>
      </c>
      <c r="AC1297" s="20">
        <v>0</v>
      </c>
    </row>
    <row r="1298" spans="1:29" x14ac:dyDescent="0.25">
      <c r="A1298" s="20" t="s">
        <v>2812</v>
      </c>
      <c r="B1298" s="20" t="s">
        <v>2191</v>
      </c>
      <c r="C1298" s="20">
        <v>0</v>
      </c>
      <c r="AA1298" s="20" t="s">
        <v>1137</v>
      </c>
      <c r="AB1298" s="20">
        <v>-10.76</v>
      </c>
      <c r="AC1298" s="20">
        <v>0</v>
      </c>
    </row>
    <row r="1299" spans="1:29" x14ac:dyDescent="0.25">
      <c r="A1299" s="20" t="s">
        <v>2105</v>
      </c>
      <c r="B1299" s="20" t="s">
        <v>2191</v>
      </c>
      <c r="C1299" s="20">
        <v>0</v>
      </c>
      <c r="AA1299" s="20" t="s">
        <v>75</v>
      </c>
      <c r="AB1299" s="20">
        <v>81876.03</v>
      </c>
      <c r="AC1299" s="20">
        <v>696939.58</v>
      </c>
    </row>
    <row r="1300" spans="1:29" x14ac:dyDescent="0.25">
      <c r="A1300" s="20" t="s">
        <v>2813</v>
      </c>
      <c r="B1300" s="20" t="s">
        <v>2191</v>
      </c>
      <c r="C1300" s="20">
        <v>0</v>
      </c>
      <c r="AA1300" s="20" t="s">
        <v>2022</v>
      </c>
      <c r="AB1300" s="20">
        <v>0</v>
      </c>
      <c r="AC1300" s="20">
        <v>0</v>
      </c>
    </row>
    <row r="1301" spans="1:29" x14ac:dyDescent="0.25">
      <c r="A1301" s="20" t="s">
        <v>2814</v>
      </c>
      <c r="B1301" s="20" t="s">
        <v>2191</v>
      </c>
      <c r="C1301" s="20">
        <v>0</v>
      </c>
      <c r="AA1301" s="20" t="s">
        <v>1234</v>
      </c>
      <c r="AB1301" s="20">
        <v>133968.74</v>
      </c>
      <c r="AC1301" s="20">
        <v>939816.64</v>
      </c>
    </row>
    <row r="1302" spans="1:29" x14ac:dyDescent="0.25">
      <c r="A1302" s="20" t="s">
        <v>1120</v>
      </c>
      <c r="B1302" s="20" t="s">
        <v>2191</v>
      </c>
      <c r="C1302" s="20">
        <v>13547</v>
      </c>
      <c r="AA1302" s="20" t="s">
        <v>1715</v>
      </c>
      <c r="AB1302" s="20">
        <v>-65012.03</v>
      </c>
      <c r="AC1302" s="20">
        <v>-48.97</v>
      </c>
    </row>
    <row r="1303" spans="1:29" x14ac:dyDescent="0.25">
      <c r="A1303" s="20" t="s">
        <v>914</v>
      </c>
      <c r="B1303" s="20" t="s">
        <v>2191</v>
      </c>
      <c r="C1303" s="20">
        <v>0</v>
      </c>
      <c r="AA1303" s="20" t="s">
        <v>1716</v>
      </c>
      <c r="AB1303" s="20">
        <v>0</v>
      </c>
      <c r="AC1303" s="20">
        <v>0</v>
      </c>
    </row>
    <row r="1304" spans="1:29" x14ac:dyDescent="0.25">
      <c r="A1304" s="20" t="s">
        <v>2815</v>
      </c>
      <c r="B1304" s="20" t="s">
        <v>2191</v>
      </c>
      <c r="C1304" s="20">
        <v>0</v>
      </c>
      <c r="AA1304" s="20" t="s">
        <v>1717</v>
      </c>
      <c r="AB1304" s="20">
        <v>-29.05</v>
      </c>
      <c r="AC1304" s="20">
        <v>0</v>
      </c>
    </row>
    <row r="1305" spans="1:29" x14ac:dyDescent="0.25">
      <c r="A1305" s="20" t="s">
        <v>2106</v>
      </c>
      <c r="B1305" s="20" t="s">
        <v>2191</v>
      </c>
      <c r="C1305" s="20">
        <v>0</v>
      </c>
      <c r="AA1305" s="20" t="s">
        <v>2930</v>
      </c>
      <c r="AB1305" s="20">
        <v>0</v>
      </c>
      <c r="AC1305" s="20">
        <v>0</v>
      </c>
    </row>
    <row r="1306" spans="1:29" x14ac:dyDescent="0.25">
      <c r="A1306" s="20" t="s">
        <v>2012</v>
      </c>
      <c r="B1306" s="20" t="s">
        <v>2191</v>
      </c>
      <c r="C1306" s="20">
        <v>0</v>
      </c>
      <c r="AA1306" s="20" t="s">
        <v>2931</v>
      </c>
      <c r="AB1306" s="20">
        <v>5.28</v>
      </c>
      <c r="AC1306" s="20">
        <v>1299.26</v>
      </c>
    </row>
    <row r="1307" spans="1:29" x14ac:dyDescent="0.25">
      <c r="A1307" s="20" t="s">
        <v>2107</v>
      </c>
      <c r="B1307" s="20" t="s">
        <v>2191</v>
      </c>
      <c r="C1307" s="20">
        <v>0</v>
      </c>
      <c r="AA1307" s="20" t="s">
        <v>2932</v>
      </c>
      <c r="AB1307" s="20">
        <v>0</v>
      </c>
      <c r="AC1307" s="20">
        <v>0</v>
      </c>
    </row>
    <row r="1308" spans="1:29" x14ac:dyDescent="0.25">
      <c r="A1308" s="20" t="s">
        <v>2050</v>
      </c>
      <c r="B1308" s="20" t="s">
        <v>2191</v>
      </c>
      <c r="C1308" s="20">
        <v>0</v>
      </c>
      <c r="AA1308" s="20" t="s">
        <v>1138</v>
      </c>
      <c r="AB1308" s="20">
        <v>-0.16</v>
      </c>
      <c r="AC1308" s="20">
        <v>3868.08</v>
      </c>
    </row>
    <row r="1309" spans="1:29" x14ac:dyDescent="0.25">
      <c r="A1309" s="20" t="s">
        <v>2816</v>
      </c>
      <c r="B1309" s="20" t="s">
        <v>2191</v>
      </c>
      <c r="C1309" s="20">
        <v>0</v>
      </c>
      <c r="AA1309" s="20" t="s">
        <v>1480</v>
      </c>
      <c r="AB1309" s="20">
        <v>-90.01</v>
      </c>
      <c r="AC1309" s="20">
        <v>5341.38</v>
      </c>
    </row>
    <row r="1310" spans="1:29" x14ac:dyDescent="0.25">
      <c r="A1310" s="20" t="s">
        <v>1679</v>
      </c>
      <c r="B1310" s="20" t="s">
        <v>2191</v>
      </c>
      <c r="C1310" s="20">
        <v>0</v>
      </c>
      <c r="AA1310" s="20" t="s">
        <v>737</v>
      </c>
      <c r="AB1310" s="20">
        <v>2358262.6</v>
      </c>
      <c r="AC1310" s="20">
        <v>4462861.16</v>
      </c>
    </row>
    <row r="1311" spans="1:29" x14ac:dyDescent="0.25">
      <c r="A1311" s="20" t="s">
        <v>474</v>
      </c>
      <c r="B1311" s="20" t="s">
        <v>2191</v>
      </c>
      <c r="C1311" s="20">
        <v>3944</v>
      </c>
      <c r="AA1311" s="20" t="s">
        <v>3319</v>
      </c>
      <c r="AB1311" s="20">
        <v>0</v>
      </c>
      <c r="AC1311" s="20">
        <v>0</v>
      </c>
    </row>
    <row r="1312" spans="1:29" x14ac:dyDescent="0.25">
      <c r="A1312" s="20" t="s">
        <v>2817</v>
      </c>
      <c r="B1312" s="20" t="s">
        <v>2191</v>
      </c>
      <c r="C1312" s="20">
        <v>0</v>
      </c>
      <c r="AA1312" s="20" t="s">
        <v>2935</v>
      </c>
      <c r="AB1312" s="20">
        <v>0</v>
      </c>
      <c r="AC1312" s="20">
        <v>0</v>
      </c>
    </row>
    <row r="1313" spans="1:29" x14ac:dyDescent="0.25">
      <c r="A1313" s="20" t="s">
        <v>2818</v>
      </c>
      <c r="B1313" s="20" t="s">
        <v>2191</v>
      </c>
      <c r="C1313" s="20">
        <v>0</v>
      </c>
      <c r="AA1313" s="20" t="s">
        <v>1718</v>
      </c>
      <c r="AB1313" s="20">
        <v>-1837.69</v>
      </c>
      <c r="AC1313" s="20">
        <v>0</v>
      </c>
    </row>
    <row r="1314" spans="1:29" x14ac:dyDescent="0.25">
      <c r="A1314" s="20" t="s">
        <v>1680</v>
      </c>
      <c r="B1314" s="20" t="s">
        <v>2191</v>
      </c>
      <c r="C1314" s="20">
        <v>0</v>
      </c>
      <c r="AA1314" s="20" t="s">
        <v>1307</v>
      </c>
      <c r="AB1314" s="20">
        <v>-7823.31</v>
      </c>
      <c r="AC1314" s="20">
        <v>130034.52</v>
      </c>
    </row>
    <row r="1315" spans="1:29" x14ac:dyDescent="0.25">
      <c r="A1315" s="20" t="s">
        <v>2819</v>
      </c>
      <c r="B1315" s="20" t="s">
        <v>2191</v>
      </c>
      <c r="C1315" s="20">
        <v>0</v>
      </c>
      <c r="AA1315" s="20" t="s">
        <v>2936</v>
      </c>
      <c r="AB1315" s="20">
        <v>0</v>
      </c>
      <c r="AC1315" s="20">
        <v>0</v>
      </c>
    </row>
    <row r="1316" spans="1:29" x14ac:dyDescent="0.25">
      <c r="A1316" s="20" t="s">
        <v>1681</v>
      </c>
      <c r="B1316" s="20" t="s">
        <v>2191</v>
      </c>
      <c r="C1316" s="20">
        <v>0</v>
      </c>
      <c r="AA1316" s="20" t="s">
        <v>225</v>
      </c>
      <c r="AB1316" s="20">
        <v>211.8</v>
      </c>
      <c r="AC1316" s="20">
        <v>77621.59</v>
      </c>
    </row>
    <row r="1317" spans="1:29" x14ac:dyDescent="0.25">
      <c r="A1317" s="20" t="s">
        <v>1377</v>
      </c>
      <c r="B1317" s="20" t="s">
        <v>2191</v>
      </c>
      <c r="C1317" s="20">
        <v>38575</v>
      </c>
      <c r="AA1317" s="20" t="s">
        <v>2938</v>
      </c>
      <c r="AB1317" s="20">
        <v>0</v>
      </c>
      <c r="AC1317" s="20">
        <v>0</v>
      </c>
    </row>
    <row r="1318" spans="1:29" x14ac:dyDescent="0.25">
      <c r="A1318" s="20" t="s">
        <v>2158</v>
      </c>
      <c r="B1318" s="20" t="s">
        <v>2191</v>
      </c>
      <c r="C1318" s="20">
        <v>0</v>
      </c>
      <c r="AA1318" s="20" t="s">
        <v>934</v>
      </c>
      <c r="AB1318" s="20">
        <v>28051.200000000001</v>
      </c>
      <c r="AC1318" s="20">
        <v>254029.87</v>
      </c>
    </row>
    <row r="1319" spans="1:29" x14ac:dyDescent="0.25">
      <c r="A1319" s="20" t="s">
        <v>2820</v>
      </c>
      <c r="B1319" s="20" t="s">
        <v>2191</v>
      </c>
      <c r="C1319" s="20">
        <v>0</v>
      </c>
      <c r="AA1319" s="20" t="s">
        <v>1140</v>
      </c>
      <c r="AB1319" s="20">
        <v>-419.08</v>
      </c>
      <c r="AC1319" s="20">
        <v>53101.39</v>
      </c>
    </row>
    <row r="1320" spans="1:29" x14ac:dyDescent="0.25">
      <c r="A1320" s="20" t="s">
        <v>1888</v>
      </c>
      <c r="B1320" s="20" t="s">
        <v>2191</v>
      </c>
      <c r="C1320" s="20">
        <v>0</v>
      </c>
      <c r="AA1320" s="20" t="s">
        <v>1719</v>
      </c>
      <c r="AB1320" s="20">
        <v>-4035.82</v>
      </c>
      <c r="AC1320" s="20">
        <v>0</v>
      </c>
    </row>
    <row r="1321" spans="1:29" x14ac:dyDescent="0.25">
      <c r="A1321" s="20" t="s">
        <v>2821</v>
      </c>
      <c r="B1321" s="20" t="s">
        <v>2191</v>
      </c>
      <c r="C1321" s="20">
        <v>0</v>
      </c>
      <c r="AA1321" s="20" t="s">
        <v>1142</v>
      </c>
      <c r="AB1321" s="20">
        <v>-740.17</v>
      </c>
      <c r="AC1321" s="20">
        <v>17467.849999999999</v>
      </c>
    </row>
    <row r="1322" spans="1:29" x14ac:dyDescent="0.25">
      <c r="A1322" s="20" t="s">
        <v>2822</v>
      </c>
      <c r="B1322" s="20" t="s">
        <v>2191</v>
      </c>
      <c r="C1322" s="20">
        <v>0</v>
      </c>
      <c r="AA1322" s="20" t="s">
        <v>2939</v>
      </c>
      <c r="AB1322" s="20">
        <v>0</v>
      </c>
      <c r="AC1322" s="20">
        <v>0</v>
      </c>
    </row>
    <row r="1323" spans="1:29" x14ac:dyDescent="0.25">
      <c r="A1323" s="20" t="s">
        <v>1682</v>
      </c>
      <c r="B1323" s="20" t="s">
        <v>2191</v>
      </c>
      <c r="C1323" s="20">
        <v>796306.23</v>
      </c>
      <c r="AA1323" s="20" t="s">
        <v>1309</v>
      </c>
      <c r="AB1323" s="20">
        <v>0</v>
      </c>
      <c r="AC1323" s="20">
        <v>0</v>
      </c>
    </row>
    <row r="1324" spans="1:29" x14ac:dyDescent="0.25">
      <c r="A1324" s="20" t="s">
        <v>2823</v>
      </c>
      <c r="B1324" s="20" t="s">
        <v>2191</v>
      </c>
      <c r="C1324" s="20">
        <v>0</v>
      </c>
      <c r="AA1324" s="20" t="s">
        <v>521</v>
      </c>
      <c r="AB1324" s="20">
        <v>0</v>
      </c>
      <c r="AC1324" s="20">
        <v>0</v>
      </c>
    </row>
    <row r="1325" spans="1:29" x14ac:dyDescent="0.25">
      <c r="A1325" s="20" t="s">
        <v>475</v>
      </c>
      <c r="B1325" s="20" t="s">
        <v>2191</v>
      </c>
      <c r="C1325" s="20">
        <v>9023</v>
      </c>
      <c r="AA1325" s="20" t="s">
        <v>2940</v>
      </c>
      <c r="AB1325" s="20">
        <v>-236.27</v>
      </c>
      <c r="AC1325" s="20">
        <v>0</v>
      </c>
    </row>
    <row r="1326" spans="1:29" x14ac:dyDescent="0.25">
      <c r="A1326" s="20" t="s">
        <v>2824</v>
      </c>
      <c r="B1326" s="20" t="s">
        <v>2191</v>
      </c>
      <c r="C1326" s="20">
        <v>0</v>
      </c>
      <c r="AA1326" s="20" t="s">
        <v>137</v>
      </c>
      <c r="AB1326" s="20">
        <v>0</v>
      </c>
      <c r="AC1326" s="20">
        <v>0</v>
      </c>
    </row>
    <row r="1327" spans="1:29" x14ac:dyDescent="0.25">
      <c r="A1327" s="20" t="s">
        <v>2108</v>
      </c>
      <c r="B1327" s="20" t="s">
        <v>2191</v>
      </c>
      <c r="C1327" s="20">
        <v>0</v>
      </c>
      <c r="AA1327" s="20" t="s">
        <v>1023</v>
      </c>
      <c r="AB1327" s="20">
        <v>-3390.23</v>
      </c>
      <c r="AC1327" s="20">
        <v>2661.66</v>
      </c>
    </row>
    <row r="1328" spans="1:29" x14ac:dyDescent="0.25">
      <c r="A1328" s="20" t="s">
        <v>1683</v>
      </c>
      <c r="B1328" s="20" t="s">
        <v>2191</v>
      </c>
      <c r="C1328" s="20">
        <v>0</v>
      </c>
      <c r="AA1328" s="20" t="s">
        <v>2941</v>
      </c>
      <c r="AB1328" s="20">
        <v>0</v>
      </c>
      <c r="AC1328" s="20">
        <v>0</v>
      </c>
    </row>
    <row r="1329" spans="1:29" x14ac:dyDescent="0.25">
      <c r="A1329" s="20" t="s">
        <v>1889</v>
      </c>
      <c r="B1329" s="20" t="s">
        <v>2191</v>
      </c>
      <c r="C1329" s="20">
        <v>0</v>
      </c>
      <c r="AA1329" s="20" t="s">
        <v>738</v>
      </c>
      <c r="AB1329" s="20">
        <v>-8641.64</v>
      </c>
      <c r="AC1329" s="20">
        <v>371.68</v>
      </c>
    </row>
    <row r="1330" spans="1:29" x14ac:dyDescent="0.25">
      <c r="A1330" s="20" t="s">
        <v>1890</v>
      </c>
      <c r="B1330" s="20" t="s">
        <v>2191</v>
      </c>
      <c r="C1330" s="20">
        <v>0</v>
      </c>
      <c r="AA1330" s="20" t="s">
        <v>1144</v>
      </c>
      <c r="AB1330" s="20">
        <v>-870.88</v>
      </c>
      <c r="AC1330" s="20">
        <v>30598.18</v>
      </c>
    </row>
    <row r="1331" spans="1:29" x14ac:dyDescent="0.25">
      <c r="A1331" s="20" t="s">
        <v>478</v>
      </c>
      <c r="B1331" s="20" t="s">
        <v>2191</v>
      </c>
      <c r="C1331" s="20">
        <v>0</v>
      </c>
      <c r="AA1331" s="20" t="s">
        <v>1720</v>
      </c>
      <c r="AB1331" s="20">
        <v>-545.72</v>
      </c>
      <c r="AC1331" s="20">
        <v>0</v>
      </c>
    </row>
    <row r="1332" spans="1:29" x14ac:dyDescent="0.25">
      <c r="A1332" s="20" t="s">
        <v>2109</v>
      </c>
      <c r="B1332" s="20" t="s">
        <v>2191</v>
      </c>
      <c r="C1332" s="20">
        <v>0</v>
      </c>
      <c r="AA1332" s="20" t="s">
        <v>1146</v>
      </c>
      <c r="AB1332" s="20">
        <v>-458.69</v>
      </c>
      <c r="AC1332" s="20">
        <v>36050.400000000001</v>
      </c>
    </row>
    <row r="1333" spans="1:29" x14ac:dyDescent="0.25">
      <c r="A1333" s="20" t="s">
        <v>1843</v>
      </c>
      <c r="B1333" s="20" t="s">
        <v>2191</v>
      </c>
      <c r="C1333" s="20">
        <v>0</v>
      </c>
      <c r="AA1333" s="20" t="s">
        <v>522</v>
      </c>
      <c r="AB1333" s="20">
        <v>2881.02</v>
      </c>
      <c r="AC1333" s="20">
        <v>142655.53</v>
      </c>
    </row>
    <row r="1334" spans="1:29" x14ac:dyDescent="0.25">
      <c r="A1334" s="20" t="s">
        <v>2825</v>
      </c>
      <c r="B1334" s="20" t="s">
        <v>2191</v>
      </c>
      <c r="C1334" s="20">
        <v>0</v>
      </c>
      <c r="AA1334" s="20" t="s">
        <v>524</v>
      </c>
      <c r="AB1334" s="20">
        <v>22835.54</v>
      </c>
      <c r="AC1334" s="20">
        <v>136528.06</v>
      </c>
    </row>
    <row r="1335" spans="1:29" x14ac:dyDescent="0.25">
      <c r="A1335" s="20" t="s">
        <v>2051</v>
      </c>
      <c r="B1335" s="20" t="s">
        <v>2191</v>
      </c>
      <c r="C1335" s="20">
        <v>0</v>
      </c>
      <c r="AA1335" s="20" t="s">
        <v>331</v>
      </c>
      <c r="AB1335" s="20">
        <v>-1272.95</v>
      </c>
      <c r="AC1335" s="20">
        <v>0</v>
      </c>
    </row>
    <row r="1336" spans="1:29" x14ac:dyDescent="0.25">
      <c r="A1336" s="20" t="s">
        <v>1684</v>
      </c>
      <c r="B1336" s="20" t="s">
        <v>2191</v>
      </c>
      <c r="C1336" s="20">
        <v>0</v>
      </c>
      <c r="AA1336" s="20" t="s">
        <v>912</v>
      </c>
      <c r="AB1336" s="20">
        <v>5411.86</v>
      </c>
      <c r="AC1336" s="20">
        <v>109413.39</v>
      </c>
    </row>
    <row r="1337" spans="1:29" x14ac:dyDescent="0.25">
      <c r="A1337" s="20" t="s">
        <v>2826</v>
      </c>
      <c r="B1337" s="20" t="s">
        <v>2191</v>
      </c>
      <c r="C1337" s="20">
        <v>0</v>
      </c>
      <c r="AA1337" s="20" t="s">
        <v>140</v>
      </c>
      <c r="AB1337" s="20">
        <v>6747.35</v>
      </c>
      <c r="AC1337" s="20">
        <v>131535.13</v>
      </c>
    </row>
    <row r="1338" spans="1:29" x14ac:dyDescent="0.25">
      <c r="A1338" s="20" t="s">
        <v>2827</v>
      </c>
      <c r="B1338" s="20" t="s">
        <v>2191</v>
      </c>
      <c r="C1338" s="20">
        <v>0</v>
      </c>
      <c r="AA1338" s="20" t="s">
        <v>1149</v>
      </c>
      <c r="AB1338" s="20">
        <v>6724.11</v>
      </c>
      <c r="AC1338" s="20">
        <v>107385.13</v>
      </c>
    </row>
    <row r="1339" spans="1:29" x14ac:dyDescent="0.25">
      <c r="A1339" s="20" t="s">
        <v>1010</v>
      </c>
      <c r="B1339" s="20" t="s">
        <v>2191</v>
      </c>
      <c r="C1339" s="20">
        <v>0</v>
      </c>
      <c r="AA1339" s="20" t="s">
        <v>1151</v>
      </c>
      <c r="AB1339" s="20">
        <v>-254.89</v>
      </c>
      <c r="AC1339" s="20">
        <v>0</v>
      </c>
    </row>
    <row r="1340" spans="1:29" x14ac:dyDescent="0.25">
      <c r="A1340" s="20" t="s">
        <v>1220</v>
      </c>
      <c r="B1340" s="20" t="s">
        <v>2191</v>
      </c>
      <c r="C1340" s="20">
        <v>0</v>
      </c>
      <c r="AA1340" s="20" t="s">
        <v>739</v>
      </c>
      <c r="AB1340" s="20">
        <v>8773.52</v>
      </c>
      <c r="AC1340" s="20">
        <v>163965.57</v>
      </c>
    </row>
    <row r="1341" spans="1:29" x14ac:dyDescent="0.25">
      <c r="A1341" s="20" t="s">
        <v>2135</v>
      </c>
      <c r="B1341" s="20" t="s">
        <v>2191</v>
      </c>
      <c r="C1341" s="20">
        <v>0</v>
      </c>
      <c r="AA1341" s="20" t="s">
        <v>2942</v>
      </c>
      <c r="AB1341" s="20">
        <v>0</v>
      </c>
      <c r="AC1341" s="20">
        <v>0</v>
      </c>
    </row>
    <row r="1342" spans="1:29" x14ac:dyDescent="0.25">
      <c r="A1342" s="20" t="s">
        <v>2828</v>
      </c>
      <c r="B1342" s="20" t="s">
        <v>2191</v>
      </c>
      <c r="C1342" s="20">
        <v>0</v>
      </c>
      <c r="AA1342" s="20" t="s">
        <v>142</v>
      </c>
      <c r="AB1342" s="20">
        <v>-74.03</v>
      </c>
      <c r="AC1342" s="20">
        <v>6100.43</v>
      </c>
    </row>
    <row r="1343" spans="1:29" x14ac:dyDescent="0.25">
      <c r="A1343" s="20" t="s">
        <v>1844</v>
      </c>
      <c r="B1343" s="20" t="s">
        <v>2191</v>
      </c>
      <c r="C1343" s="20">
        <v>0</v>
      </c>
      <c r="AA1343" s="20" t="s">
        <v>1482</v>
      </c>
      <c r="AB1343" s="20">
        <v>83857.37</v>
      </c>
      <c r="AC1343" s="20">
        <v>356373.18</v>
      </c>
    </row>
    <row r="1344" spans="1:29" x14ac:dyDescent="0.25">
      <c r="A1344" s="20" t="s">
        <v>2178</v>
      </c>
      <c r="B1344" s="20" t="s">
        <v>2191</v>
      </c>
      <c r="C1344" s="20">
        <v>0</v>
      </c>
      <c r="AA1344" s="20" t="s">
        <v>1385</v>
      </c>
      <c r="AB1344" s="20">
        <v>14569.92</v>
      </c>
      <c r="AC1344" s="20">
        <v>136586.10999999999</v>
      </c>
    </row>
    <row r="1345" spans="1:29" x14ac:dyDescent="0.25">
      <c r="A1345" s="20" t="s">
        <v>640</v>
      </c>
      <c r="B1345" s="20" t="s">
        <v>2191</v>
      </c>
      <c r="C1345" s="20">
        <v>0</v>
      </c>
      <c r="AA1345" s="20" t="s">
        <v>144</v>
      </c>
      <c r="AB1345" s="20">
        <v>24567.24</v>
      </c>
      <c r="AC1345" s="20">
        <v>206850.96</v>
      </c>
    </row>
    <row r="1346" spans="1:29" x14ac:dyDescent="0.25">
      <c r="A1346" s="20" t="s">
        <v>714</v>
      </c>
      <c r="B1346" s="20" t="s">
        <v>2191</v>
      </c>
      <c r="C1346" s="20">
        <v>0</v>
      </c>
      <c r="AA1346" s="20" t="s">
        <v>655</v>
      </c>
      <c r="AB1346" s="20">
        <v>5429.5</v>
      </c>
      <c r="AC1346" s="20">
        <v>68237.16</v>
      </c>
    </row>
    <row r="1347" spans="1:29" x14ac:dyDescent="0.25">
      <c r="A1347" s="20" t="s">
        <v>2102</v>
      </c>
      <c r="B1347" s="20" t="s">
        <v>2191</v>
      </c>
      <c r="C1347" s="20">
        <v>0</v>
      </c>
      <c r="AA1347" s="20" t="s">
        <v>2063</v>
      </c>
      <c r="AB1347" s="20">
        <v>0</v>
      </c>
      <c r="AC1347" s="20">
        <v>0</v>
      </c>
    </row>
    <row r="1348" spans="1:29" x14ac:dyDescent="0.25">
      <c r="A1348" s="20" t="s">
        <v>2110</v>
      </c>
      <c r="B1348" s="20" t="s">
        <v>2191</v>
      </c>
      <c r="C1348" s="20">
        <v>0</v>
      </c>
      <c r="AA1348" s="20" t="s">
        <v>645</v>
      </c>
      <c r="AB1348" s="20">
        <v>407.25</v>
      </c>
      <c r="AC1348" s="20">
        <v>26363.53</v>
      </c>
    </row>
    <row r="1349" spans="1:29" x14ac:dyDescent="0.25">
      <c r="A1349" s="20" t="s">
        <v>2829</v>
      </c>
      <c r="B1349" s="20" t="s">
        <v>2191</v>
      </c>
      <c r="C1349" s="20">
        <v>0</v>
      </c>
      <c r="AA1349" s="20" t="s">
        <v>1721</v>
      </c>
      <c r="AB1349" s="20">
        <v>-2801.24</v>
      </c>
      <c r="AC1349" s="20">
        <v>0</v>
      </c>
    </row>
    <row r="1350" spans="1:29" x14ac:dyDescent="0.25">
      <c r="A1350" s="20" t="s">
        <v>2159</v>
      </c>
      <c r="B1350" s="20" t="s">
        <v>2191</v>
      </c>
      <c r="C1350" s="20">
        <v>0</v>
      </c>
      <c r="AA1350" s="20" t="s">
        <v>1387</v>
      </c>
      <c r="AB1350" s="20">
        <v>3773.21</v>
      </c>
      <c r="AC1350" s="20">
        <v>38981.449999999997</v>
      </c>
    </row>
    <row r="1351" spans="1:29" x14ac:dyDescent="0.25">
      <c r="A1351" s="20" t="s">
        <v>1845</v>
      </c>
      <c r="B1351" s="20" t="s">
        <v>2191</v>
      </c>
      <c r="C1351" s="20">
        <v>0</v>
      </c>
      <c r="AA1351" s="20" t="s">
        <v>527</v>
      </c>
      <c r="AB1351" s="20">
        <v>-18.3</v>
      </c>
      <c r="AC1351" s="20">
        <v>0</v>
      </c>
    </row>
    <row r="1352" spans="1:29" x14ac:dyDescent="0.25">
      <c r="A1352" s="20" t="s">
        <v>294</v>
      </c>
      <c r="B1352" s="20" t="s">
        <v>2191</v>
      </c>
      <c r="C1352" s="20">
        <v>0</v>
      </c>
      <c r="AA1352" s="20" t="s">
        <v>1154</v>
      </c>
      <c r="AB1352" s="20">
        <v>-1813.03</v>
      </c>
      <c r="AC1352" s="20">
        <v>47752.63</v>
      </c>
    </row>
    <row r="1353" spans="1:29" x14ac:dyDescent="0.25">
      <c r="A1353" s="20" t="s">
        <v>2111</v>
      </c>
      <c r="B1353" s="20" t="s">
        <v>2191</v>
      </c>
      <c r="C1353" s="20">
        <v>0</v>
      </c>
      <c r="AA1353" s="20" t="s">
        <v>1484</v>
      </c>
      <c r="AB1353" s="20">
        <v>36343.54</v>
      </c>
      <c r="AC1353" s="20">
        <v>81900.45</v>
      </c>
    </row>
    <row r="1354" spans="1:29" x14ac:dyDescent="0.25">
      <c r="A1354" s="20" t="s">
        <v>2013</v>
      </c>
      <c r="B1354" s="20" t="s">
        <v>2191</v>
      </c>
      <c r="C1354" s="20">
        <v>0</v>
      </c>
      <c r="AA1354" s="20" t="s">
        <v>657</v>
      </c>
      <c r="AB1354" s="20">
        <v>-1606.19</v>
      </c>
      <c r="AC1354" s="20">
        <v>557.53</v>
      </c>
    </row>
    <row r="1355" spans="1:29" x14ac:dyDescent="0.25">
      <c r="A1355" s="20" t="s">
        <v>1974</v>
      </c>
      <c r="B1355" s="20" t="s">
        <v>2191</v>
      </c>
      <c r="C1355" s="20">
        <v>0</v>
      </c>
      <c r="AA1355" s="20" t="s">
        <v>1870</v>
      </c>
      <c r="AB1355" s="20">
        <v>0</v>
      </c>
      <c r="AC1355" s="20">
        <v>0</v>
      </c>
    </row>
    <row r="1356" spans="1:29" x14ac:dyDescent="0.25">
      <c r="A1356" s="20" t="s">
        <v>2112</v>
      </c>
      <c r="B1356" s="20" t="s">
        <v>2191</v>
      </c>
      <c r="C1356" s="20">
        <v>0</v>
      </c>
      <c r="AA1356" s="20" t="s">
        <v>1722</v>
      </c>
      <c r="AB1356" s="20">
        <v>-2595.6799999999998</v>
      </c>
      <c r="AC1356" s="20">
        <v>0</v>
      </c>
    </row>
    <row r="1357" spans="1:29" x14ac:dyDescent="0.25">
      <c r="A1357" s="20" t="s">
        <v>1222</v>
      </c>
      <c r="B1357" s="20" t="s">
        <v>2191</v>
      </c>
      <c r="C1357" s="20">
        <v>397.69</v>
      </c>
      <c r="AA1357" s="20" t="s">
        <v>1723</v>
      </c>
      <c r="AB1357" s="20">
        <v>-4425.5</v>
      </c>
      <c r="AC1357" s="20">
        <v>12994.01</v>
      </c>
    </row>
    <row r="1358" spans="1:29" x14ac:dyDescent="0.25">
      <c r="A1358" s="20" t="s">
        <v>2052</v>
      </c>
      <c r="B1358" s="20" t="s">
        <v>2191</v>
      </c>
      <c r="C1358" s="20">
        <v>0</v>
      </c>
      <c r="AA1358" s="20" t="s">
        <v>218</v>
      </c>
      <c r="AB1358" s="20">
        <v>30646.34</v>
      </c>
      <c r="AC1358" s="20">
        <v>352917.18</v>
      </c>
    </row>
    <row r="1359" spans="1:29" x14ac:dyDescent="0.25">
      <c r="A1359" s="20" t="s">
        <v>1122</v>
      </c>
      <c r="B1359" s="20" t="s">
        <v>2191</v>
      </c>
      <c r="C1359" s="20">
        <v>0</v>
      </c>
      <c r="AA1359" s="20" t="s">
        <v>1032</v>
      </c>
      <c r="AB1359" s="20">
        <v>50320.22</v>
      </c>
      <c r="AC1359" s="20">
        <v>168846.58</v>
      </c>
    </row>
    <row r="1360" spans="1:29" x14ac:dyDescent="0.25">
      <c r="A1360" s="20" t="s">
        <v>2830</v>
      </c>
      <c r="B1360" s="20" t="s">
        <v>2191</v>
      </c>
      <c r="C1360" s="20">
        <v>0</v>
      </c>
      <c r="AA1360" s="20" t="s">
        <v>658</v>
      </c>
      <c r="AB1360" s="20">
        <v>41593.129999999997</v>
      </c>
      <c r="AC1360" s="20">
        <v>16350.53</v>
      </c>
    </row>
    <row r="1361" spans="1:29" x14ac:dyDescent="0.25">
      <c r="A1361" s="20" t="s">
        <v>2831</v>
      </c>
      <c r="B1361" s="20" t="s">
        <v>2191</v>
      </c>
      <c r="C1361" s="20">
        <v>0</v>
      </c>
      <c r="AA1361" s="20" t="s">
        <v>1156</v>
      </c>
      <c r="AB1361" s="20">
        <v>-8823.0300000000007</v>
      </c>
      <c r="AC1361" s="20">
        <v>105898.81</v>
      </c>
    </row>
    <row r="1362" spans="1:29" x14ac:dyDescent="0.25">
      <c r="A1362" s="20" t="s">
        <v>1975</v>
      </c>
      <c r="B1362" s="20" t="s">
        <v>2191</v>
      </c>
      <c r="C1362" s="20">
        <v>0</v>
      </c>
      <c r="AA1362" s="20" t="s">
        <v>741</v>
      </c>
      <c r="AB1362" s="20">
        <v>2111.37</v>
      </c>
      <c r="AC1362" s="20">
        <v>49242.96</v>
      </c>
    </row>
    <row r="1363" spans="1:29" x14ac:dyDescent="0.25">
      <c r="A1363" s="20" t="s">
        <v>2832</v>
      </c>
      <c r="B1363" s="20" t="s">
        <v>2191</v>
      </c>
      <c r="C1363" s="20">
        <v>0</v>
      </c>
      <c r="AA1363" s="20" t="s">
        <v>1724</v>
      </c>
      <c r="AB1363" s="20">
        <v>-1250.5999999999999</v>
      </c>
      <c r="AC1363" s="20">
        <v>500.25</v>
      </c>
    </row>
    <row r="1364" spans="1:29" x14ac:dyDescent="0.25">
      <c r="A1364" s="20" t="s">
        <v>2113</v>
      </c>
      <c r="B1364" s="20" t="s">
        <v>2191</v>
      </c>
      <c r="C1364" s="20">
        <v>0</v>
      </c>
      <c r="AA1364" s="20" t="s">
        <v>1522</v>
      </c>
      <c r="AB1364" s="20">
        <v>-382.22</v>
      </c>
      <c r="AC1364" s="20">
        <v>4368.51</v>
      </c>
    </row>
    <row r="1365" spans="1:29" x14ac:dyDescent="0.25">
      <c r="A1365" s="20" t="s">
        <v>2833</v>
      </c>
      <c r="B1365" s="20" t="s">
        <v>2191</v>
      </c>
      <c r="C1365" s="20">
        <v>0</v>
      </c>
      <c r="AA1365" s="20" t="s">
        <v>743</v>
      </c>
      <c r="AB1365" s="20">
        <v>1512.46</v>
      </c>
      <c r="AC1365" s="20">
        <v>37489.870000000003</v>
      </c>
    </row>
    <row r="1366" spans="1:29" x14ac:dyDescent="0.25">
      <c r="A1366" s="20" t="s">
        <v>2834</v>
      </c>
      <c r="B1366" s="20" t="s">
        <v>2191</v>
      </c>
      <c r="C1366" s="20">
        <v>0</v>
      </c>
      <c r="AA1366" s="20" t="s">
        <v>1725</v>
      </c>
      <c r="AB1366" s="20">
        <v>-293.31</v>
      </c>
      <c r="AC1366" s="20">
        <v>0</v>
      </c>
    </row>
    <row r="1367" spans="1:29" x14ac:dyDescent="0.25">
      <c r="A1367" s="20" t="s">
        <v>2014</v>
      </c>
      <c r="B1367" s="20" t="s">
        <v>2191</v>
      </c>
      <c r="C1367" s="20">
        <v>0</v>
      </c>
      <c r="AA1367" s="20" t="s">
        <v>1525</v>
      </c>
      <c r="AB1367" s="20">
        <v>198413.48</v>
      </c>
      <c r="AC1367" s="20">
        <v>126151.23</v>
      </c>
    </row>
    <row r="1368" spans="1:29" x14ac:dyDescent="0.25">
      <c r="A1368" s="20" t="s">
        <v>2835</v>
      </c>
      <c r="B1368" s="20" t="s">
        <v>2191</v>
      </c>
      <c r="C1368" s="20">
        <v>0</v>
      </c>
      <c r="AA1368" s="20" t="s">
        <v>1033</v>
      </c>
      <c r="AB1368" s="20">
        <v>-4380.0600000000004</v>
      </c>
      <c r="AC1368" s="20">
        <v>2013.63</v>
      </c>
    </row>
    <row r="1369" spans="1:29" x14ac:dyDescent="0.25">
      <c r="A1369" s="20" t="s">
        <v>479</v>
      </c>
      <c r="B1369" s="20" t="s">
        <v>2191</v>
      </c>
      <c r="C1369" s="20">
        <v>0</v>
      </c>
      <c r="AA1369" s="20" t="s">
        <v>1527</v>
      </c>
      <c r="AB1369" s="20">
        <v>-4549.55</v>
      </c>
      <c r="AC1369" s="20">
        <v>76169.149999999994</v>
      </c>
    </row>
    <row r="1370" spans="1:29" x14ac:dyDescent="0.25">
      <c r="A1370" s="20" t="s">
        <v>2836</v>
      </c>
      <c r="B1370" s="20" t="s">
        <v>2191</v>
      </c>
      <c r="C1370" s="20">
        <v>0</v>
      </c>
      <c r="AA1370" s="20" t="s">
        <v>1726</v>
      </c>
      <c r="AB1370" s="20">
        <v>-1478.25</v>
      </c>
      <c r="AC1370" s="20">
        <v>2491.37</v>
      </c>
    </row>
    <row r="1371" spans="1:29" x14ac:dyDescent="0.25">
      <c r="A1371" s="20" t="s">
        <v>1936</v>
      </c>
      <c r="B1371" s="20" t="s">
        <v>2191</v>
      </c>
      <c r="C1371" s="20">
        <v>0</v>
      </c>
      <c r="AA1371" s="20" t="s">
        <v>334</v>
      </c>
      <c r="AB1371" s="20">
        <v>5125.6099999999997</v>
      </c>
      <c r="AC1371" s="20">
        <v>33640</v>
      </c>
    </row>
    <row r="1372" spans="1:29" x14ac:dyDescent="0.25">
      <c r="A1372" s="20" t="s">
        <v>2837</v>
      </c>
      <c r="B1372" s="20" t="s">
        <v>2191</v>
      </c>
      <c r="C1372" s="20">
        <v>0</v>
      </c>
      <c r="AA1372" s="20" t="s">
        <v>1727</v>
      </c>
      <c r="AB1372" s="20">
        <v>-2688.71</v>
      </c>
      <c r="AC1372" s="20">
        <v>0</v>
      </c>
    </row>
    <row r="1373" spans="1:29" x14ac:dyDescent="0.25">
      <c r="A1373" s="20" t="s">
        <v>2015</v>
      </c>
      <c r="B1373" s="20" t="s">
        <v>2191</v>
      </c>
      <c r="C1373" s="20">
        <v>0</v>
      </c>
      <c r="AA1373" s="20" t="s">
        <v>529</v>
      </c>
      <c r="AB1373" s="20">
        <v>0</v>
      </c>
      <c r="AC1373" s="20">
        <v>0</v>
      </c>
    </row>
    <row r="1374" spans="1:29" x14ac:dyDescent="0.25">
      <c r="A1374" s="20" t="s">
        <v>1685</v>
      </c>
      <c r="B1374" s="20" t="s">
        <v>2191</v>
      </c>
      <c r="C1374" s="20">
        <v>0</v>
      </c>
      <c r="AA1374" s="20" t="s">
        <v>2943</v>
      </c>
      <c r="AB1374" s="20">
        <v>0</v>
      </c>
      <c r="AC1374" s="20">
        <v>0</v>
      </c>
    </row>
    <row r="1375" spans="1:29" x14ac:dyDescent="0.25">
      <c r="A1375" s="20" t="s">
        <v>2838</v>
      </c>
      <c r="B1375" s="20" t="s">
        <v>2191</v>
      </c>
      <c r="C1375" s="20">
        <v>0</v>
      </c>
      <c r="AA1375" s="20" t="s">
        <v>1729</v>
      </c>
      <c r="AB1375" s="20">
        <v>-2276.9899999999998</v>
      </c>
      <c r="AC1375" s="20">
        <v>0</v>
      </c>
    </row>
    <row r="1376" spans="1:29" x14ac:dyDescent="0.25">
      <c r="A1376" s="20" t="s">
        <v>2016</v>
      </c>
      <c r="B1376" s="20" t="s">
        <v>2191</v>
      </c>
      <c r="C1376" s="20">
        <v>0</v>
      </c>
      <c r="AA1376" s="20" t="s">
        <v>1034</v>
      </c>
      <c r="AB1376" s="20">
        <v>-2512.87</v>
      </c>
      <c r="AC1376" s="20">
        <v>30236.080000000002</v>
      </c>
    </row>
    <row r="1377" spans="1:29" x14ac:dyDescent="0.25">
      <c r="A1377" s="20" t="s">
        <v>2839</v>
      </c>
      <c r="B1377" s="20" t="s">
        <v>2191</v>
      </c>
      <c r="C1377" s="20">
        <v>0</v>
      </c>
      <c r="AA1377" s="20" t="s">
        <v>744</v>
      </c>
      <c r="AB1377" s="20">
        <v>-994.02</v>
      </c>
      <c r="AC1377" s="20">
        <v>3120.17</v>
      </c>
    </row>
    <row r="1378" spans="1:29" x14ac:dyDescent="0.25">
      <c r="A1378" s="20" t="s">
        <v>467</v>
      </c>
      <c r="B1378" s="20" t="s">
        <v>2191</v>
      </c>
      <c r="C1378" s="20">
        <v>0</v>
      </c>
      <c r="AA1378" s="20" t="s">
        <v>1388</v>
      </c>
      <c r="AB1378" s="20">
        <v>4470.2299999999996</v>
      </c>
      <c r="AC1378" s="20">
        <v>77965.56</v>
      </c>
    </row>
    <row r="1379" spans="1:29" x14ac:dyDescent="0.25">
      <c r="A1379" s="20" t="s">
        <v>2840</v>
      </c>
      <c r="B1379" s="20" t="s">
        <v>2191</v>
      </c>
      <c r="C1379" s="20">
        <v>0</v>
      </c>
      <c r="AA1379" s="20" t="s">
        <v>1851</v>
      </c>
      <c r="AB1379" s="20">
        <v>0</v>
      </c>
      <c r="AC1379" s="20">
        <v>0</v>
      </c>
    </row>
    <row r="1380" spans="1:29" x14ac:dyDescent="0.25">
      <c r="A1380" s="20" t="s">
        <v>641</v>
      </c>
      <c r="B1380" s="20" t="s">
        <v>2191</v>
      </c>
      <c r="C1380" s="20">
        <v>0</v>
      </c>
      <c r="AA1380" s="20" t="s">
        <v>2944</v>
      </c>
      <c r="AB1380" s="20">
        <v>0</v>
      </c>
      <c r="AC1380" s="20">
        <v>0</v>
      </c>
    </row>
    <row r="1381" spans="1:29" x14ac:dyDescent="0.25">
      <c r="A1381" s="20" t="s">
        <v>2841</v>
      </c>
      <c r="B1381" s="20" t="s">
        <v>2191</v>
      </c>
      <c r="C1381" s="20">
        <v>0</v>
      </c>
      <c r="AA1381" s="20" t="s">
        <v>745</v>
      </c>
      <c r="AB1381" s="20">
        <v>376304.81</v>
      </c>
      <c r="AC1381" s="20">
        <v>704190.59</v>
      </c>
    </row>
    <row r="1382" spans="1:29" x14ac:dyDescent="0.25">
      <c r="A1382" s="20" t="s">
        <v>1891</v>
      </c>
      <c r="B1382" s="20" t="s">
        <v>2191</v>
      </c>
      <c r="C1382" s="20">
        <v>0</v>
      </c>
      <c r="AA1382" s="20" t="s">
        <v>220</v>
      </c>
      <c r="AB1382" s="20">
        <v>43952.79</v>
      </c>
      <c r="AC1382" s="20">
        <v>146529.75</v>
      </c>
    </row>
    <row r="1383" spans="1:29" x14ac:dyDescent="0.25">
      <c r="A1383" s="20" t="s">
        <v>480</v>
      </c>
      <c r="B1383" s="20" t="s">
        <v>2191</v>
      </c>
      <c r="C1383" s="20">
        <v>1231</v>
      </c>
      <c r="AA1383" s="20" t="s">
        <v>1390</v>
      </c>
      <c r="AB1383" s="20">
        <v>830612.11</v>
      </c>
      <c r="AC1383" s="20">
        <v>411297.25</v>
      </c>
    </row>
    <row r="1384" spans="1:29" x14ac:dyDescent="0.25">
      <c r="A1384" s="20" t="s">
        <v>2842</v>
      </c>
      <c r="B1384" s="20" t="s">
        <v>2191</v>
      </c>
      <c r="C1384" s="20">
        <v>0</v>
      </c>
      <c r="AA1384" s="20" t="s">
        <v>1313</v>
      </c>
      <c r="AB1384" s="20">
        <v>-665.86</v>
      </c>
      <c r="AC1384" s="20">
        <v>0</v>
      </c>
    </row>
    <row r="1385" spans="1:29" x14ac:dyDescent="0.25">
      <c r="A1385" s="20" t="s">
        <v>2843</v>
      </c>
      <c r="B1385" s="20" t="s">
        <v>2191</v>
      </c>
      <c r="C1385" s="20">
        <v>0</v>
      </c>
      <c r="AA1385" s="20" t="s">
        <v>1730</v>
      </c>
      <c r="AB1385" s="20">
        <v>-851.46</v>
      </c>
      <c r="AC1385" s="20">
        <v>0</v>
      </c>
    </row>
    <row r="1386" spans="1:29" x14ac:dyDescent="0.25">
      <c r="A1386" s="20" t="s">
        <v>2844</v>
      </c>
      <c r="B1386" s="20" t="s">
        <v>2191</v>
      </c>
      <c r="C1386" s="20">
        <v>0</v>
      </c>
      <c r="AA1386" s="20" t="s">
        <v>1158</v>
      </c>
      <c r="AB1386" s="20">
        <v>-16838.900000000001</v>
      </c>
      <c r="AC1386" s="20">
        <v>621468.79</v>
      </c>
    </row>
    <row r="1387" spans="1:29" x14ac:dyDescent="0.25">
      <c r="A1387" s="20" t="s">
        <v>2845</v>
      </c>
      <c r="B1387" s="20" t="s">
        <v>2191</v>
      </c>
      <c r="C1387" s="20">
        <v>0</v>
      </c>
      <c r="AA1387" s="20" t="s">
        <v>407</v>
      </c>
      <c r="AB1387" s="20">
        <v>150688.5</v>
      </c>
      <c r="AC1387" s="20">
        <v>1226505.79</v>
      </c>
    </row>
    <row r="1388" spans="1:29" x14ac:dyDescent="0.25">
      <c r="A1388" s="20" t="s">
        <v>2846</v>
      </c>
      <c r="B1388" s="20" t="s">
        <v>2191</v>
      </c>
      <c r="C1388" s="20">
        <v>0</v>
      </c>
      <c r="AA1388" s="20" t="s">
        <v>1731</v>
      </c>
      <c r="AB1388" s="20">
        <v>1200.96</v>
      </c>
      <c r="AC1388" s="20">
        <v>6855.04</v>
      </c>
    </row>
    <row r="1389" spans="1:29" x14ac:dyDescent="0.25">
      <c r="A1389" s="20" t="s">
        <v>2847</v>
      </c>
      <c r="B1389" s="20" t="s">
        <v>2191</v>
      </c>
      <c r="C1389" s="20">
        <v>0</v>
      </c>
      <c r="AA1389" s="20" t="s">
        <v>2164</v>
      </c>
      <c r="AB1389" s="20">
        <v>0</v>
      </c>
      <c r="AC1389" s="20">
        <v>0</v>
      </c>
    </row>
    <row r="1390" spans="1:29" x14ac:dyDescent="0.25">
      <c r="A1390" s="20" t="s">
        <v>1686</v>
      </c>
      <c r="B1390" s="20" t="s">
        <v>2191</v>
      </c>
      <c r="C1390" s="20">
        <v>0</v>
      </c>
      <c r="AA1390" s="20" t="s">
        <v>2064</v>
      </c>
      <c r="AB1390" s="20">
        <v>0</v>
      </c>
      <c r="AC1390" s="20">
        <v>0</v>
      </c>
    </row>
    <row r="1391" spans="1:29" x14ac:dyDescent="0.25">
      <c r="A1391" s="20" t="s">
        <v>1687</v>
      </c>
      <c r="B1391" s="20" t="s">
        <v>2191</v>
      </c>
      <c r="C1391" s="20">
        <v>0</v>
      </c>
      <c r="AA1391" s="20" t="s">
        <v>2945</v>
      </c>
      <c r="AB1391" s="20">
        <v>0</v>
      </c>
      <c r="AC1391" s="20">
        <v>0</v>
      </c>
    </row>
    <row r="1392" spans="1:29" x14ac:dyDescent="0.25">
      <c r="A1392" s="20" t="s">
        <v>917</v>
      </c>
      <c r="B1392" s="20" t="s">
        <v>2191</v>
      </c>
      <c r="C1392" s="20">
        <v>6516</v>
      </c>
      <c r="AA1392" s="20" t="s">
        <v>2946</v>
      </c>
      <c r="AB1392" s="20">
        <v>0</v>
      </c>
      <c r="AC1392" s="20">
        <v>0</v>
      </c>
    </row>
    <row r="1393" spans="1:29" x14ac:dyDescent="0.25">
      <c r="A1393" s="20" t="s">
        <v>2848</v>
      </c>
      <c r="B1393" s="20" t="s">
        <v>2191</v>
      </c>
      <c r="C1393" s="20">
        <v>0</v>
      </c>
      <c r="AA1393" s="20" t="s">
        <v>1732</v>
      </c>
      <c r="AB1393" s="20">
        <v>-2856.43</v>
      </c>
      <c r="AC1393" s="20">
        <v>0</v>
      </c>
    </row>
    <row r="1394" spans="1:29" x14ac:dyDescent="0.25">
      <c r="A1394" s="20" t="s">
        <v>1688</v>
      </c>
      <c r="B1394" s="20" t="s">
        <v>2191</v>
      </c>
      <c r="C1394" s="20">
        <v>0</v>
      </c>
      <c r="AA1394" s="20" t="s">
        <v>2947</v>
      </c>
      <c r="AB1394" s="20">
        <v>0</v>
      </c>
      <c r="AC1394" s="20">
        <v>0</v>
      </c>
    </row>
    <row r="1395" spans="1:29" x14ac:dyDescent="0.25">
      <c r="A1395" s="20" t="s">
        <v>1976</v>
      </c>
      <c r="B1395" s="20" t="s">
        <v>2191</v>
      </c>
      <c r="C1395" s="20">
        <v>0</v>
      </c>
      <c r="AA1395" s="20" t="s">
        <v>150</v>
      </c>
      <c r="AB1395" s="20">
        <v>909.38</v>
      </c>
      <c r="AC1395" s="20">
        <v>43477.58</v>
      </c>
    </row>
    <row r="1396" spans="1:29" x14ac:dyDescent="0.25">
      <c r="A1396" s="20" t="s">
        <v>483</v>
      </c>
      <c r="B1396" s="20" t="s">
        <v>2191</v>
      </c>
      <c r="C1396" s="20">
        <v>3742</v>
      </c>
      <c r="AA1396" s="20" t="s">
        <v>1036</v>
      </c>
      <c r="AB1396" s="20">
        <v>0</v>
      </c>
      <c r="AC1396" s="20">
        <v>0</v>
      </c>
    </row>
    <row r="1397" spans="1:29" x14ac:dyDescent="0.25">
      <c r="A1397" s="20" t="s">
        <v>2849</v>
      </c>
      <c r="B1397" s="20" t="s">
        <v>2191</v>
      </c>
      <c r="C1397" s="20">
        <v>0</v>
      </c>
      <c r="AA1397" s="20" t="s">
        <v>749</v>
      </c>
      <c r="AB1397" s="20">
        <v>-6476.14</v>
      </c>
      <c r="AC1397" s="20">
        <v>46982.65</v>
      </c>
    </row>
    <row r="1398" spans="1:29" x14ac:dyDescent="0.25">
      <c r="A1398" s="20" t="s">
        <v>2850</v>
      </c>
      <c r="B1398" s="20" t="s">
        <v>2191</v>
      </c>
      <c r="C1398" s="20">
        <v>0</v>
      </c>
      <c r="AA1398" s="20" t="s">
        <v>532</v>
      </c>
      <c r="AB1398" s="20">
        <v>56879.519999999997</v>
      </c>
      <c r="AC1398" s="20">
        <v>308003.86</v>
      </c>
    </row>
    <row r="1399" spans="1:29" x14ac:dyDescent="0.25">
      <c r="A1399" s="20" t="s">
        <v>1432</v>
      </c>
      <c r="B1399" s="20" t="s">
        <v>2191</v>
      </c>
      <c r="C1399" s="20">
        <v>0</v>
      </c>
      <c r="AA1399" s="20" t="s">
        <v>1733</v>
      </c>
      <c r="AB1399" s="20">
        <v>-1397.27</v>
      </c>
      <c r="AC1399" s="20">
        <v>91.35</v>
      </c>
    </row>
    <row r="1400" spans="1:29" x14ac:dyDescent="0.25">
      <c r="A1400" s="20" t="s">
        <v>1380</v>
      </c>
      <c r="B1400" s="20" t="s">
        <v>2191</v>
      </c>
      <c r="C1400" s="20">
        <v>0</v>
      </c>
      <c r="AA1400" s="20" t="s">
        <v>430</v>
      </c>
      <c r="AB1400" s="20">
        <v>94045.17</v>
      </c>
      <c r="AC1400" s="20">
        <v>644890.29</v>
      </c>
    </row>
    <row r="1401" spans="1:29" x14ac:dyDescent="0.25">
      <c r="A1401" s="20" t="s">
        <v>2851</v>
      </c>
      <c r="B1401" s="20" t="s">
        <v>2191</v>
      </c>
      <c r="C1401" s="20">
        <v>0</v>
      </c>
      <c r="AA1401" s="20" t="s">
        <v>1734</v>
      </c>
      <c r="AB1401" s="20">
        <v>-1084.5999999999999</v>
      </c>
      <c r="AC1401" s="20">
        <v>0</v>
      </c>
    </row>
    <row r="1402" spans="1:29" x14ac:dyDescent="0.25">
      <c r="A1402" s="20" t="s">
        <v>2852</v>
      </c>
      <c r="B1402" s="20" t="s">
        <v>2191</v>
      </c>
      <c r="C1402" s="20">
        <v>0</v>
      </c>
      <c r="AA1402" s="20" t="s">
        <v>1735</v>
      </c>
      <c r="AB1402" s="20">
        <v>-3007.57</v>
      </c>
      <c r="AC1402" s="20">
        <v>0</v>
      </c>
    </row>
    <row r="1403" spans="1:29" x14ac:dyDescent="0.25">
      <c r="A1403" s="20" t="s">
        <v>2853</v>
      </c>
      <c r="B1403" s="20" t="s">
        <v>2191</v>
      </c>
      <c r="C1403" s="20">
        <v>0</v>
      </c>
      <c r="AA1403" s="20" t="s">
        <v>1736</v>
      </c>
      <c r="AB1403" s="20">
        <v>-4311.67</v>
      </c>
      <c r="AC1403" s="20">
        <v>0</v>
      </c>
    </row>
    <row r="1404" spans="1:29" x14ac:dyDescent="0.25">
      <c r="A1404" s="20" t="s">
        <v>117</v>
      </c>
      <c r="B1404" s="20" t="s">
        <v>2191</v>
      </c>
      <c r="C1404" s="20">
        <v>0</v>
      </c>
      <c r="AA1404" s="20" t="s">
        <v>2948</v>
      </c>
      <c r="AB1404" s="20">
        <v>0</v>
      </c>
      <c r="AC1404" s="20">
        <v>0</v>
      </c>
    </row>
    <row r="1405" spans="1:29" x14ac:dyDescent="0.25">
      <c r="A1405" s="20" t="s">
        <v>2854</v>
      </c>
      <c r="B1405" s="20" t="s">
        <v>2191</v>
      </c>
      <c r="C1405" s="20">
        <v>0</v>
      </c>
      <c r="AA1405" s="20" t="s">
        <v>1316</v>
      </c>
      <c r="AB1405" s="20">
        <v>16736.05</v>
      </c>
      <c r="AC1405" s="20">
        <v>407038.26</v>
      </c>
    </row>
    <row r="1406" spans="1:29" x14ac:dyDescent="0.25">
      <c r="A1406" s="20" t="s">
        <v>1689</v>
      </c>
      <c r="B1406" s="20" t="s">
        <v>2191</v>
      </c>
      <c r="C1406" s="20">
        <v>0</v>
      </c>
      <c r="AA1406" s="20" t="s">
        <v>1392</v>
      </c>
      <c r="AB1406" s="20">
        <v>33522.01</v>
      </c>
      <c r="AC1406" s="20">
        <v>1482556.73</v>
      </c>
    </row>
    <row r="1407" spans="1:29" x14ac:dyDescent="0.25">
      <c r="A1407" s="20" t="s">
        <v>2855</v>
      </c>
      <c r="B1407" s="20" t="s">
        <v>2191</v>
      </c>
      <c r="C1407" s="20">
        <v>0</v>
      </c>
      <c r="AA1407" s="20" t="s">
        <v>339</v>
      </c>
      <c r="AB1407" s="20">
        <v>-336.7</v>
      </c>
      <c r="AC1407" s="20">
        <v>340.7</v>
      </c>
    </row>
    <row r="1408" spans="1:29" x14ac:dyDescent="0.25">
      <c r="A1408" s="20" t="s">
        <v>2856</v>
      </c>
      <c r="B1408" s="20" t="s">
        <v>2191</v>
      </c>
      <c r="C1408" s="20">
        <v>0</v>
      </c>
      <c r="AA1408" s="20" t="s">
        <v>1737</v>
      </c>
      <c r="AB1408" s="20">
        <v>-1613.51</v>
      </c>
      <c r="AC1408" s="20">
        <v>0</v>
      </c>
    </row>
    <row r="1409" spans="1:29" x14ac:dyDescent="0.25">
      <c r="A1409" s="20" t="s">
        <v>2857</v>
      </c>
      <c r="B1409" s="20" t="s">
        <v>2191</v>
      </c>
      <c r="C1409" s="20">
        <v>0</v>
      </c>
      <c r="AA1409" s="20" t="s">
        <v>1738</v>
      </c>
      <c r="AB1409" s="20">
        <v>-1408.66</v>
      </c>
      <c r="AC1409" s="20">
        <v>0</v>
      </c>
    </row>
    <row r="1410" spans="1:29" x14ac:dyDescent="0.25">
      <c r="A1410" s="20" t="s">
        <v>1977</v>
      </c>
      <c r="B1410" s="20" t="s">
        <v>2191</v>
      </c>
      <c r="C1410" s="20">
        <v>0</v>
      </c>
      <c r="AA1410" s="20" t="s">
        <v>1739</v>
      </c>
      <c r="AB1410" s="20">
        <v>-1352.77</v>
      </c>
      <c r="AC1410" s="20">
        <v>0</v>
      </c>
    </row>
    <row r="1411" spans="1:29" x14ac:dyDescent="0.25">
      <c r="A1411" s="20" t="s">
        <v>1978</v>
      </c>
      <c r="B1411" s="20" t="s">
        <v>2191</v>
      </c>
      <c r="C1411" s="20">
        <v>0</v>
      </c>
      <c r="AA1411" s="20" t="s">
        <v>1161</v>
      </c>
      <c r="AB1411" s="20">
        <v>-5.46</v>
      </c>
      <c r="AC1411" s="20">
        <v>528.45000000000005</v>
      </c>
    </row>
    <row r="1412" spans="1:29" x14ac:dyDescent="0.25">
      <c r="A1412" s="20" t="s">
        <v>2858</v>
      </c>
      <c r="B1412" s="20" t="s">
        <v>2191</v>
      </c>
      <c r="C1412" s="20">
        <v>0</v>
      </c>
      <c r="AA1412" s="20" t="s">
        <v>1740</v>
      </c>
      <c r="AB1412" s="20">
        <v>-3206.65</v>
      </c>
      <c r="AC1412" s="20">
        <v>78.010000000000005</v>
      </c>
    </row>
    <row r="1413" spans="1:29" x14ac:dyDescent="0.25">
      <c r="A1413" s="20" t="s">
        <v>716</v>
      </c>
      <c r="B1413" s="20" t="s">
        <v>2191</v>
      </c>
      <c r="C1413" s="20">
        <v>53288</v>
      </c>
      <c r="AA1413" s="20" t="s">
        <v>2949</v>
      </c>
      <c r="AB1413" s="20">
        <v>0</v>
      </c>
      <c r="AC1413" s="20">
        <v>0</v>
      </c>
    </row>
    <row r="1414" spans="1:29" x14ac:dyDescent="0.25">
      <c r="A1414" s="20" t="s">
        <v>2017</v>
      </c>
      <c r="B1414" s="20" t="s">
        <v>2191</v>
      </c>
      <c r="C1414" s="20">
        <v>0</v>
      </c>
      <c r="AA1414" s="20" t="s">
        <v>1741</v>
      </c>
      <c r="AB1414" s="20">
        <v>169853.39</v>
      </c>
      <c r="AC1414" s="20">
        <v>1795.39</v>
      </c>
    </row>
    <row r="1415" spans="1:29" x14ac:dyDescent="0.25">
      <c r="A1415" s="20" t="s">
        <v>643</v>
      </c>
      <c r="B1415" s="20" t="s">
        <v>2191</v>
      </c>
      <c r="C1415" s="20">
        <v>681</v>
      </c>
      <c r="AA1415" s="20" t="s">
        <v>1742</v>
      </c>
      <c r="AB1415" s="20">
        <v>-1113.5899999999999</v>
      </c>
      <c r="AC1415" s="20">
        <v>0</v>
      </c>
    </row>
    <row r="1416" spans="1:29" x14ac:dyDescent="0.25">
      <c r="A1416" s="20" t="s">
        <v>1690</v>
      </c>
      <c r="B1416" s="20" t="s">
        <v>2191</v>
      </c>
      <c r="C1416" s="20">
        <v>0</v>
      </c>
      <c r="AA1416" s="20" t="s">
        <v>237</v>
      </c>
      <c r="AB1416" s="20">
        <v>-4975.5600000000004</v>
      </c>
      <c r="AC1416" s="20">
        <v>80560.899999999994</v>
      </c>
    </row>
    <row r="1417" spans="1:29" x14ac:dyDescent="0.25">
      <c r="A1417" s="20" t="s">
        <v>1691</v>
      </c>
      <c r="B1417" s="20" t="s">
        <v>2191</v>
      </c>
      <c r="C1417" s="20">
        <v>0</v>
      </c>
      <c r="AA1417" s="20" t="s">
        <v>1743</v>
      </c>
      <c r="AB1417" s="20">
        <v>-1750.83</v>
      </c>
      <c r="AC1417" s="20">
        <v>0</v>
      </c>
    </row>
    <row r="1418" spans="1:29" x14ac:dyDescent="0.25">
      <c r="A1418" s="20" t="s">
        <v>1000</v>
      </c>
      <c r="B1418" s="20" t="s">
        <v>2191</v>
      </c>
      <c r="C1418" s="20">
        <v>293</v>
      </c>
      <c r="AA1418" s="20" t="s">
        <v>1530</v>
      </c>
      <c r="AB1418" s="20">
        <v>-15560.36</v>
      </c>
      <c r="AC1418" s="20">
        <v>56076.04</v>
      </c>
    </row>
    <row r="1419" spans="1:29" x14ac:dyDescent="0.25">
      <c r="A1419" s="20" t="s">
        <v>718</v>
      </c>
      <c r="B1419" s="20" t="s">
        <v>2191</v>
      </c>
      <c r="C1419" s="20">
        <v>0</v>
      </c>
      <c r="AA1419" s="20" t="s">
        <v>341</v>
      </c>
      <c r="AB1419" s="20">
        <v>39731.620000000003</v>
      </c>
      <c r="AC1419" s="20">
        <v>127285.02</v>
      </c>
    </row>
    <row r="1420" spans="1:29" x14ac:dyDescent="0.25">
      <c r="A1420" s="20" t="s">
        <v>2859</v>
      </c>
      <c r="B1420" s="20" t="s">
        <v>2191</v>
      </c>
      <c r="C1420" s="20">
        <v>0</v>
      </c>
      <c r="AA1420" s="20" t="s">
        <v>1320</v>
      </c>
      <c r="AB1420" s="20">
        <v>1944.44</v>
      </c>
      <c r="AC1420" s="20">
        <v>26307.98</v>
      </c>
    </row>
    <row r="1421" spans="1:29" x14ac:dyDescent="0.25">
      <c r="A1421" s="20" t="s">
        <v>118</v>
      </c>
      <c r="B1421" s="20" t="s">
        <v>2191</v>
      </c>
      <c r="C1421" s="20">
        <v>0</v>
      </c>
      <c r="AA1421" s="20" t="s">
        <v>1744</v>
      </c>
      <c r="AB1421" s="20">
        <v>-870.53</v>
      </c>
      <c r="AC1421" s="20">
        <v>8311.1299999999992</v>
      </c>
    </row>
    <row r="1422" spans="1:29" x14ac:dyDescent="0.25">
      <c r="A1422" s="20" t="s">
        <v>1466</v>
      </c>
      <c r="B1422" s="20" t="s">
        <v>2191</v>
      </c>
      <c r="C1422" s="20">
        <v>0</v>
      </c>
      <c r="AA1422" s="20" t="s">
        <v>1486</v>
      </c>
      <c r="AB1422" s="20">
        <v>-7950.58</v>
      </c>
      <c r="AC1422" s="20">
        <v>39518.44</v>
      </c>
    </row>
    <row r="1423" spans="1:29" x14ac:dyDescent="0.25">
      <c r="A1423" s="20" t="s">
        <v>2860</v>
      </c>
      <c r="B1423" s="20" t="s">
        <v>2191</v>
      </c>
      <c r="C1423" s="20">
        <v>0</v>
      </c>
      <c r="AA1423" s="20" t="s">
        <v>1394</v>
      </c>
      <c r="AB1423" s="20">
        <v>0</v>
      </c>
      <c r="AC1423" s="20">
        <v>0</v>
      </c>
    </row>
    <row r="1424" spans="1:29" x14ac:dyDescent="0.25">
      <c r="A1424" s="20" t="s">
        <v>2861</v>
      </c>
      <c r="B1424" s="20" t="s">
        <v>2191</v>
      </c>
      <c r="C1424" s="20">
        <v>0</v>
      </c>
      <c r="AA1424" s="20" t="s">
        <v>1163</v>
      </c>
      <c r="AB1424" s="20">
        <v>-352.61</v>
      </c>
      <c r="AC1424" s="20">
        <v>2935.02</v>
      </c>
    </row>
    <row r="1425" spans="1:29" x14ac:dyDescent="0.25">
      <c r="A1425" s="20" t="s">
        <v>2018</v>
      </c>
      <c r="B1425" s="20" t="s">
        <v>2191</v>
      </c>
      <c r="C1425" s="20">
        <v>0</v>
      </c>
      <c r="AA1425" s="20" t="s">
        <v>533</v>
      </c>
      <c r="AB1425" s="20">
        <v>-6077.63</v>
      </c>
      <c r="AC1425" s="20">
        <v>56234.48</v>
      </c>
    </row>
    <row r="1426" spans="1:29" x14ac:dyDescent="0.25">
      <c r="A1426" s="20" t="s">
        <v>2862</v>
      </c>
      <c r="B1426" s="20" t="s">
        <v>2191</v>
      </c>
      <c r="C1426" s="20">
        <v>0</v>
      </c>
      <c r="AA1426" s="20" t="s">
        <v>1745</v>
      </c>
      <c r="AB1426" s="20">
        <v>-8006.44</v>
      </c>
      <c r="AC1426" s="20">
        <v>0</v>
      </c>
    </row>
    <row r="1427" spans="1:29" x14ac:dyDescent="0.25">
      <c r="A1427" s="20" t="s">
        <v>296</v>
      </c>
      <c r="B1427" s="20" t="s">
        <v>2191</v>
      </c>
      <c r="C1427" s="20">
        <v>15274</v>
      </c>
      <c r="AA1427" s="20" t="s">
        <v>2950</v>
      </c>
      <c r="AB1427" s="20">
        <v>0</v>
      </c>
      <c r="AC1427" s="20">
        <v>0</v>
      </c>
    </row>
    <row r="1428" spans="1:29" x14ac:dyDescent="0.25">
      <c r="A1428" s="20" t="s">
        <v>1199</v>
      </c>
      <c r="B1428" s="20" t="s">
        <v>2191</v>
      </c>
      <c r="C1428" s="20">
        <v>8784.3700000000008</v>
      </c>
      <c r="AA1428" s="20" t="s">
        <v>1746</v>
      </c>
      <c r="AB1428" s="20">
        <v>-916.54</v>
      </c>
      <c r="AC1428" s="20">
        <v>0</v>
      </c>
    </row>
    <row r="1429" spans="1:29" x14ac:dyDescent="0.25">
      <c r="A1429" s="20" t="s">
        <v>2179</v>
      </c>
      <c r="B1429" s="20" t="s">
        <v>2191</v>
      </c>
      <c r="C1429" s="20">
        <v>0</v>
      </c>
      <c r="AA1429" s="20" t="s">
        <v>1038</v>
      </c>
      <c r="AB1429" s="20">
        <v>-4479.96</v>
      </c>
      <c r="AC1429" s="20">
        <v>3568.41</v>
      </c>
    </row>
    <row r="1430" spans="1:29" x14ac:dyDescent="0.25">
      <c r="A1430" s="20" t="s">
        <v>2160</v>
      </c>
      <c r="B1430" s="20" t="s">
        <v>2191</v>
      </c>
      <c r="C1430" s="20">
        <v>0</v>
      </c>
      <c r="AA1430" s="20" t="s">
        <v>2951</v>
      </c>
      <c r="AB1430" s="20">
        <v>0</v>
      </c>
      <c r="AC1430" s="20">
        <v>0</v>
      </c>
    </row>
    <row r="1431" spans="1:29" x14ac:dyDescent="0.25">
      <c r="A1431" s="20" t="s">
        <v>2136</v>
      </c>
      <c r="B1431" s="20" t="s">
        <v>2191</v>
      </c>
      <c r="C1431" s="20">
        <v>0</v>
      </c>
      <c r="AA1431" s="20" t="s">
        <v>1747</v>
      </c>
      <c r="AB1431" s="20">
        <v>-1636.31</v>
      </c>
      <c r="AC1431" s="20">
        <v>1966.54</v>
      </c>
    </row>
    <row r="1432" spans="1:29" x14ac:dyDescent="0.25">
      <c r="A1432" s="20" t="s">
        <v>2053</v>
      </c>
      <c r="B1432" s="20" t="s">
        <v>2191</v>
      </c>
      <c r="C1432" s="20">
        <v>0</v>
      </c>
      <c r="AA1432" s="20" t="s">
        <v>872</v>
      </c>
      <c r="AB1432" s="20">
        <v>81789.61</v>
      </c>
      <c r="AC1432" s="20">
        <v>1324854.69</v>
      </c>
    </row>
    <row r="1433" spans="1:29" x14ac:dyDescent="0.25">
      <c r="A1433" s="20" t="s">
        <v>2863</v>
      </c>
      <c r="B1433" s="20" t="s">
        <v>2191</v>
      </c>
      <c r="C1433" s="20">
        <v>0</v>
      </c>
      <c r="AA1433" s="20" t="s">
        <v>814</v>
      </c>
      <c r="AB1433" s="20">
        <v>-25571.16</v>
      </c>
      <c r="AC1433" s="20">
        <v>97643.18</v>
      </c>
    </row>
    <row r="1434" spans="1:29" x14ac:dyDescent="0.25">
      <c r="A1434" s="20" t="s">
        <v>2864</v>
      </c>
      <c r="B1434" s="20" t="s">
        <v>2191</v>
      </c>
      <c r="C1434" s="20">
        <v>0</v>
      </c>
      <c r="AA1434" s="20" t="s">
        <v>1748</v>
      </c>
      <c r="AB1434" s="20">
        <v>-40.67</v>
      </c>
      <c r="AC1434" s="20">
        <v>0</v>
      </c>
    </row>
    <row r="1435" spans="1:29" x14ac:dyDescent="0.25">
      <c r="A1435" s="20" t="s">
        <v>119</v>
      </c>
      <c r="B1435" s="20" t="s">
        <v>2191</v>
      </c>
      <c r="C1435" s="20">
        <v>0</v>
      </c>
      <c r="AA1435" s="20" t="s">
        <v>1749</v>
      </c>
      <c r="AB1435" s="20">
        <v>-4117.3</v>
      </c>
      <c r="AC1435" s="20">
        <v>17733.8</v>
      </c>
    </row>
    <row r="1436" spans="1:29" x14ac:dyDescent="0.25">
      <c r="A1436" s="20" t="s">
        <v>1937</v>
      </c>
      <c r="B1436" s="20" t="s">
        <v>2191</v>
      </c>
      <c r="C1436" s="20">
        <v>0</v>
      </c>
      <c r="AA1436" s="20" t="s">
        <v>156</v>
      </c>
      <c r="AB1436" s="20">
        <v>-2724.18</v>
      </c>
      <c r="AC1436" s="20">
        <v>22663.16</v>
      </c>
    </row>
    <row r="1437" spans="1:29" x14ac:dyDescent="0.25">
      <c r="A1437" s="20" t="s">
        <v>1124</v>
      </c>
      <c r="B1437" s="20" t="s">
        <v>2191</v>
      </c>
      <c r="C1437" s="20">
        <v>0</v>
      </c>
      <c r="AA1437" s="20" t="s">
        <v>1750</v>
      </c>
      <c r="AB1437" s="20">
        <v>-663.14</v>
      </c>
      <c r="AC1437" s="20">
        <v>0</v>
      </c>
    </row>
    <row r="1438" spans="1:29" x14ac:dyDescent="0.25">
      <c r="A1438" s="20" t="s">
        <v>2865</v>
      </c>
      <c r="B1438" s="20" t="s">
        <v>2191</v>
      </c>
      <c r="C1438" s="20">
        <v>0</v>
      </c>
      <c r="AA1438" s="20" t="s">
        <v>3295</v>
      </c>
      <c r="AB1438" s="20">
        <v>0</v>
      </c>
      <c r="AC1438" s="20">
        <v>0</v>
      </c>
    </row>
    <row r="1439" spans="1:29" x14ac:dyDescent="0.25">
      <c r="A1439" s="20" t="s">
        <v>485</v>
      </c>
      <c r="B1439" s="20" t="s">
        <v>2191</v>
      </c>
      <c r="C1439" s="20">
        <v>0</v>
      </c>
      <c r="AA1439" s="20" t="s">
        <v>158</v>
      </c>
      <c r="AB1439" s="20">
        <v>630.97</v>
      </c>
      <c r="AC1439" s="20">
        <v>113528.59</v>
      </c>
    </row>
    <row r="1440" spans="1:29" x14ac:dyDescent="0.25">
      <c r="A1440" s="20" t="s">
        <v>2866</v>
      </c>
      <c r="B1440" s="20" t="s">
        <v>2191</v>
      </c>
      <c r="C1440" s="20">
        <v>0</v>
      </c>
      <c r="AA1440" s="20" t="s">
        <v>730</v>
      </c>
      <c r="AB1440" s="20">
        <v>0</v>
      </c>
      <c r="AC1440" s="20">
        <v>0</v>
      </c>
    </row>
    <row r="1441" spans="1:29" x14ac:dyDescent="0.25">
      <c r="A1441" s="20" t="s">
        <v>1467</v>
      </c>
      <c r="B1441" s="20" t="s">
        <v>2191</v>
      </c>
      <c r="C1441" s="20">
        <v>0</v>
      </c>
      <c r="AA1441" s="20" t="s">
        <v>1164</v>
      </c>
      <c r="AB1441" s="20">
        <v>2275.64</v>
      </c>
      <c r="AC1441" s="20">
        <v>124205.48</v>
      </c>
    </row>
    <row r="1442" spans="1:29" x14ac:dyDescent="0.25">
      <c r="A1442" s="20" t="s">
        <v>720</v>
      </c>
      <c r="B1442" s="20" t="s">
        <v>2191</v>
      </c>
      <c r="C1442" s="20">
        <v>0</v>
      </c>
      <c r="AA1442" s="20" t="s">
        <v>1166</v>
      </c>
      <c r="AB1442" s="20">
        <v>2219.13</v>
      </c>
      <c r="AC1442" s="20">
        <v>36228.36</v>
      </c>
    </row>
    <row r="1443" spans="1:29" x14ac:dyDescent="0.25">
      <c r="A1443" s="20" t="s">
        <v>2867</v>
      </c>
      <c r="B1443" s="20" t="s">
        <v>2191</v>
      </c>
      <c r="C1443" s="20">
        <v>0</v>
      </c>
      <c r="AA1443" s="20" t="s">
        <v>818</v>
      </c>
      <c r="AB1443" s="20">
        <v>-16401.689999999999</v>
      </c>
      <c r="AC1443" s="20">
        <v>41079.07</v>
      </c>
    </row>
    <row r="1444" spans="1:29" x14ac:dyDescent="0.25">
      <c r="A1444" s="20" t="s">
        <v>2114</v>
      </c>
      <c r="B1444" s="20" t="s">
        <v>2191</v>
      </c>
      <c r="C1444" s="20">
        <v>0</v>
      </c>
      <c r="AA1444" s="20" t="s">
        <v>1238</v>
      </c>
      <c r="AB1444" s="20">
        <v>-2969.68</v>
      </c>
      <c r="AC1444" s="20">
        <v>15309.77</v>
      </c>
    </row>
    <row r="1445" spans="1:29" x14ac:dyDescent="0.25">
      <c r="A1445" s="20" t="s">
        <v>481</v>
      </c>
      <c r="B1445" s="20" t="s">
        <v>2191</v>
      </c>
      <c r="C1445" s="20">
        <v>0</v>
      </c>
      <c r="AA1445" s="20" t="s">
        <v>1398</v>
      </c>
      <c r="AB1445" s="20">
        <v>439.37</v>
      </c>
      <c r="AC1445" s="20">
        <v>8783.41</v>
      </c>
    </row>
    <row r="1446" spans="1:29" x14ac:dyDescent="0.25">
      <c r="A1446" s="20" t="s">
        <v>2180</v>
      </c>
      <c r="B1446" s="20" t="s">
        <v>2191</v>
      </c>
      <c r="C1446" s="20">
        <v>0</v>
      </c>
      <c r="AA1446" s="20" t="s">
        <v>660</v>
      </c>
      <c r="AB1446" s="20">
        <v>-2324.0100000000002</v>
      </c>
      <c r="AC1446" s="20">
        <v>25784.79</v>
      </c>
    </row>
    <row r="1447" spans="1:29" x14ac:dyDescent="0.25">
      <c r="A1447" s="20" t="s">
        <v>2868</v>
      </c>
      <c r="B1447" s="20" t="s">
        <v>2191</v>
      </c>
      <c r="C1447" s="20">
        <v>0</v>
      </c>
      <c r="AA1447" s="20" t="s">
        <v>1488</v>
      </c>
      <c r="AB1447" s="20">
        <v>-1648.46</v>
      </c>
      <c r="AC1447" s="20">
        <v>9868.32</v>
      </c>
    </row>
    <row r="1448" spans="1:29" x14ac:dyDescent="0.25">
      <c r="A1448" s="20" t="s">
        <v>2869</v>
      </c>
      <c r="B1448" s="20" t="s">
        <v>2191</v>
      </c>
      <c r="C1448" s="20">
        <v>0</v>
      </c>
      <c r="AA1448" s="20" t="s">
        <v>2952</v>
      </c>
      <c r="AB1448" s="20">
        <v>-9117.0499999999993</v>
      </c>
      <c r="AC1448" s="20">
        <v>0</v>
      </c>
    </row>
    <row r="1449" spans="1:29" x14ac:dyDescent="0.25">
      <c r="A1449" s="20" t="s">
        <v>1979</v>
      </c>
      <c r="B1449" s="20" t="s">
        <v>2191</v>
      </c>
      <c r="C1449" s="20">
        <v>0</v>
      </c>
      <c r="AA1449" s="20" t="s">
        <v>3320</v>
      </c>
      <c r="AB1449" s="20">
        <v>0</v>
      </c>
      <c r="AC1449" s="20">
        <v>0</v>
      </c>
    </row>
    <row r="1450" spans="1:29" x14ac:dyDescent="0.25">
      <c r="A1450" s="20" t="s">
        <v>1938</v>
      </c>
      <c r="B1450" s="20" t="s">
        <v>2191</v>
      </c>
      <c r="C1450" s="20">
        <v>0</v>
      </c>
      <c r="AA1450" s="20" t="s">
        <v>115</v>
      </c>
      <c r="AB1450" s="20">
        <v>497521.05</v>
      </c>
      <c r="AC1450" s="20">
        <v>480636.28</v>
      </c>
    </row>
    <row r="1451" spans="1:29" x14ac:dyDescent="0.25">
      <c r="A1451" s="20" t="s">
        <v>2870</v>
      </c>
      <c r="B1451" s="20" t="s">
        <v>2191</v>
      </c>
      <c r="C1451" s="20">
        <v>0</v>
      </c>
      <c r="AA1451" s="20" t="s">
        <v>755</v>
      </c>
      <c r="AB1451" s="20">
        <v>19683.79</v>
      </c>
      <c r="AC1451" s="20">
        <v>229461.79</v>
      </c>
    </row>
    <row r="1452" spans="1:29" x14ac:dyDescent="0.25">
      <c r="A1452" s="20" t="s">
        <v>2871</v>
      </c>
      <c r="B1452" s="20" t="s">
        <v>2191</v>
      </c>
      <c r="C1452" s="20">
        <v>0</v>
      </c>
      <c r="AA1452" s="20" t="s">
        <v>344</v>
      </c>
      <c r="AB1452" s="20">
        <v>965.4</v>
      </c>
      <c r="AC1452" s="20">
        <v>14379.44</v>
      </c>
    </row>
    <row r="1453" spans="1:29" x14ac:dyDescent="0.25">
      <c r="A1453" s="20" t="s">
        <v>646</v>
      </c>
      <c r="B1453" s="20" t="s">
        <v>2191</v>
      </c>
      <c r="C1453" s="20">
        <v>0</v>
      </c>
      <c r="AA1453" s="20" t="s">
        <v>160</v>
      </c>
      <c r="AB1453" s="20">
        <v>386951.32</v>
      </c>
      <c r="AC1453" s="20">
        <v>1290829.96</v>
      </c>
    </row>
    <row r="1454" spans="1:29" x14ac:dyDescent="0.25">
      <c r="A1454" s="20" t="s">
        <v>1863</v>
      </c>
      <c r="B1454" s="20" t="s">
        <v>2191</v>
      </c>
      <c r="C1454" s="20">
        <v>0</v>
      </c>
      <c r="AA1454" s="20" t="s">
        <v>535</v>
      </c>
      <c r="AB1454" s="20">
        <v>-735.68</v>
      </c>
      <c r="AC1454" s="20">
        <v>7082.97</v>
      </c>
    </row>
    <row r="1455" spans="1:29" x14ac:dyDescent="0.25">
      <c r="A1455" s="20" t="s">
        <v>1219</v>
      </c>
      <c r="B1455" s="20" t="s">
        <v>2191</v>
      </c>
      <c r="C1455" s="20">
        <v>654</v>
      </c>
      <c r="AA1455" s="20" t="s">
        <v>519</v>
      </c>
      <c r="AB1455" s="20">
        <v>-11036.13</v>
      </c>
      <c r="AC1455" s="20">
        <v>114472.13</v>
      </c>
    </row>
    <row r="1456" spans="1:29" x14ac:dyDescent="0.25">
      <c r="A1456" s="20" t="s">
        <v>2161</v>
      </c>
      <c r="B1456" s="20" t="s">
        <v>2191</v>
      </c>
      <c r="C1456" s="20">
        <v>0</v>
      </c>
      <c r="AA1456" s="20" t="s">
        <v>943</v>
      </c>
      <c r="AB1456" s="20">
        <v>1311.92</v>
      </c>
      <c r="AC1456" s="20">
        <v>41691.870000000003</v>
      </c>
    </row>
    <row r="1457" spans="1:29" x14ac:dyDescent="0.25">
      <c r="A1457" s="20" t="s">
        <v>668</v>
      </c>
      <c r="B1457" s="20" t="s">
        <v>2191</v>
      </c>
      <c r="C1457" s="20">
        <v>10691</v>
      </c>
      <c r="AA1457" s="20" t="s">
        <v>1752</v>
      </c>
      <c r="AB1457" s="20">
        <v>-737.77</v>
      </c>
      <c r="AC1457" s="20">
        <v>0</v>
      </c>
    </row>
    <row r="1458" spans="1:29" x14ac:dyDescent="0.25">
      <c r="A1458" s="20" t="s">
        <v>1125</v>
      </c>
      <c r="B1458" s="20" t="s">
        <v>2191</v>
      </c>
      <c r="C1458" s="20">
        <v>0</v>
      </c>
      <c r="AA1458" s="20" t="s">
        <v>537</v>
      </c>
      <c r="AB1458" s="20">
        <v>5841.35</v>
      </c>
      <c r="AC1458" s="20">
        <v>71290.899999999994</v>
      </c>
    </row>
    <row r="1459" spans="1:29" x14ac:dyDescent="0.25">
      <c r="A1459" s="20" t="s">
        <v>1126</v>
      </c>
      <c r="B1459" s="20" t="s">
        <v>2191</v>
      </c>
      <c r="C1459" s="20">
        <v>0</v>
      </c>
      <c r="AA1459" s="20" t="s">
        <v>1753</v>
      </c>
      <c r="AB1459" s="20">
        <v>-1487.03</v>
      </c>
      <c r="AC1459" s="20">
        <v>0</v>
      </c>
    </row>
    <row r="1460" spans="1:29" x14ac:dyDescent="0.25">
      <c r="A1460" s="20" t="s">
        <v>2115</v>
      </c>
      <c r="B1460" s="20" t="s">
        <v>2191</v>
      </c>
      <c r="C1460" s="20">
        <v>0</v>
      </c>
      <c r="AA1460" s="20" t="s">
        <v>164</v>
      </c>
      <c r="AB1460" s="20">
        <v>2607</v>
      </c>
      <c r="AC1460" s="20">
        <v>32171.58</v>
      </c>
    </row>
    <row r="1461" spans="1:29" x14ac:dyDescent="0.25">
      <c r="A1461" s="20" t="s">
        <v>121</v>
      </c>
      <c r="B1461" s="20" t="s">
        <v>2191</v>
      </c>
      <c r="C1461" s="20">
        <v>0</v>
      </c>
      <c r="AA1461" s="20" t="s">
        <v>1754</v>
      </c>
      <c r="AB1461" s="20">
        <v>-399.64</v>
      </c>
      <c r="AC1461" s="20">
        <v>0</v>
      </c>
    </row>
    <row r="1462" spans="1:29" x14ac:dyDescent="0.25">
      <c r="A1462" s="20" t="s">
        <v>1127</v>
      </c>
      <c r="B1462" s="20" t="s">
        <v>2191</v>
      </c>
      <c r="C1462" s="20">
        <v>4496</v>
      </c>
      <c r="AA1462" s="20" t="s">
        <v>345</v>
      </c>
      <c r="AB1462" s="20">
        <v>-1789.04</v>
      </c>
      <c r="AC1462" s="20">
        <v>50261.06</v>
      </c>
    </row>
    <row r="1463" spans="1:29" x14ac:dyDescent="0.25">
      <c r="A1463" s="20" t="s">
        <v>1893</v>
      </c>
      <c r="B1463" s="20" t="s">
        <v>2191</v>
      </c>
      <c r="C1463" s="20">
        <v>0</v>
      </c>
      <c r="AA1463" s="20" t="s">
        <v>1755</v>
      </c>
      <c r="AB1463" s="20">
        <v>-76.16</v>
      </c>
      <c r="AC1463" s="20">
        <v>2361.66</v>
      </c>
    </row>
    <row r="1464" spans="1:29" x14ac:dyDescent="0.25">
      <c r="A1464" s="20" t="s">
        <v>298</v>
      </c>
      <c r="B1464" s="20" t="s">
        <v>2191</v>
      </c>
      <c r="C1464" s="20">
        <v>0</v>
      </c>
      <c r="AA1464" s="20" t="s">
        <v>945</v>
      </c>
      <c r="AB1464" s="20">
        <v>-1170.27</v>
      </c>
      <c r="AC1464" s="20">
        <v>4042.14</v>
      </c>
    </row>
    <row r="1465" spans="1:29" x14ac:dyDescent="0.25">
      <c r="A1465" s="20" t="s">
        <v>2872</v>
      </c>
      <c r="B1465" s="20" t="s">
        <v>2191</v>
      </c>
      <c r="C1465" s="20">
        <v>0</v>
      </c>
      <c r="AA1465" s="20" t="s">
        <v>540</v>
      </c>
      <c r="AB1465" s="20">
        <v>-975.95</v>
      </c>
      <c r="AC1465" s="20">
        <v>4550.33</v>
      </c>
    </row>
    <row r="1466" spans="1:29" x14ac:dyDescent="0.25">
      <c r="A1466" s="20" t="s">
        <v>2873</v>
      </c>
      <c r="B1466" s="20" t="s">
        <v>2191</v>
      </c>
      <c r="C1466" s="20">
        <v>0</v>
      </c>
      <c r="AA1466" s="20" t="s">
        <v>916</v>
      </c>
      <c r="AB1466" s="20">
        <v>-62.44</v>
      </c>
      <c r="AC1466" s="20">
        <v>0</v>
      </c>
    </row>
    <row r="1467" spans="1:29" x14ac:dyDescent="0.25">
      <c r="A1467" s="20" t="s">
        <v>1289</v>
      </c>
      <c r="B1467" s="20" t="s">
        <v>2191</v>
      </c>
      <c r="C1467" s="20">
        <v>0</v>
      </c>
      <c r="AA1467" s="20" t="s">
        <v>2953</v>
      </c>
      <c r="AB1467" s="20">
        <v>-171.84</v>
      </c>
      <c r="AC1467" s="20">
        <v>0</v>
      </c>
    </row>
    <row r="1468" spans="1:29" x14ac:dyDescent="0.25">
      <c r="A1468" s="20" t="s">
        <v>1011</v>
      </c>
      <c r="B1468" s="20" t="s">
        <v>2191</v>
      </c>
      <c r="C1468" s="20">
        <v>0</v>
      </c>
      <c r="AA1468" s="20" t="s">
        <v>1756</v>
      </c>
      <c r="AB1468" s="20">
        <v>-161.65</v>
      </c>
      <c r="AC1468" s="20">
        <v>0</v>
      </c>
    </row>
    <row r="1469" spans="1:29" x14ac:dyDescent="0.25">
      <c r="A1469" s="20" t="s">
        <v>721</v>
      </c>
      <c r="B1469" s="20" t="s">
        <v>2191</v>
      </c>
      <c r="C1469" s="20">
        <v>0</v>
      </c>
      <c r="AA1469" s="20" t="s">
        <v>350</v>
      </c>
      <c r="AB1469" s="20">
        <v>4085.59</v>
      </c>
      <c r="AC1469" s="20">
        <v>178773.63</v>
      </c>
    </row>
    <row r="1470" spans="1:29" x14ac:dyDescent="0.25">
      <c r="A1470" s="20" t="s">
        <v>2874</v>
      </c>
      <c r="B1470" s="20" t="s">
        <v>2191</v>
      </c>
      <c r="C1470" s="20">
        <v>0</v>
      </c>
      <c r="AA1470" s="20" t="s">
        <v>167</v>
      </c>
      <c r="AB1470" s="20">
        <v>28444.68</v>
      </c>
      <c r="AC1470" s="20">
        <v>399895.12</v>
      </c>
    </row>
    <row r="1471" spans="1:29" x14ac:dyDescent="0.25">
      <c r="A1471" s="20" t="s">
        <v>2875</v>
      </c>
      <c r="B1471" s="20" t="s">
        <v>2191</v>
      </c>
      <c r="C1471" s="20">
        <v>0</v>
      </c>
      <c r="AA1471" s="20" t="s">
        <v>542</v>
      </c>
      <c r="AB1471" s="20">
        <v>40386.129999999997</v>
      </c>
      <c r="AC1471" s="20">
        <v>281740.13</v>
      </c>
    </row>
    <row r="1472" spans="1:29" x14ac:dyDescent="0.25">
      <c r="A1472" s="20" t="s">
        <v>300</v>
      </c>
      <c r="B1472" s="20" t="s">
        <v>2191</v>
      </c>
      <c r="C1472" s="20">
        <v>807.37</v>
      </c>
      <c r="AA1472" s="20" t="s">
        <v>543</v>
      </c>
      <c r="AB1472" s="20">
        <v>0</v>
      </c>
      <c r="AC1472" s="20">
        <v>0</v>
      </c>
    </row>
    <row r="1473" spans="1:29" x14ac:dyDescent="0.25">
      <c r="A1473" s="20" t="s">
        <v>487</v>
      </c>
      <c r="B1473" s="20" t="s">
        <v>2191</v>
      </c>
      <c r="C1473" s="20">
        <v>756</v>
      </c>
      <c r="AA1473" s="20" t="s">
        <v>545</v>
      </c>
      <c r="AB1473" s="20">
        <v>1402864.77</v>
      </c>
      <c r="AC1473" s="20">
        <v>151130.84</v>
      </c>
    </row>
    <row r="1474" spans="1:29" x14ac:dyDescent="0.25">
      <c r="A1474" s="20" t="s">
        <v>2876</v>
      </c>
      <c r="B1474" s="20" t="s">
        <v>2191</v>
      </c>
      <c r="C1474" s="20">
        <v>0</v>
      </c>
      <c r="AA1474" s="20" t="s">
        <v>653</v>
      </c>
      <c r="AB1474" s="20">
        <v>-2194.5500000000002</v>
      </c>
      <c r="AC1474" s="20">
        <v>38803.050000000003</v>
      </c>
    </row>
    <row r="1475" spans="1:29" x14ac:dyDescent="0.25">
      <c r="A1475" s="20" t="s">
        <v>1692</v>
      </c>
      <c r="B1475" s="20" t="s">
        <v>2191</v>
      </c>
      <c r="C1475" s="20">
        <v>0</v>
      </c>
      <c r="AA1475" s="20" t="s">
        <v>1757</v>
      </c>
      <c r="AB1475" s="20">
        <v>-14300.67</v>
      </c>
      <c r="AC1475" s="20">
        <v>0</v>
      </c>
    </row>
    <row r="1476" spans="1:29" x14ac:dyDescent="0.25">
      <c r="A1476" s="20" t="s">
        <v>2137</v>
      </c>
      <c r="B1476" s="20" t="s">
        <v>2191</v>
      </c>
      <c r="C1476" s="20">
        <v>0</v>
      </c>
      <c r="AA1476" s="20" t="s">
        <v>352</v>
      </c>
      <c r="AB1476" s="20">
        <v>6762.16</v>
      </c>
      <c r="AC1476" s="20">
        <v>45975.22</v>
      </c>
    </row>
    <row r="1477" spans="1:29" x14ac:dyDescent="0.25">
      <c r="A1477" s="20" t="s">
        <v>122</v>
      </c>
      <c r="B1477" s="20" t="s">
        <v>2191</v>
      </c>
      <c r="C1477" s="20">
        <v>0</v>
      </c>
      <c r="AA1477" s="20" t="s">
        <v>759</v>
      </c>
      <c r="AB1477" s="20">
        <v>121991.56</v>
      </c>
      <c r="AC1477" s="20">
        <v>187691.82</v>
      </c>
    </row>
    <row r="1478" spans="1:29" x14ac:dyDescent="0.25">
      <c r="A1478" s="20" t="s">
        <v>922</v>
      </c>
      <c r="B1478" s="20" t="s">
        <v>2191</v>
      </c>
      <c r="C1478" s="20">
        <v>0</v>
      </c>
      <c r="AA1478" s="20" t="s">
        <v>820</v>
      </c>
      <c r="AB1478" s="20">
        <v>-1526.36</v>
      </c>
      <c r="AC1478" s="20">
        <v>1063.08</v>
      </c>
    </row>
    <row r="1479" spans="1:29" x14ac:dyDescent="0.25">
      <c r="A1479" s="20" t="s">
        <v>1693</v>
      </c>
      <c r="B1479" s="20" t="s">
        <v>2191</v>
      </c>
      <c r="C1479" s="20">
        <v>0</v>
      </c>
      <c r="AA1479" s="20" t="s">
        <v>169</v>
      </c>
      <c r="AB1479" s="20">
        <v>-749.62</v>
      </c>
      <c r="AC1479" s="20">
        <v>3775.01</v>
      </c>
    </row>
    <row r="1480" spans="1:29" x14ac:dyDescent="0.25">
      <c r="A1480" s="20" t="s">
        <v>1290</v>
      </c>
      <c r="B1480" s="20" t="s">
        <v>2191</v>
      </c>
      <c r="C1480" s="20">
        <v>0</v>
      </c>
      <c r="AA1480" s="20" t="s">
        <v>1171</v>
      </c>
      <c r="AB1480" s="20">
        <v>4969.8100000000004</v>
      </c>
      <c r="AC1480" s="20">
        <v>286994.65999999997</v>
      </c>
    </row>
    <row r="1481" spans="1:29" x14ac:dyDescent="0.25">
      <c r="A1481" s="20" t="s">
        <v>135</v>
      </c>
      <c r="B1481" s="20" t="s">
        <v>2191</v>
      </c>
      <c r="C1481" s="20">
        <v>0</v>
      </c>
      <c r="AA1481" s="20" t="s">
        <v>1041</v>
      </c>
      <c r="AB1481" s="20">
        <v>-295.19</v>
      </c>
      <c r="AC1481" s="20">
        <v>1920.18</v>
      </c>
    </row>
    <row r="1482" spans="1:29" x14ac:dyDescent="0.25">
      <c r="A1482" s="20" t="s">
        <v>489</v>
      </c>
      <c r="B1482" s="20" t="s">
        <v>2191</v>
      </c>
      <c r="C1482" s="20">
        <v>0</v>
      </c>
      <c r="AA1482" s="20" t="s">
        <v>1172</v>
      </c>
      <c r="AB1482" s="20">
        <v>-4387.05</v>
      </c>
      <c r="AC1482" s="20">
        <v>117478.84</v>
      </c>
    </row>
    <row r="1483" spans="1:29" x14ac:dyDescent="0.25">
      <c r="A1483" s="20" t="s">
        <v>2877</v>
      </c>
      <c r="B1483" s="20" t="s">
        <v>2191</v>
      </c>
      <c r="C1483" s="20">
        <v>0</v>
      </c>
      <c r="AA1483" s="20" t="s">
        <v>1240</v>
      </c>
      <c r="AB1483" s="20">
        <v>-52.74</v>
      </c>
      <c r="AC1483" s="20">
        <v>0</v>
      </c>
    </row>
    <row r="1484" spans="1:29" x14ac:dyDescent="0.25">
      <c r="A1484" s="20" t="s">
        <v>2878</v>
      </c>
      <c r="B1484" s="20" t="s">
        <v>2191</v>
      </c>
      <c r="C1484" s="20">
        <v>0</v>
      </c>
      <c r="AA1484" s="20" t="s">
        <v>761</v>
      </c>
      <c r="AB1484" s="20">
        <v>5059781.42</v>
      </c>
      <c r="AC1484" s="20">
        <v>1105355.75</v>
      </c>
    </row>
    <row r="1485" spans="1:29" x14ac:dyDescent="0.25">
      <c r="A1485" s="20" t="s">
        <v>1012</v>
      </c>
      <c r="B1485" s="20" t="s">
        <v>2191</v>
      </c>
      <c r="C1485" s="20">
        <v>0</v>
      </c>
      <c r="AA1485" s="20" t="s">
        <v>170</v>
      </c>
      <c r="AB1485" s="20">
        <v>0</v>
      </c>
      <c r="AC1485" s="20">
        <v>0</v>
      </c>
    </row>
    <row r="1486" spans="1:29" x14ac:dyDescent="0.25">
      <c r="A1486" s="20" t="s">
        <v>490</v>
      </c>
      <c r="B1486" s="20" t="s">
        <v>2191</v>
      </c>
      <c r="C1486" s="20">
        <v>0</v>
      </c>
      <c r="AA1486" s="20" t="s">
        <v>1758</v>
      </c>
      <c r="AB1486" s="20">
        <v>-3362.88</v>
      </c>
      <c r="AC1486" s="20">
        <v>5102.88</v>
      </c>
    </row>
    <row r="1487" spans="1:29" x14ac:dyDescent="0.25">
      <c r="A1487" s="20" t="s">
        <v>1517</v>
      </c>
      <c r="B1487" s="20" t="s">
        <v>2191</v>
      </c>
      <c r="C1487" s="20">
        <v>0</v>
      </c>
      <c r="AA1487" s="20" t="s">
        <v>1759</v>
      </c>
      <c r="AB1487" s="20">
        <v>-118.33</v>
      </c>
      <c r="AC1487" s="20">
        <v>0</v>
      </c>
    </row>
    <row r="1488" spans="1:29" x14ac:dyDescent="0.25">
      <c r="A1488" s="20" t="s">
        <v>1894</v>
      </c>
      <c r="B1488" s="20" t="s">
        <v>2191</v>
      </c>
      <c r="C1488" s="20">
        <v>0</v>
      </c>
      <c r="AA1488" s="20" t="s">
        <v>822</v>
      </c>
      <c r="AB1488" s="20">
        <v>65420</v>
      </c>
      <c r="AC1488" s="20">
        <v>14344.97</v>
      </c>
    </row>
    <row r="1489" spans="1:29" x14ac:dyDescent="0.25">
      <c r="A1489" s="20" t="s">
        <v>1292</v>
      </c>
      <c r="B1489" s="20" t="s">
        <v>2191</v>
      </c>
      <c r="C1489" s="20">
        <v>0</v>
      </c>
      <c r="AA1489" s="20" t="s">
        <v>1043</v>
      </c>
      <c r="AB1489" s="20">
        <v>-600.88</v>
      </c>
      <c r="AC1489" s="20">
        <v>90361.5</v>
      </c>
    </row>
    <row r="1490" spans="1:29" x14ac:dyDescent="0.25">
      <c r="A1490" s="20" t="s">
        <v>303</v>
      </c>
      <c r="B1490" s="20" t="s">
        <v>2191</v>
      </c>
      <c r="C1490" s="20">
        <v>46807.37</v>
      </c>
      <c r="AA1490" s="20" t="s">
        <v>1494</v>
      </c>
      <c r="AB1490" s="20">
        <v>-302.89999999999998</v>
      </c>
      <c r="AC1490" s="20">
        <v>1939.62</v>
      </c>
    </row>
    <row r="1491" spans="1:29" x14ac:dyDescent="0.25">
      <c r="A1491" s="20" t="s">
        <v>1293</v>
      </c>
      <c r="B1491" s="20" t="s">
        <v>2191</v>
      </c>
      <c r="C1491" s="20">
        <v>0</v>
      </c>
      <c r="AA1491" s="20" t="s">
        <v>408</v>
      </c>
      <c r="AB1491" s="20">
        <v>-136424.92000000001</v>
      </c>
      <c r="AC1491" s="20">
        <v>561166.73</v>
      </c>
    </row>
    <row r="1492" spans="1:29" x14ac:dyDescent="0.25">
      <c r="A1492" s="20" t="s">
        <v>492</v>
      </c>
      <c r="B1492" s="20" t="s">
        <v>2191</v>
      </c>
      <c r="C1492" s="20">
        <v>0</v>
      </c>
      <c r="AA1492" s="20" t="s">
        <v>546</v>
      </c>
      <c r="AB1492" s="20">
        <v>466.09</v>
      </c>
      <c r="AC1492" s="20">
        <v>8170.41</v>
      </c>
    </row>
    <row r="1493" spans="1:29" x14ac:dyDescent="0.25">
      <c r="A1493" s="20" t="s">
        <v>305</v>
      </c>
      <c r="B1493" s="20" t="s">
        <v>2191</v>
      </c>
      <c r="C1493" s="20">
        <v>0</v>
      </c>
      <c r="AA1493" s="20" t="s">
        <v>1241</v>
      </c>
      <c r="AB1493" s="20">
        <v>147984.70000000001</v>
      </c>
      <c r="AC1493" s="20">
        <v>418219.25</v>
      </c>
    </row>
    <row r="1494" spans="1:29" x14ac:dyDescent="0.25">
      <c r="A1494" s="20" t="s">
        <v>1295</v>
      </c>
      <c r="B1494" s="20" t="s">
        <v>2191</v>
      </c>
      <c r="C1494" s="20">
        <v>0</v>
      </c>
      <c r="AA1494" s="20" t="s">
        <v>548</v>
      </c>
      <c r="AB1494" s="20">
        <v>1.73</v>
      </c>
      <c r="AC1494" s="20">
        <v>9002.27</v>
      </c>
    </row>
    <row r="1495" spans="1:29" x14ac:dyDescent="0.25">
      <c r="A1495" s="20" t="s">
        <v>307</v>
      </c>
      <c r="B1495" s="20" t="s">
        <v>2191</v>
      </c>
      <c r="C1495" s="20">
        <v>0</v>
      </c>
      <c r="AA1495" s="20" t="s">
        <v>387</v>
      </c>
      <c r="AB1495" s="20">
        <v>5660.84</v>
      </c>
      <c r="AC1495" s="20">
        <v>44725.78</v>
      </c>
    </row>
    <row r="1496" spans="1:29" x14ac:dyDescent="0.25">
      <c r="A1496" s="20" t="s">
        <v>1227</v>
      </c>
      <c r="B1496" s="20" t="s">
        <v>2191</v>
      </c>
      <c r="C1496" s="20">
        <v>0</v>
      </c>
      <c r="AA1496" s="20" t="s">
        <v>1179</v>
      </c>
      <c r="AB1496" s="20">
        <v>-460.57</v>
      </c>
      <c r="AC1496" s="20">
        <v>95496.35</v>
      </c>
    </row>
    <row r="1497" spans="1:29" x14ac:dyDescent="0.25">
      <c r="A1497" s="20" t="s">
        <v>493</v>
      </c>
      <c r="B1497" s="20" t="s">
        <v>2191</v>
      </c>
      <c r="C1497" s="20">
        <v>0</v>
      </c>
      <c r="AA1497" s="20" t="s">
        <v>2954</v>
      </c>
      <c r="AB1497" s="20">
        <v>0</v>
      </c>
      <c r="AC1497" s="20">
        <v>0</v>
      </c>
    </row>
    <row r="1498" spans="1:29" x14ac:dyDescent="0.25">
      <c r="A1498" s="20" t="s">
        <v>309</v>
      </c>
      <c r="B1498" s="20" t="s">
        <v>2191</v>
      </c>
      <c r="C1498" s="20">
        <v>0</v>
      </c>
      <c r="AA1498" s="20" t="s">
        <v>826</v>
      </c>
      <c r="AB1498" s="20">
        <v>-2194.61</v>
      </c>
      <c r="AC1498" s="20">
        <v>1655.06</v>
      </c>
    </row>
    <row r="1499" spans="1:29" x14ac:dyDescent="0.25">
      <c r="A1499" s="20" t="s">
        <v>123</v>
      </c>
      <c r="B1499" s="20" t="s">
        <v>2191</v>
      </c>
      <c r="C1499" s="20">
        <v>0</v>
      </c>
      <c r="AA1499" s="20" t="s">
        <v>1760</v>
      </c>
      <c r="AB1499" s="20">
        <v>5675.42</v>
      </c>
      <c r="AC1499" s="20">
        <v>80283.63</v>
      </c>
    </row>
    <row r="1500" spans="1:29" x14ac:dyDescent="0.25">
      <c r="A1500" s="20" t="s">
        <v>1014</v>
      </c>
      <c r="B1500" s="20" t="s">
        <v>2191</v>
      </c>
      <c r="C1500" s="20">
        <v>0</v>
      </c>
      <c r="AA1500" s="20" t="s">
        <v>3321</v>
      </c>
      <c r="AB1500" s="20">
        <v>0</v>
      </c>
      <c r="AC1500" s="20">
        <v>0</v>
      </c>
    </row>
    <row r="1501" spans="1:29" x14ac:dyDescent="0.25">
      <c r="A1501" s="20" t="s">
        <v>633</v>
      </c>
      <c r="B1501" s="20" t="s">
        <v>2191</v>
      </c>
      <c r="C1501" s="20">
        <v>2759.05</v>
      </c>
      <c r="AA1501" s="20" t="s">
        <v>354</v>
      </c>
      <c r="AB1501" s="20">
        <v>351.14</v>
      </c>
      <c r="AC1501" s="20">
        <v>52138.75</v>
      </c>
    </row>
    <row r="1502" spans="1:29" x14ac:dyDescent="0.25">
      <c r="A1502" s="20" t="s">
        <v>1228</v>
      </c>
      <c r="B1502" s="20" t="s">
        <v>2191</v>
      </c>
      <c r="C1502" s="20">
        <v>0</v>
      </c>
      <c r="AA1502" s="20" t="s">
        <v>762</v>
      </c>
      <c r="AB1502" s="20">
        <v>0</v>
      </c>
      <c r="AC1502" s="20">
        <v>0</v>
      </c>
    </row>
    <row r="1503" spans="1:29" x14ac:dyDescent="0.25">
      <c r="A1503" s="20" t="s">
        <v>311</v>
      </c>
      <c r="B1503" s="20" t="s">
        <v>2191</v>
      </c>
      <c r="C1503" s="20">
        <v>0</v>
      </c>
      <c r="AA1503" s="20" t="s">
        <v>174</v>
      </c>
      <c r="AB1503" s="20">
        <v>0</v>
      </c>
      <c r="AC1503" s="20">
        <v>0</v>
      </c>
    </row>
    <row r="1504" spans="1:29" x14ac:dyDescent="0.25">
      <c r="A1504" s="20" t="s">
        <v>1980</v>
      </c>
      <c r="B1504" s="20" t="s">
        <v>2191</v>
      </c>
      <c r="C1504" s="20">
        <v>0</v>
      </c>
      <c r="AA1504" s="20" t="s">
        <v>498</v>
      </c>
      <c r="AB1504" s="20">
        <v>-1174.24</v>
      </c>
      <c r="AC1504" s="20">
        <v>83124.3</v>
      </c>
    </row>
    <row r="1505" spans="1:29" x14ac:dyDescent="0.25">
      <c r="A1505" s="20" t="s">
        <v>2181</v>
      </c>
      <c r="B1505" s="20" t="s">
        <v>2191</v>
      </c>
      <c r="C1505" s="20">
        <v>0</v>
      </c>
      <c r="AA1505" s="20" t="s">
        <v>1761</v>
      </c>
      <c r="AB1505" s="20">
        <v>124.47</v>
      </c>
      <c r="AC1505" s="20">
        <v>15682.49</v>
      </c>
    </row>
    <row r="1506" spans="1:29" x14ac:dyDescent="0.25">
      <c r="A1506" s="20" t="s">
        <v>1895</v>
      </c>
      <c r="B1506" s="20" t="s">
        <v>2191</v>
      </c>
      <c r="C1506" s="20">
        <v>0</v>
      </c>
      <c r="AA1506" s="20" t="s">
        <v>1762</v>
      </c>
      <c r="AB1506" s="20">
        <v>-1174.9100000000001</v>
      </c>
      <c r="AC1506" s="20">
        <v>20089.34</v>
      </c>
    </row>
    <row r="1507" spans="1:29" x14ac:dyDescent="0.25">
      <c r="A1507" s="20" t="s">
        <v>98</v>
      </c>
      <c r="B1507" s="20" t="s">
        <v>2191</v>
      </c>
      <c r="C1507" s="20">
        <v>0</v>
      </c>
      <c r="AA1507" s="20" t="s">
        <v>763</v>
      </c>
      <c r="AB1507" s="20">
        <v>206.52</v>
      </c>
      <c r="AC1507" s="20">
        <v>10246.94</v>
      </c>
    </row>
    <row r="1508" spans="1:29" x14ac:dyDescent="0.25">
      <c r="A1508" s="20" t="s">
        <v>1847</v>
      </c>
      <c r="B1508" s="20" t="s">
        <v>2191</v>
      </c>
      <c r="C1508" s="20">
        <v>0</v>
      </c>
      <c r="AA1508" s="20" t="s">
        <v>1399</v>
      </c>
      <c r="AB1508" s="20">
        <v>42154.17</v>
      </c>
      <c r="AC1508" s="20">
        <v>22611.57</v>
      </c>
    </row>
    <row r="1509" spans="1:29" x14ac:dyDescent="0.25">
      <c r="A1509" s="20" t="s">
        <v>1296</v>
      </c>
      <c r="B1509" s="20" t="s">
        <v>2191</v>
      </c>
      <c r="C1509" s="20">
        <v>71283.66</v>
      </c>
      <c r="AA1509" s="20" t="s">
        <v>1176</v>
      </c>
      <c r="AB1509" s="20">
        <v>-2060.63</v>
      </c>
      <c r="AC1509" s="20">
        <v>13704.5</v>
      </c>
    </row>
    <row r="1510" spans="1:29" x14ac:dyDescent="0.25">
      <c r="A1510" s="20" t="s">
        <v>1694</v>
      </c>
      <c r="B1510" s="20" t="s">
        <v>2191</v>
      </c>
      <c r="C1510" s="20">
        <v>0</v>
      </c>
      <c r="AA1510" s="20" t="s">
        <v>1763</v>
      </c>
      <c r="AB1510" s="20">
        <v>-539.79</v>
      </c>
      <c r="AC1510" s="20">
        <v>0</v>
      </c>
    </row>
    <row r="1511" spans="1:29" x14ac:dyDescent="0.25">
      <c r="A1511" s="20" t="s">
        <v>2879</v>
      </c>
      <c r="B1511" s="20" t="s">
        <v>2191</v>
      </c>
      <c r="C1511" s="20">
        <v>0</v>
      </c>
      <c r="AA1511" s="20" t="s">
        <v>948</v>
      </c>
      <c r="AB1511" s="20">
        <v>-480.22</v>
      </c>
      <c r="AC1511" s="20">
        <v>57574.99</v>
      </c>
    </row>
    <row r="1512" spans="1:29" x14ac:dyDescent="0.25">
      <c r="A1512" s="20" t="s">
        <v>495</v>
      </c>
      <c r="B1512" s="20" t="s">
        <v>2191</v>
      </c>
      <c r="C1512" s="20">
        <v>7168</v>
      </c>
      <c r="AA1512" s="20" t="s">
        <v>1872</v>
      </c>
      <c r="AB1512" s="20">
        <v>0</v>
      </c>
      <c r="AC1512" s="20">
        <v>0</v>
      </c>
    </row>
    <row r="1513" spans="1:29" x14ac:dyDescent="0.25">
      <c r="A1513" s="20" t="s">
        <v>1981</v>
      </c>
      <c r="B1513" s="20" t="s">
        <v>2191</v>
      </c>
      <c r="C1513" s="20">
        <v>0</v>
      </c>
      <c r="AA1513" s="20" t="s">
        <v>764</v>
      </c>
      <c r="AB1513" s="20">
        <v>9654.74</v>
      </c>
      <c r="AC1513" s="20">
        <v>6531.17</v>
      </c>
    </row>
    <row r="1514" spans="1:29" x14ac:dyDescent="0.25">
      <c r="A1514" s="20" t="s">
        <v>2081</v>
      </c>
      <c r="B1514" s="20" t="s">
        <v>2191</v>
      </c>
      <c r="C1514" s="20">
        <v>0</v>
      </c>
      <c r="AA1514" s="20" t="s">
        <v>2955</v>
      </c>
      <c r="AB1514" s="20">
        <v>29870.13</v>
      </c>
      <c r="AC1514" s="20">
        <v>15798.64</v>
      </c>
    </row>
    <row r="1515" spans="1:29" x14ac:dyDescent="0.25">
      <c r="A1515" s="20" t="s">
        <v>2182</v>
      </c>
      <c r="B1515" s="20" t="s">
        <v>2191</v>
      </c>
      <c r="C1515" s="20">
        <v>0</v>
      </c>
      <c r="AA1515" s="20" t="s">
        <v>830</v>
      </c>
      <c r="AB1515" s="20">
        <v>-202.55</v>
      </c>
      <c r="AC1515" s="20">
        <v>0</v>
      </c>
    </row>
    <row r="1516" spans="1:29" x14ac:dyDescent="0.25">
      <c r="A1516" s="20" t="s">
        <v>1297</v>
      </c>
      <c r="B1516" s="20" t="s">
        <v>2191</v>
      </c>
      <c r="C1516" s="20">
        <v>0</v>
      </c>
      <c r="AA1516" s="20" t="s">
        <v>1400</v>
      </c>
      <c r="AB1516" s="20">
        <v>3674.4</v>
      </c>
      <c r="AC1516" s="20">
        <v>122656.38</v>
      </c>
    </row>
    <row r="1517" spans="1:29" x14ac:dyDescent="0.25">
      <c r="A1517" s="20" t="s">
        <v>1695</v>
      </c>
      <c r="B1517" s="20" t="s">
        <v>2191</v>
      </c>
      <c r="C1517" s="20">
        <v>0</v>
      </c>
      <c r="AA1517" s="20" t="s">
        <v>1764</v>
      </c>
      <c r="AB1517" s="20">
        <v>-622.41999999999996</v>
      </c>
      <c r="AC1517" s="20">
        <v>0</v>
      </c>
    </row>
    <row r="1518" spans="1:29" x14ac:dyDescent="0.25">
      <c r="A1518" s="20" t="s">
        <v>497</v>
      </c>
      <c r="B1518" s="20" t="s">
        <v>2191</v>
      </c>
      <c r="C1518" s="20">
        <v>0</v>
      </c>
      <c r="AA1518" s="20" t="s">
        <v>175</v>
      </c>
      <c r="AB1518" s="20">
        <v>199.52</v>
      </c>
      <c r="AC1518" s="20">
        <v>10392.870000000001</v>
      </c>
    </row>
    <row r="1519" spans="1:29" x14ac:dyDescent="0.25">
      <c r="A1519" s="20" t="s">
        <v>1469</v>
      </c>
      <c r="B1519" s="20" t="s">
        <v>2191</v>
      </c>
      <c r="C1519" s="20">
        <v>0</v>
      </c>
      <c r="AA1519" s="20" t="s">
        <v>996</v>
      </c>
      <c r="AB1519" s="20">
        <v>17568.25</v>
      </c>
      <c r="AC1519" s="20">
        <v>358012.79</v>
      </c>
    </row>
    <row r="1520" spans="1:29" x14ac:dyDescent="0.25">
      <c r="A1520" s="20" t="s">
        <v>1696</v>
      </c>
      <c r="B1520" s="20" t="s">
        <v>2191</v>
      </c>
      <c r="C1520" s="20">
        <v>0</v>
      </c>
      <c r="AA1520" s="20" t="s">
        <v>360</v>
      </c>
      <c r="AB1520" s="20">
        <v>1077.1500000000001</v>
      </c>
      <c r="AC1520" s="20">
        <v>25697.919999999998</v>
      </c>
    </row>
    <row r="1521" spans="1:29" x14ac:dyDescent="0.25">
      <c r="A1521" s="20" t="s">
        <v>1697</v>
      </c>
      <c r="B1521" s="20" t="s">
        <v>2191</v>
      </c>
      <c r="C1521" s="20">
        <v>0</v>
      </c>
      <c r="AA1521" s="20" t="s">
        <v>1532</v>
      </c>
      <c r="AB1521" s="20">
        <v>46632.65</v>
      </c>
      <c r="AC1521" s="20">
        <v>69210.86</v>
      </c>
    </row>
    <row r="1522" spans="1:29" x14ac:dyDescent="0.25">
      <c r="A1522" s="20" t="s">
        <v>2880</v>
      </c>
      <c r="B1522" s="20" t="s">
        <v>2191</v>
      </c>
      <c r="C1522" s="20">
        <v>0</v>
      </c>
      <c r="AA1522" s="20" t="s">
        <v>1402</v>
      </c>
      <c r="AB1522" s="20">
        <v>220680.98</v>
      </c>
      <c r="AC1522" s="20">
        <v>463194.17</v>
      </c>
    </row>
    <row r="1523" spans="1:29" x14ac:dyDescent="0.25">
      <c r="A1523" s="20" t="s">
        <v>499</v>
      </c>
      <c r="B1523" s="20" t="s">
        <v>2191</v>
      </c>
      <c r="C1523" s="20">
        <v>0</v>
      </c>
      <c r="AA1523" s="20" t="s">
        <v>506</v>
      </c>
      <c r="AB1523" s="20">
        <v>-431.7</v>
      </c>
      <c r="AC1523" s="20">
        <v>8203.6299999999992</v>
      </c>
    </row>
    <row r="1524" spans="1:29" x14ac:dyDescent="0.25">
      <c r="A1524" s="20" t="s">
        <v>2881</v>
      </c>
      <c r="B1524" s="20" t="s">
        <v>2191</v>
      </c>
      <c r="C1524" s="20">
        <v>0</v>
      </c>
      <c r="AA1524" s="20" t="s">
        <v>1178</v>
      </c>
      <c r="AB1524" s="20">
        <v>33329.800000000003</v>
      </c>
      <c r="AC1524" s="20">
        <v>164719.9</v>
      </c>
    </row>
    <row r="1525" spans="1:29" x14ac:dyDescent="0.25">
      <c r="A1525" s="20" t="s">
        <v>2183</v>
      </c>
      <c r="B1525" s="20" t="s">
        <v>2191</v>
      </c>
      <c r="C1525" s="20">
        <v>0</v>
      </c>
      <c r="AA1525" s="20" t="s">
        <v>1765</v>
      </c>
      <c r="AB1525" s="20">
        <v>-5251.41</v>
      </c>
      <c r="AC1525" s="20">
        <v>0</v>
      </c>
    </row>
    <row r="1526" spans="1:29" x14ac:dyDescent="0.25">
      <c r="A1526" s="20" t="s">
        <v>2882</v>
      </c>
      <c r="B1526" s="20" t="s">
        <v>2191</v>
      </c>
      <c r="C1526" s="20">
        <v>0</v>
      </c>
      <c r="AA1526" s="20" t="s">
        <v>3296</v>
      </c>
      <c r="AB1526" s="20">
        <v>0</v>
      </c>
      <c r="AC1526" s="20">
        <v>0</v>
      </c>
    </row>
    <row r="1527" spans="1:29" x14ac:dyDescent="0.25">
      <c r="A1527" s="20" t="s">
        <v>2883</v>
      </c>
      <c r="B1527" s="20" t="s">
        <v>2191</v>
      </c>
      <c r="C1527" s="20">
        <v>0</v>
      </c>
      <c r="AA1527" s="20" t="s">
        <v>1766</v>
      </c>
      <c r="AB1527" s="20">
        <v>-1334.68</v>
      </c>
      <c r="AC1527" s="20">
        <v>0</v>
      </c>
    </row>
    <row r="1528" spans="1:29" x14ac:dyDescent="0.25">
      <c r="A1528" s="20" t="s">
        <v>2884</v>
      </c>
      <c r="B1528" s="20" t="s">
        <v>2191</v>
      </c>
      <c r="C1528" s="20">
        <v>0</v>
      </c>
      <c r="AA1528" s="20" t="s">
        <v>1767</v>
      </c>
      <c r="AB1528" s="20">
        <v>-293.39</v>
      </c>
      <c r="AC1528" s="20">
        <v>0</v>
      </c>
    </row>
    <row r="1529" spans="1:29" x14ac:dyDescent="0.25">
      <c r="A1529" s="20" t="s">
        <v>1015</v>
      </c>
      <c r="B1529" s="20" t="s">
        <v>2191</v>
      </c>
      <c r="C1529" s="20">
        <v>0</v>
      </c>
      <c r="AA1529" s="20" t="s">
        <v>222</v>
      </c>
      <c r="AB1529" s="20">
        <v>111072.8</v>
      </c>
      <c r="AC1529" s="20">
        <v>227567.68</v>
      </c>
    </row>
    <row r="1530" spans="1:29" x14ac:dyDescent="0.25">
      <c r="A1530" s="20" t="s">
        <v>312</v>
      </c>
      <c r="B1530" s="20" t="s">
        <v>2191</v>
      </c>
      <c r="C1530" s="20">
        <v>0</v>
      </c>
      <c r="AA1530" s="20" t="s">
        <v>766</v>
      </c>
      <c r="AB1530" s="20">
        <v>3413.58</v>
      </c>
      <c r="AC1530" s="20">
        <v>37517.360000000001</v>
      </c>
    </row>
    <row r="1531" spans="1:29" x14ac:dyDescent="0.25">
      <c r="A1531" s="20" t="s">
        <v>2885</v>
      </c>
      <c r="B1531" s="20" t="s">
        <v>2191</v>
      </c>
      <c r="C1531" s="20">
        <v>0</v>
      </c>
      <c r="AA1531" s="20" t="s">
        <v>556</v>
      </c>
      <c r="AB1531" s="20">
        <v>-6244.92</v>
      </c>
      <c r="AC1531" s="20">
        <v>0</v>
      </c>
    </row>
    <row r="1532" spans="1:29" x14ac:dyDescent="0.25">
      <c r="A1532" s="20" t="s">
        <v>1982</v>
      </c>
      <c r="B1532" s="20" t="s">
        <v>2191</v>
      </c>
      <c r="C1532" s="20">
        <v>0</v>
      </c>
      <c r="AA1532" s="20" t="s">
        <v>1180</v>
      </c>
      <c r="AB1532" s="20">
        <v>-248.58</v>
      </c>
      <c r="AC1532" s="20">
        <v>2461.4</v>
      </c>
    </row>
    <row r="1533" spans="1:29" x14ac:dyDescent="0.25">
      <c r="A1533" s="20" t="s">
        <v>1131</v>
      </c>
      <c r="B1533" s="20" t="s">
        <v>2191</v>
      </c>
      <c r="C1533" s="20">
        <v>0</v>
      </c>
      <c r="AA1533" s="20" t="s">
        <v>949</v>
      </c>
      <c r="AB1533" s="20">
        <v>365.44</v>
      </c>
      <c r="AC1533" s="20">
        <v>13115.05</v>
      </c>
    </row>
    <row r="1534" spans="1:29" x14ac:dyDescent="0.25">
      <c r="A1534" s="20" t="s">
        <v>1864</v>
      </c>
      <c r="B1534" s="20" t="s">
        <v>2191</v>
      </c>
      <c r="C1534" s="20">
        <v>0</v>
      </c>
      <c r="AA1534" s="20" t="s">
        <v>1768</v>
      </c>
      <c r="AB1534" s="20">
        <v>-87.35</v>
      </c>
      <c r="AC1534" s="20">
        <v>0</v>
      </c>
    </row>
    <row r="1535" spans="1:29" x14ac:dyDescent="0.25">
      <c r="A1535" s="20" t="s">
        <v>1016</v>
      </c>
      <c r="B1535" s="20" t="s">
        <v>2191</v>
      </c>
      <c r="C1535" s="20">
        <v>0</v>
      </c>
      <c r="AA1535" s="20" t="s">
        <v>1769</v>
      </c>
      <c r="AB1535" s="20">
        <v>916.3</v>
      </c>
      <c r="AC1535" s="20">
        <v>47082.65</v>
      </c>
    </row>
    <row r="1536" spans="1:29" x14ac:dyDescent="0.25">
      <c r="A1536" s="20" t="s">
        <v>2886</v>
      </c>
      <c r="B1536" s="20" t="s">
        <v>2191</v>
      </c>
      <c r="C1536" s="20">
        <v>0</v>
      </c>
      <c r="AA1536" s="20" t="s">
        <v>3158</v>
      </c>
      <c r="AB1536" s="20">
        <v>169.31</v>
      </c>
      <c r="AC1536" s="20">
        <v>8426.84</v>
      </c>
    </row>
    <row r="1537" spans="1:29" x14ac:dyDescent="0.25">
      <c r="A1537" s="20" t="s">
        <v>2054</v>
      </c>
      <c r="B1537" s="20" t="s">
        <v>2191</v>
      </c>
      <c r="C1537" s="20">
        <v>0</v>
      </c>
      <c r="AA1537" s="20" t="s">
        <v>1405</v>
      </c>
      <c r="AB1537" s="20">
        <v>142742.41</v>
      </c>
      <c r="AC1537" s="20">
        <v>325624.15000000002</v>
      </c>
    </row>
    <row r="1538" spans="1:29" x14ac:dyDescent="0.25">
      <c r="A1538" s="20" t="s">
        <v>2887</v>
      </c>
      <c r="B1538" s="20" t="s">
        <v>2191</v>
      </c>
      <c r="C1538" s="20">
        <v>0</v>
      </c>
      <c r="AA1538" s="20" t="s">
        <v>559</v>
      </c>
      <c r="AB1538" s="20">
        <v>-8313.67</v>
      </c>
      <c r="AC1538" s="20">
        <v>1576.46</v>
      </c>
    </row>
    <row r="1539" spans="1:29" x14ac:dyDescent="0.25">
      <c r="A1539" s="20" t="s">
        <v>2888</v>
      </c>
      <c r="B1539" s="20" t="s">
        <v>2191</v>
      </c>
      <c r="C1539" s="20">
        <v>0</v>
      </c>
      <c r="AA1539" s="20" t="s">
        <v>832</v>
      </c>
      <c r="AB1539" s="20">
        <v>-4443.63</v>
      </c>
      <c r="AC1539" s="20">
        <v>933.93</v>
      </c>
    </row>
    <row r="1540" spans="1:29" x14ac:dyDescent="0.25">
      <c r="A1540" s="20" t="s">
        <v>1299</v>
      </c>
      <c r="B1540" s="20" t="s">
        <v>2191</v>
      </c>
      <c r="C1540" s="20">
        <v>0</v>
      </c>
      <c r="AA1540" s="20" t="s">
        <v>177</v>
      </c>
      <c r="AB1540" s="20">
        <v>0</v>
      </c>
      <c r="AC1540" s="20">
        <v>0</v>
      </c>
    </row>
    <row r="1541" spans="1:29" x14ac:dyDescent="0.25">
      <c r="A1541" s="20" t="s">
        <v>808</v>
      </c>
      <c r="B1541" s="20" t="s">
        <v>2191</v>
      </c>
      <c r="C1541" s="20">
        <v>0</v>
      </c>
      <c r="AA1541" s="20" t="s">
        <v>1326</v>
      </c>
      <c r="AB1541" s="20">
        <v>61626.61</v>
      </c>
      <c r="AC1541" s="20">
        <v>154246.34</v>
      </c>
    </row>
    <row r="1542" spans="1:29" x14ac:dyDescent="0.25">
      <c r="A1542" s="20" t="s">
        <v>1300</v>
      </c>
      <c r="B1542" s="20" t="s">
        <v>2191</v>
      </c>
      <c r="C1542" s="20">
        <v>0</v>
      </c>
      <c r="AA1542" s="20" t="s">
        <v>1182</v>
      </c>
      <c r="AB1542" s="20">
        <v>-2626.63</v>
      </c>
      <c r="AC1542" s="20">
        <v>26581.22</v>
      </c>
    </row>
    <row r="1543" spans="1:29" x14ac:dyDescent="0.25">
      <c r="A1543" s="20" t="s">
        <v>2889</v>
      </c>
      <c r="B1543" s="20" t="s">
        <v>2191</v>
      </c>
      <c r="C1543" s="20">
        <v>0</v>
      </c>
      <c r="AA1543" s="20" t="s">
        <v>1183</v>
      </c>
      <c r="AB1543" s="20">
        <v>3314.67</v>
      </c>
      <c r="AC1543" s="20">
        <v>11877.67</v>
      </c>
    </row>
    <row r="1544" spans="1:29" x14ac:dyDescent="0.25">
      <c r="A1544" s="20" t="s">
        <v>723</v>
      </c>
      <c r="B1544" s="20" t="s">
        <v>2191</v>
      </c>
      <c r="C1544" s="20">
        <v>23761.01</v>
      </c>
      <c r="AA1544" s="20" t="s">
        <v>1327</v>
      </c>
      <c r="AB1544" s="20">
        <v>81.39</v>
      </c>
      <c r="AC1544" s="20">
        <v>51416.75</v>
      </c>
    </row>
    <row r="1545" spans="1:29" x14ac:dyDescent="0.25">
      <c r="A1545" s="20" t="s">
        <v>2055</v>
      </c>
      <c r="B1545" s="20" t="s">
        <v>2191</v>
      </c>
      <c r="C1545" s="20">
        <v>0</v>
      </c>
      <c r="AA1545" s="20" t="s">
        <v>1184</v>
      </c>
      <c r="AB1545" s="20">
        <v>-182</v>
      </c>
      <c r="AC1545" s="20">
        <v>0</v>
      </c>
    </row>
    <row r="1546" spans="1:29" x14ac:dyDescent="0.25">
      <c r="A1546" s="20" t="s">
        <v>126</v>
      </c>
      <c r="B1546" s="20" t="s">
        <v>2191</v>
      </c>
      <c r="C1546" s="20">
        <v>0</v>
      </c>
      <c r="AA1546" s="20" t="s">
        <v>2956</v>
      </c>
      <c r="AB1546" s="20">
        <v>-729.58</v>
      </c>
      <c r="AC1546" s="20">
        <v>0</v>
      </c>
    </row>
    <row r="1547" spans="1:29" x14ac:dyDescent="0.25">
      <c r="A1547" s="20" t="s">
        <v>2890</v>
      </c>
      <c r="B1547" s="20" t="s">
        <v>2191</v>
      </c>
      <c r="C1547" s="20">
        <v>0</v>
      </c>
      <c r="AA1547" s="20" t="s">
        <v>2957</v>
      </c>
      <c r="AB1547" s="20">
        <v>-1175.4000000000001</v>
      </c>
      <c r="AC1547" s="20">
        <v>12882.23</v>
      </c>
    </row>
    <row r="1548" spans="1:29" x14ac:dyDescent="0.25">
      <c r="A1548" s="20" t="s">
        <v>2891</v>
      </c>
      <c r="B1548" s="20" t="s">
        <v>2191</v>
      </c>
      <c r="C1548" s="20">
        <v>0</v>
      </c>
      <c r="AA1548" s="20" t="s">
        <v>957</v>
      </c>
      <c r="AB1548" s="20">
        <v>8402.4599999999991</v>
      </c>
      <c r="AC1548" s="20">
        <v>173755.69</v>
      </c>
    </row>
    <row r="1549" spans="1:29" x14ac:dyDescent="0.25">
      <c r="A1549" s="20" t="s">
        <v>2892</v>
      </c>
      <c r="B1549" s="20" t="s">
        <v>2191</v>
      </c>
      <c r="C1549" s="20">
        <v>0</v>
      </c>
      <c r="AA1549" s="20" t="s">
        <v>1046</v>
      </c>
      <c r="AB1549" s="20">
        <v>-1814.64</v>
      </c>
      <c r="AC1549" s="20">
        <v>7458.47</v>
      </c>
    </row>
    <row r="1550" spans="1:29" x14ac:dyDescent="0.25">
      <c r="A1550" s="20" t="s">
        <v>1302</v>
      </c>
      <c r="B1550" s="20" t="s">
        <v>2191</v>
      </c>
      <c r="C1550" s="20">
        <v>0</v>
      </c>
      <c r="AA1550" s="20" t="s">
        <v>1244</v>
      </c>
      <c r="AB1550" s="20">
        <v>4.3</v>
      </c>
      <c r="AC1550" s="20">
        <v>8285.01</v>
      </c>
    </row>
    <row r="1551" spans="1:29" x14ac:dyDescent="0.25">
      <c r="A1551" s="20" t="s">
        <v>127</v>
      </c>
      <c r="B1551" s="20" t="s">
        <v>2191</v>
      </c>
      <c r="C1551" s="20">
        <v>0</v>
      </c>
      <c r="AA1551" s="20" t="s">
        <v>1770</v>
      </c>
      <c r="AB1551" s="20">
        <v>-61.9</v>
      </c>
      <c r="AC1551" s="20">
        <v>1363.41</v>
      </c>
    </row>
    <row r="1552" spans="1:29" x14ac:dyDescent="0.25">
      <c r="A1552" s="20" t="s">
        <v>1459</v>
      </c>
      <c r="B1552" s="20" t="s">
        <v>2191</v>
      </c>
      <c r="C1552" s="20">
        <v>24472.01</v>
      </c>
      <c r="AA1552" s="20" t="s">
        <v>1771</v>
      </c>
      <c r="AB1552" s="20">
        <v>-1213.47</v>
      </c>
      <c r="AC1552" s="20">
        <v>0</v>
      </c>
    </row>
    <row r="1553" spans="1:29" x14ac:dyDescent="0.25">
      <c r="A1553" s="20" t="s">
        <v>1983</v>
      </c>
      <c r="B1553" s="20" t="s">
        <v>2191</v>
      </c>
      <c r="C1553" s="20">
        <v>0</v>
      </c>
      <c r="AA1553" s="20" t="s">
        <v>1407</v>
      </c>
      <c r="AB1553" s="20">
        <v>222080.77</v>
      </c>
      <c r="AC1553" s="20">
        <v>1091389.3799999999</v>
      </c>
    </row>
    <row r="1554" spans="1:29" x14ac:dyDescent="0.25">
      <c r="A1554" s="20" t="s">
        <v>2056</v>
      </c>
      <c r="B1554" s="20" t="s">
        <v>2191</v>
      </c>
      <c r="C1554" s="20">
        <v>0</v>
      </c>
      <c r="AA1554" s="20" t="s">
        <v>768</v>
      </c>
      <c r="AB1554" s="20">
        <v>7170.49</v>
      </c>
      <c r="AC1554" s="20">
        <v>174894.67</v>
      </c>
    </row>
    <row r="1555" spans="1:29" x14ac:dyDescent="0.25">
      <c r="A1555" s="20" t="s">
        <v>2893</v>
      </c>
      <c r="B1555" s="20" t="s">
        <v>2191</v>
      </c>
      <c r="C1555" s="20">
        <v>0</v>
      </c>
      <c r="AA1555" s="20" t="s">
        <v>770</v>
      </c>
      <c r="AB1555" s="20">
        <v>-46.78</v>
      </c>
      <c r="AC1555" s="20">
        <v>0</v>
      </c>
    </row>
    <row r="1556" spans="1:29" x14ac:dyDescent="0.25">
      <c r="A1556" s="20" t="s">
        <v>2894</v>
      </c>
      <c r="B1556" s="20" t="s">
        <v>2191</v>
      </c>
      <c r="C1556" s="20">
        <v>0</v>
      </c>
      <c r="AA1556" s="20" t="s">
        <v>734</v>
      </c>
      <c r="AB1556" s="20">
        <v>17113.71</v>
      </c>
      <c r="AC1556" s="20">
        <v>122521.06</v>
      </c>
    </row>
    <row r="1557" spans="1:29" x14ac:dyDescent="0.25">
      <c r="A1557" s="20" t="s">
        <v>1848</v>
      </c>
      <c r="B1557" s="20" t="s">
        <v>2191</v>
      </c>
      <c r="C1557" s="20">
        <v>0</v>
      </c>
      <c r="AA1557" s="20" t="s">
        <v>364</v>
      </c>
      <c r="AB1557" s="20">
        <v>-5163.84</v>
      </c>
      <c r="AC1557" s="20">
        <v>13494.44</v>
      </c>
    </row>
    <row r="1558" spans="1:29" x14ac:dyDescent="0.25">
      <c r="A1558" s="20" t="s">
        <v>2895</v>
      </c>
      <c r="B1558" s="20" t="s">
        <v>2191</v>
      </c>
      <c r="C1558" s="20">
        <v>0</v>
      </c>
      <c r="AA1558" s="20" t="s">
        <v>1498</v>
      </c>
      <c r="AB1558" s="20">
        <v>-1418.54</v>
      </c>
      <c r="AC1558" s="20">
        <v>6631.54</v>
      </c>
    </row>
    <row r="1559" spans="1:29" x14ac:dyDescent="0.25">
      <c r="A1559" s="20" t="s">
        <v>2896</v>
      </c>
      <c r="B1559" s="20" t="s">
        <v>2191</v>
      </c>
      <c r="C1559" s="20">
        <v>0</v>
      </c>
      <c r="AA1559" s="20" t="s">
        <v>1773</v>
      </c>
      <c r="AB1559" s="20">
        <v>15326.21</v>
      </c>
      <c r="AC1559" s="20">
        <v>5621.7</v>
      </c>
    </row>
    <row r="1560" spans="1:29" x14ac:dyDescent="0.25">
      <c r="A1560" s="20" t="s">
        <v>2057</v>
      </c>
      <c r="B1560" s="20" t="s">
        <v>2191</v>
      </c>
      <c r="C1560" s="20">
        <v>0</v>
      </c>
      <c r="AA1560" s="20" t="s">
        <v>771</v>
      </c>
      <c r="AB1560" s="20">
        <v>-591.23</v>
      </c>
      <c r="AC1560" s="20">
        <v>1692.59</v>
      </c>
    </row>
    <row r="1561" spans="1:29" x14ac:dyDescent="0.25">
      <c r="A1561" s="20" t="s">
        <v>1018</v>
      </c>
      <c r="B1561" s="20" t="s">
        <v>2191</v>
      </c>
      <c r="C1561" s="20">
        <v>0</v>
      </c>
      <c r="AA1561" s="20" t="s">
        <v>223</v>
      </c>
      <c r="AB1561" s="20">
        <v>-10637.19</v>
      </c>
      <c r="AC1561" s="20">
        <v>23297.279999999999</v>
      </c>
    </row>
    <row r="1562" spans="1:29" x14ac:dyDescent="0.25">
      <c r="A1562" s="20" t="s">
        <v>1698</v>
      </c>
      <c r="B1562" s="20" t="s">
        <v>2191</v>
      </c>
      <c r="C1562" s="20">
        <v>0</v>
      </c>
      <c r="AA1562" s="20" t="s">
        <v>1129</v>
      </c>
      <c r="AB1562" s="20">
        <v>-3179.31</v>
      </c>
      <c r="AC1562" s="20">
        <v>24117.34</v>
      </c>
    </row>
    <row r="1563" spans="1:29" x14ac:dyDescent="0.25">
      <c r="A1563" s="20" t="s">
        <v>1865</v>
      </c>
      <c r="B1563" s="20" t="s">
        <v>2191</v>
      </c>
      <c r="C1563" s="20">
        <v>0</v>
      </c>
      <c r="AA1563" s="20" t="s">
        <v>834</v>
      </c>
      <c r="AB1563" s="20">
        <v>-115753.32</v>
      </c>
      <c r="AC1563" s="20">
        <v>266927.17</v>
      </c>
    </row>
    <row r="1564" spans="1:29" x14ac:dyDescent="0.25">
      <c r="A1564" s="20" t="s">
        <v>502</v>
      </c>
      <c r="B1564" s="20" t="s">
        <v>2191</v>
      </c>
      <c r="C1564" s="20">
        <v>0</v>
      </c>
      <c r="AA1564" s="20" t="s">
        <v>507</v>
      </c>
      <c r="AB1564" s="20">
        <v>708.9</v>
      </c>
      <c r="AC1564" s="20">
        <v>49435.05</v>
      </c>
    </row>
    <row r="1565" spans="1:29" x14ac:dyDescent="0.25">
      <c r="A1565" s="20" t="s">
        <v>1020</v>
      </c>
      <c r="B1565" s="20" t="s">
        <v>2191</v>
      </c>
      <c r="C1565" s="20">
        <v>0</v>
      </c>
      <c r="AA1565" s="20" t="s">
        <v>1148</v>
      </c>
      <c r="AB1565" s="20">
        <v>-6592.07</v>
      </c>
      <c r="AC1565" s="20">
        <v>120379.02</v>
      </c>
    </row>
    <row r="1566" spans="1:29" x14ac:dyDescent="0.25">
      <c r="A1566" s="20" t="s">
        <v>2897</v>
      </c>
      <c r="B1566" s="20" t="s">
        <v>2191</v>
      </c>
      <c r="C1566" s="20">
        <v>0</v>
      </c>
      <c r="AA1566" s="20" t="s">
        <v>366</v>
      </c>
      <c r="AB1566" s="20">
        <v>-2372.42</v>
      </c>
      <c r="AC1566" s="20">
        <v>105908.04</v>
      </c>
    </row>
    <row r="1567" spans="1:29" x14ac:dyDescent="0.25">
      <c r="A1567" s="20" t="s">
        <v>2898</v>
      </c>
      <c r="B1567" s="20" t="s">
        <v>2191</v>
      </c>
      <c r="C1567" s="20">
        <v>0</v>
      </c>
      <c r="AA1567" s="20" t="s">
        <v>1499</v>
      </c>
      <c r="AB1567" s="20">
        <v>8291.57</v>
      </c>
      <c r="AC1567" s="20">
        <v>458664.28</v>
      </c>
    </row>
    <row r="1568" spans="1:29" x14ac:dyDescent="0.25">
      <c r="A1568" s="20" t="s">
        <v>2899</v>
      </c>
      <c r="B1568" s="20" t="s">
        <v>2191</v>
      </c>
      <c r="C1568" s="20">
        <v>0</v>
      </c>
      <c r="AA1568" s="20" t="s">
        <v>1500</v>
      </c>
      <c r="AB1568" s="20">
        <v>727.05</v>
      </c>
      <c r="AC1568" s="20">
        <v>7971.41</v>
      </c>
    </row>
    <row r="1569" spans="1:29" x14ac:dyDescent="0.25">
      <c r="A1569" s="20" t="s">
        <v>503</v>
      </c>
      <c r="B1569" s="20" t="s">
        <v>2191</v>
      </c>
      <c r="C1569" s="20">
        <v>0</v>
      </c>
      <c r="AA1569" s="20" t="s">
        <v>1774</v>
      </c>
      <c r="AB1569" s="20">
        <v>-679.48</v>
      </c>
      <c r="AC1569" s="20">
        <v>0</v>
      </c>
    </row>
    <row r="1570" spans="1:29" x14ac:dyDescent="0.25">
      <c r="A1570" s="20" t="s">
        <v>2900</v>
      </c>
      <c r="B1570" s="20" t="s">
        <v>2191</v>
      </c>
      <c r="C1570" s="20">
        <v>0</v>
      </c>
      <c r="AA1570" s="20" t="s">
        <v>1775</v>
      </c>
      <c r="AB1570" s="20">
        <v>-4708.8999999999996</v>
      </c>
      <c r="AC1570" s="20">
        <v>0</v>
      </c>
    </row>
    <row r="1571" spans="1:29" x14ac:dyDescent="0.25">
      <c r="A1571" s="20" t="s">
        <v>1896</v>
      </c>
      <c r="B1571" s="20" t="s">
        <v>2191</v>
      </c>
      <c r="C1571" s="20">
        <v>0</v>
      </c>
      <c r="AA1571" s="20" t="s">
        <v>1096</v>
      </c>
      <c r="AB1571" s="20">
        <v>22149.22</v>
      </c>
      <c r="AC1571" s="20">
        <v>345613.52</v>
      </c>
    </row>
    <row r="1572" spans="1:29" x14ac:dyDescent="0.25">
      <c r="A1572" s="20" t="s">
        <v>1984</v>
      </c>
      <c r="B1572" s="20" t="s">
        <v>2191</v>
      </c>
      <c r="C1572" s="20">
        <v>0</v>
      </c>
      <c r="AA1572" s="20" t="s">
        <v>664</v>
      </c>
      <c r="AB1572" s="20">
        <v>74645.84</v>
      </c>
      <c r="AC1572" s="20">
        <v>12157.79</v>
      </c>
    </row>
    <row r="1573" spans="1:29" x14ac:dyDescent="0.25">
      <c r="A1573" s="20" t="s">
        <v>924</v>
      </c>
      <c r="B1573" s="20" t="s">
        <v>2191</v>
      </c>
      <c r="C1573" s="20">
        <v>0</v>
      </c>
      <c r="AA1573" s="20" t="s">
        <v>772</v>
      </c>
      <c r="AB1573" s="20">
        <v>-313.01</v>
      </c>
      <c r="AC1573" s="20">
        <v>0</v>
      </c>
    </row>
    <row r="1574" spans="1:29" x14ac:dyDescent="0.25">
      <c r="A1574" s="20" t="s">
        <v>1985</v>
      </c>
      <c r="B1574" s="20" t="s">
        <v>2191</v>
      </c>
      <c r="C1574" s="20">
        <v>0</v>
      </c>
      <c r="AA1574" s="20" t="s">
        <v>1535</v>
      </c>
      <c r="AB1574" s="20">
        <v>-8235.32</v>
      </c>
      <c r="AC1574" s="20">
        <v>25030.49</v>
      </c>
    </row>
    <row r="1575" spans="1:29" x14ac:dyDescent="0.25">
      <c r="A1575" s="20" t="s">
        <v>2901</v>
      </c>
      <c r="B1575" s="20" t="s">
        <v>2191</v>
      </c>
      <c r="C1575" s="20">
        <v>0</v>
      </c>
      <c r="AA1575" s="20" t="s">
        <v>179</v>
      </c>
      <c r="AB1575" s="20">
        <v>-333.55</v>
      </c>
      <c r="AC1575" s="20">
        <v>13079.04</v>
      </c>
    </row>
    <row r="1576" spans="1:29" x14ac:dyDescent="0.25">
      <c r="A1576" s="20" t="s">
        <v>2902</v>
      </c>
      <c r="B1576" s="20" t="s">
        <v>2191</v>
      </c>
      <c r="C1576" s="20">
        <v>0</v>
      </c>
      <c r="AA1576" s="20" t="s">
        <v>1776</v>
      </c>
      <c r="AB1576" s="20">
        <v>-4738.17</v>
      </c>
      <c r="AC1576" s="20">
        <v>0</v>
      </c>
    </row>
    <row r="1577" spans="1:29" x14ac:dyDescent="0.25">
      <c r="A1577" s="20" t="s">
        <v>1986</v>
      </c>
      <c r="B1577" s="20" t="s">
        <v>2191</v>
      </c>
      <c r="C1577" s="20">
        <v>0</v>
      </c>
      <c r="AA1577" s="20" t="s">
        <v>1777</v>
      </c>
      <c r="AB1577" s="20">
        <v>-741.58</v>
      </c>
      <c r="AC1577" s="20">
        <v>0</v>
      </c>
    </row>
    <row r="1578" spans="1:29" x14ac:dyDescent="0.25">
      <c r="A1578" s="20" t="s">
        <v>2903</v>
      </c>
      <c r="B1578" s="20" t="s">
        <v>2191</v>
      </c>
      <c r="C1578" s="20">
        <v>0</v>
      </c>
      <c r="AA1578" s="20" t="s">
        <v>561</v>
      </c>
      <c r="AB1578" s="20">
        <v>-13779.33</v>
      </c>
      <c r="AC1578" s="20">
        <v>270951.44</v>
      </c>
    </row>
    <row r="1579" spans="1:29" x14ac:dyDescent="0.25">
      <c r="A1579" s="20" t="s">
        <v>2184</v>
      </c>
      <c r="B1579" s="20" t="s">
        <v>2191</v>
      </c>
      <c r="C1579" s="20">
        <v>0</v>
      </c>
      <c r="AA1579" s="20" t="s">
        <v>368</v>
      </c>
      <c r="AB1579" s="20">
        <v>113256.6</v>
      </c>
      <c r="AC1579" s="20">
        <v>106527.72</v>
      </c>
    </row>
    <row r="1580" spans="1:29" x14ac:dyDescent="0.25">
      <c r="A1580" s="20" t="s">
        <v>2185</v>
      </c>
      <c r="B1580" s="20" t="s">
        <v>2191</v>
      </c>
      <c r="C1580" s="20">
        <v>0</v>
      </c>
      <c r="AA1580" s="20" t="s">
        <v>937</v>
      </c>
      <c r="AB1580" s="20">
        <v>-14653.66</v>
      </c>
      <c r="AC1580" s="20">
        <v>562950.61</v>
      </c>
    </row>
    <row r="1581" spans="1:29" x14ac:dyDescent="0.25">
      <c r="A1581" s="20" t="s">
        <v>81</v>
      </c>
      <c r="B1581" s="20" t="s">
        <v>2191</v>
      </c>
      <c r="C1581" s="20">
        <v>6992</v>
      </c>
      <c r="AA1581" s="20" t="s">
        <v>1779</v>
      </c>
      <c r="AB1581" s="20">
        <v>-502.02</v>
      </c>
      <c r="AC1581" s="20">
        <v>0</v>
      </c>
    </row>
    <row r="1582" spans="1:29" x14ac:dyDescent="0.25">
      <c r="A1582" s="20" t="s">
        <v>128</v>
      </c>
      <c r="B1582" s="20" t="s">
        <v>2191</v>
      </c>
      <c r="C1582" s="20">
        <v>0</v>
      </c>
      <c r="AA1582" s="20" t="s">
        <v>1502</v>
      </c>
      <c r="AB1582" s="20">
        <v>79487.850000000006</v>
      </c>
      <c r="AC1582" s="20">
        <v>5450.03</v>
      </c>
    </row>
    <row r="1583" spans="1:29" x14ac:dyDescent="0.25">
      <c r="A1583" s="20" t="s">
        <v>2138</v>
      </c>
      <c r="B1583" s="20" t="s">
        <v>2191</v>
      </c>
      <c r="C1583" s="20">
        <v>0</v>
      </c>
      <c r="AA1583" s="20" t="s">
        <v>1536</v>
      </c>
      <c r="AB1583" s="20">
        <v>-838.23</v>
      </c>
      <c r="AC1583" s="20">
        <v>8004.04</v>
      </c>
    </row>
    <row r="1584" spans="1:29" x14ac:dyDescent="0.25">
      <c r="A1584" s="20" t="s">
        <v>1699</v>
      </c>
      <c r="B1584" s="20" t="s">
        <v>2191</v>
      </c>
      <c r="C1584" s="20">
        <v>0</v>
      </c>
      <c r="AA1584" s="20" t="s">
        <v>562</v>
      </c>
      <c r="AB1584" s="20">
        <v>183721.38</v>
      </c>
      <c r="AC1584" s="20">
        <v>416745.59</v>
      </c>
    </row>
    <row r="1585" spans="1:29" x14ac:dyDescent="0.25">
      <c r="A1585" s="20" t="s">
        <v>648</v>
      </c>
      <c r="B1585" s="20" t="s">
        <v>2191</v>
      </c>
      <c r="C1585" s="20">
        <v>3737</v>
      </c>
      <c r="AA1585" s="20" t="s">
        <v>563</v>
      </c>
      <c r="AB1585" s="20">
        <v>-3766.13</v>
      </c>
      <c r="AC1585" s="20">
        <v>17908.18</v>
      </c>
    </row>
    <row r="1586" spans="1:29" x14ac:dyDescent="0.25">
      <c r="A1586" s="20" t="s">
        <v>2904</v>
      </c>
      <c r="B1586" s="20" t="s">
        <v>2191</v>
      </c>
      <c r="C1586" s="20">
        <v>0</v>
      </c>
      <c r="AA1586" s="20" t="s">
        <v>965</v>
      </c>
      <c r="AB1586" s="20">
        <v>2923229.53</v>
      </c>
      <c r="AC1586" s="20">
        <v>1085199.72</v>
      </c>
    </row>
    <row r="1587" spans="1:29" x14ac:dyDescent="0.25">
      <c r="A1587" s="20" t="s">
        <v>1022</v>
      </c>
      <c r="B1587" s="20" t="s">
        <v>2191</v>
      </c>
      <c r="C1587" s="20">
        <v>0</v>
      </c>
      <c r="AA1587" s="20" t="s">
        <v>1329</v>
      </c>
      <c r="AB1587" s="20">
        <v>-3428.91</v>
      </c>
      <c r="AC1587" s="20">
        <v>5377.26</v>
      </c>
    </row>
    <row r="1588" spans="1:29" x14ac:dyDescent="0.25">
      <c r="A1588" s="20" t="s">
        <v>1866</v>
      </c>
      <c r="B1588" s="20" t="s">
        <v>2191</v>
      </c>
      <c r="C1588" s="20">
        <v>0</v>
      </c>
      <c r="AA1588" s="20" t="s">
        <v>773</v>
      </c>
      <c r="AB1588" s="20">
        <v>-181.2</v>
      </c>
      <c r="AC1588" s="20">
        <v>4462.47</v>
      </c>
    </row>
    <row r="1589" spans="1:29" x14ac:dyDescent="0.25">
      <c r="A1589" s="20" t="s">
        <v>172</v>
      </c>
      <c r="B1589" s="20" t="s">
        <v>2191</v>
      </c>
      <c r="C1589" s="20">
        <v>0</v>
      </c>
      <c r="AA1589" s="20" t="s">
        <v>1410</v>
      </c>
      <c r="AB1589" s="20">
        <v>-435.53</v>
      </c>
      <c r="AC1589" s="20">
        <v>36985.31</v>
      </c>
    </row>
    <row r="1590" spans="1:29" x14ac:dyDescent="0.25">
      <c r="A1590" s="20" t="s">
        <v>2905</v>
      </c>
      <c r="B1590" s="20" t="s">
        <v>2191</v>
      </c>
      <c r="C1590" s="20">
        <v>0</v>
      </c>
      <c r="AA1590" s="20" t="s">
        <v>1050</v>
      </c>
      <c r="AB1590" s="20">
        <v>-2485.81</v>
      </c>
      <c r="AC1590" s="20">
        <v>5769.56</v>
      </c>
    </row>
    <row r="1591" spans="1:29" x14ac:dyDescent="0.25">
      <c r="A1591" s="20" t="s">
        <v>505</v>
      </c>
      <c r="B1591" s="20" t="s">
        <v>2191</v>
      </c>
      <c r="C1591" s="20">
        <v>0</v>
      </c>
      <c r="AA1591" s="20" t="s">
        <v>1185</v>
      </c>
      <c r="AB1591" s="20">
        <v>-636.5</v>
      </c>
      <c r="AC1591" s="20">
        <v>68372.97</v>
      </c>
    </row>
    <row r="1592" spans="1:29" x14ac:dyDescent="0.25">
      <c r="A1592" s="20" t="s">
        <v>2906</v>
      </c>
      <c r="B1592" s="20" t="s">
        <v>2191</v>
      </c>
      <c r="C1592" s="20">
        <v>0</v>
      </c>
      <c r="AA1592" s="20" t="s">
        <v>97</v>
      </c>
      <c r="AB1592" s="20">
        <v>2043.31</v>
      </c>
      <c r="AC1592" s="20">
        <v>72848.38</v>
      </c>
    </row>
    <row r="1593" spans="1:29" x14ac:dyDescent="0.25">
      <c r="A1593" s="20" t="s">
        <v>1849</v>
      </c>
      <c r="B1593" s="20" t="s">
        <v>2191</v>
      </c>
      <c r="C1593" s="20">
        <v>0</v>
      </c>
      <c r="AA1593" s="20" t="s">
        <v>1780</v>
      </c>
      <c r="AB1593" s="20">
        <v>-2400.79</v>
      </c>
      <c r="AC1593" s="20">
        <v>0</v>
      </c>
    </row>
    <row r="1594" spans="1:29" x14ac:dyDescent="0.25">
      <c r="A1594" s="20" t="s">
        <v>926</v>
      </c>
      <c r="B1594" s="20" t="s">
        <v>2191</v>
      </c>
      <c r="C1594" s="20">
        <v>0</v>
      </c>
      <c r="AA1594" s="20" t="s">
        <v>2958</v>
      </c>
      <c r="AB1594" s="20">
        <v>-135.35</v>
      </c>
      <c r="AC1594" s="20">
        <v>0</v>
      </c>
    </row>
    <row r="1595" spans="1:29" x14ac:dyDescent="0.25">
      <c r="A1595" s="20" t="s">
        <v>2907</v>
      </c>
      <c r="B1595" s="20" t="s">
        <v>2191</v>
      </c>
      <c r="C1595" s="20">
        <v>0</v>
      </c>
      <c r="AA1595" s="20" t="s">
        <v>774</v>
      </c>
      <c r="AB1595" s="20">
        <v>1000.39</v>
      </c>
      <c r="AC1595" s="20">
        <v>34390.400000000001</v>
      </c>
    </row>
    <row r="1596" spans="1:29" x14ac:dyDescent="0.25">
      <c r="A1596" s="20" t="s">
        <v>1987</v>
      </c>
      <c r="B1596" s="20" t="s">
        <v>2191</v>
      </c>
      <c r="C1596" s="20">
        <v>0</v>
      </c>
      <c r="AA1596" s="20" t="s">
        <v>2959</v>
      </c>
      <c r="AB1596" s="20">
        <v>-274.63</v>
      </c>
      <c r="AC1596" s="20">
        <v>0</v>
      </c>
    </row>
    <row r="1597" spans="1:29" x14ac:dyDescent="0.25">
      <c r="A1597" s="20" t="s">
        <v>2908</v>
      </c>
      <c r="B1597" s="20" t="s">
        <v>2191</v>
      </c>
      <c r="C1597" s="20">
        <v>0</v>
      </c>
      <c r="AA1597" s="20" t="s">
        <v>1331</v>
      </c>
      <c r="AB1597" s="20">
        <v>2669.38</v>
      </c>
      <c r="AC1597" s="20">
        <v>41861.46</v>
      </c>
    </row>
    <row r="1598" spans="1:29" x14ac:dyDescent="0.25">
      <c r="A1598" s="20" t="s">
        <v>2082</v>
      </c>
      <c r="B1598" s="20" t="s">
        <v>2191</v>
      </c>
      <c r="C1598" s="20">
        <v>0</v>
      </c>
      <c r="AA1598" s="20" t="s">
        <v>1187</v>
      </c>
      <c r="AB1598" s="20">
        <v>-266.3</v>
      </c>
      <c r="AC1598" s="20">
        <v>0</v>
      </c>
    </row>
    <row r="1599" spans="1:29" x14ac:dyDescent="0.25">
      <c r="A1599" s="20" t="s">
        <v>1700</v>
      </c>
      <c r="B1599" s="20" t="s">
        <v>2191</v>
      </c>
      <c r="C1599" s="20">
        <v>0</v>
      </c>
      <c r="AA1599" s="20" t="s">
        <v>776</v>
      </c>
      <c r="AB1599" s="20">
        <v>-254.46</v>
      </c>
      <c r="AC1599" s="20">
        <v>0</v>
      </c>
    </row>
    <row r="1600" spans="1:29" x14ac:dyDescent="0.25">
      <c r="A1600" s="20" t="s">
        <v>1701</v>
      </c>
      <c r="B1600" s="20" t="s">
        <v>2191</v>
      </c>
      <c r="C1600" s="20">
        <v>0</v>
      </c>
      <c r="AA1600" s="20" t="s">
        <v>348</v>
      </c>
      <c r="AB1600" s="20">
        <v>-2358.19</v>
      </c>
      <c r="AC1600" s="20">
        <v>42023.58</v>
      </c>
    </row>
    <row r="1601" spans="1:29" x14ac:dyDescent="0.25">
      <c r="A1601" s="20" t="s">
        <v>2909</v>
      </c>
      <c r="B1601" s="20" t="s">
        <v>2191</v>
      </c>
      <c r="C1601" s="20">
        <v>0</v>
      </c>
      <c r="AA1601" s="20" t="s">
        <v>370</v>
      </c>
      <c r="AB1601" s="20">
        <v>-88.1</v>
      </c>
      <c r="AC1601" s="20">
        <v>18459.509999999998</v>
      </c>
    </row>
    <row r="1602" spans="1:29" x14ac:dyDescent="0.25">
      <c r="A1602" s="20" t="s">
        <v>2910</v>
      </c>
      <c r="B1602" s="20" t="s">
        <v>2191</v>
      </c>
      <c r="C1602" s="20">
        <v>0</v>
      </c>
      <c r="AA1602" s="20" t="s">
        <v>1781</v>
      </c>
      <c r="AB1602" s="20">
        <v>-493.72</v>
      </c>
      <c r="AC1602" s="20">
        <v>0</v>
      </c>
    </row>
    <row r="1603" spans="1:29" x14ac:dyDescent="0.25">
      <c r="A1603" s="20" t="s">
        <v>1702</v>
      </c>
      <c r="B1603" s="20" t="s">
        <v>2191</v>
      </c>
      <c r="C1603" s="20">
        <v>0</v>
      </c>
      <c r="AA1603" s="20" t="s">
        <v>2960</v>
      </c>
      <c r="AB1603" s="20">
        <v>-722.6</v>
      </c>
      <c r="AC1603" s="20">
        <v>0</v>
      </c>
    </row>
    <row r="1604" spans="1:29" x14ac:dyDescent="0.25">
      <c r="A1604" s="20" t="s">
        <v>1703</v>
      </c>
      <c r="B1604" s="20" t="s">
        <v>2191</v>
      </c>
      <c r="C1604" s="20">
        <v>0</v>
      </c>
      <c r="AA1604" s="20" t="s">
        <v>2961</v>
      </c>
      <c r="AB1604" s="20">
        <v>-2119.59</v>
      </c>
      <c r="AC1604" s="20">
        <v>0</v>
      </c>
    </row>
    <row r="1605" spans="1:29" x14ac:dyDescent="0.25">
      <c r="A1605" s="20" t="s">
        <v>1229</v>
      </c>
      <c r="B1605" s="20" t="s">
        <v>2191</v>
      </c>
      <c r="C1605" s="20">
        <v>5035</v>
      </c>
      <c r="AA1605" s="20" t="s">
        <v>371</v>
      </c>
      <c r="AB1605" s="20">
        <v>69051.16</v>
      </c>
      <c r="AC1605" s="20">
        <v>55231.92</v>
      </c>
    </row>
    <row r="1606" spans="1:29" x14ac:dyDescent="0.25">
      <c r="A1606" s="20" t="s">
        <v>1939</v>
      </c>
      <c r="B1606" s="20" t="s">
        <v>2191</v>
      </c>
      <c r="C1606" s="20">
        <v>0</v>
      </c>
      <c r="AA1606" s="20" t="s">
        <v>1782</v>
      </c>
      <c r="AB1606" s="20">
        <v>-7.5</v>
      </c>
      <c r="AC1606" s="20">
        <v>0</v>
      </c>
    </row>
    <row r="1607" spans="1:29" x14ac:dyDescent="0.25">
      <c r="A1607" s="20" t="s">
        <v>1472</v>
      </c>
      <c r="B1607" s="20" t="s">
        <v>2191</v>
      </c>
      <c r="C1607" s="20">
        <v>0</v>
      </c>
      <c r="AA1607" s="20" t="s">
        <v>967</v>
      </c>
      <c r="AB1607" s="20">
        <v>37744.92</v>
      </c>
      <c r="AC1607" s="20">
        <v>857758.06</v>
      </c>
    </row>
    <row r="1608" spans="1:29" x14ac:dyDescent="0.25">
      <c r="A1608" s="20" t="s">
        <v>2911</v>
      </c>
      <c r="B1608" s="20" t="s">
        <v>2191</v>
      </c>
      <c r="C1608" s="20">
        <v>0</v>
      </c>
      <c r="AA1608" s="20" t="s">
        <v>1537</v>
      </c>
      <c r="AB1608" s="20">
        <v>-3060.64</v>
      </c>
      <c r="AC1608" s="20">
        <v>4693</v>
      </c>
    </row>
    <row r="1609" spans="1:29" x14ac:dyDescent="0.25">
      <c r="A1609" s="20" t="s">
        <v>2912</v>
      </c>
      <c r="B1609" s="20" t="s">
        <v>2191</v>
      </c>
      <c r="C1609" s="20">
        <v>0</v>
      </c>
      <c r="AA1609" s="20" t="s">
        <v>373</v>
      </c>
      <c r="AB1609" s="20">
        <v>-1822</v>
      </c>
      <c r="AC1609" s="20">
        <v>105699.99</v>
      </c>
    </row>
    <row r="1610" spans="1:29" x14ac:dyDescent="0.25">
      <c r="A1610" s="20" t="s">
        <v>725</v>
      </c>
      <c r="B1610" s="20" t="s">
        <v>2191</v>
      </c>
      <c r="C1610" s="20">
        <v>0</v>
      </c>
      <c r="AA1610" s="20" t="s">
        <v>1332</v>
      </c>
      <c r="AB1610" s="20">
        <v>-1796.03</v>
      </c>
      <c r="AC1610" s="20">
        <v>31311.34</v>
      </c>
    </row>
    <row r="1611" spans="1:29" x14ac:dyDescent="0.25">
      <c r="A1611" s="20" t="s">
        <v>1518</v>
      </c>
      <c r="B1611" s="20" t="s">
        <v>2191</v>
      </c>
      <c r="C1611" s="20">
        <v>0</v>
      </c>
      <c r="AA1611" s="20" t="s">
        <v>1051</v>
      </c>
      <c r="AB1611" s="20">
        <v>-1150.04</v>
      </c>
      <c r="AC1611" s="20">
        <v>2501.38</v>
      </c>
    </row>
    <row r="1612" spans="1:29" x14ac:dyDescent="0.25">
      <c r="A1612" s="20" t="s">
        <v>1303</v>
      </c>
      <c r="B1612" s="20" t="s">
        <v>2191</v>
      </c>
      <c r="C1612" s="20">
        <v>0</v>
      </c>
      <c r="AA1612" s="20" t="s">
        <v>375</v>
      </c>
      <c r="AB1612" s="20">
        <v>2377.0100000000002</v>
      </c>
      <c r="AC1612" s="20">
        <v>30564.5</v>
      </c>
    </row>
    <row r="1613" spans="1:29" x14ac:dyDescent="0.25">
      <c r="A1613" s="20" t="s">
        <v>1897</v>
      </c>
      <c r="B1613" s="20" t="s">
        <v>2191</v>
      </c>
      <c r="C1613" s="20">
        <v>0</v>
      </c>
      <c r="AA1613" s="20" t="s">
        <v>1412</v>
      </c>
      <c r="AB1613" s="20">
        <v>-217.06</v>
      </c>
      <c r="AC1613" s="20">
        <v>513.76</v>
      </c>
    </row>
    <row r="1614" spans="1:29" x14ac:dyDescent="0.25">
      <c r="A1614" s="20" t="s">
        <v>650</v>
      </c>
      <c r="B1614" s="20" t="s">
        <v>2191</v>
      </c>
      <c r="C1614" s="20">
        <v>0</v>
      </c>
      <c r="AA1614" s="20" t="s">
        <v>1053</v>
      </c>
      <c r="AB1614" s="20">
        <v>-23.78</v>
      </c>
      <c r="AC1614" s="20">
        <v>14770.95</v>
      </c>
    </row>
    <row r="1615" spans="1:29" x14ac:dyDescent="0.25">
      <c r="A1615" s="20" t="s">
        <v>2058</v>
      </c>
      <c r="B1615" s="20" t="s">
        <v>2191</v>
      </c>
      <c r="C1615" s="20">
        <v>0</v>
      </c>
      <c r="AA1615" s="20" t="s">
        <v>1055</v>
      </c>
      <c r="AB1615" s="20">
        <v>-1301.26</v>
      </c>
      <c r="AC1615" s="20">
        <v>26652.94</v>
      </c>
    </row>
    <row r="1616" spans="1:29" x14ac:dyDescent="0.25">
      <c r="A1616" s="20" t="s">
        <v>1898</v>
      </c>
      <c r="B1616" s="20" t="s">
        <v>2191</v>
      </c>
      <c r="C1616" s="20">
        <v>0</v>
      </c>
      <c r="AA1616" s="20" t="s">
        <v>377</v>
      </c>
      <c r="AB1616" s="20">
        <v>8633.8700000000008</v>
      </c>
      <c r="AC1616" s="20">
        <v>85612.89</v>
      </c>
    </row>
    <row r="1617" spans="1:29" x14ac:dyDescent="0.25">
      <c r="A1617" s="20" t="s">
        <v>2162</v>
      </c>
      <c r="B1617" s="20" t="s">
        <v>2191</v>
      </c>
      <c r="C1617" s="20">
        <v>0</v>
      </c>
      <c r="AA1617" s="20" t="s">
        <v>1413</v>
      </c>
      <c r="AB1617" s="20">
        <v>-0.63</v>
      </c>
      <c r="AC1617" s="20">
        <v>0</v>
      </c>
    </row>
    <row r="1618" spans="1:29" x14ac:dyDescent="0.25">
      <c r="A1618" s="20" t="s">
        <v>508</v>
      </c>
      <c r="B1618" s="20" t="s">
        <v>2191</v>
      </c>
      <c r="C1618" s="20">
        <v>0</v>
      </c>
      <c r="AA1618" s="20" t="s">
        <v>1783</v>
      </c>
      <c r="AB1618" s="20">
        <v>-324.67</v>
      </c>
      <c r="AC1618" s="20">
        <v>0</v>
      </c>
    </row>
    <row r="1619" spans="1:29" x14ac:dyDescent="0.25">
      <c r="A1619" s="20" t="s">
        <v>129</v>
      </c>
      <c r="B1619" s="20" t="s">
        <v>2191</v>
      </c>
      <c r="C1619" s="20">
        <v>11023</v>
      </c>
      <c r="AA1619" s="20" t="s">
        <v>1188</v>
      </c>
      <c r="AB1619" s="20">
        <v>726341.14</v>
      </c>
      <c r="AC1619" s="20">
        <v>974202.78</v>
      </c>
    </row>
    <row r="1620" spans="1:29" x14ac:dyDescent="0.25">
      <c r="A1620" s="20" t="s">
        <v>1704</v>
      </c>
      <c r="B1620" s="20" t="s">
        <v>2191</v>
      </c>
      <c r="C1620" s="20">
        <v>0</v>
      </c>
      <c r="AA1620" s="20" t="s">
        <v>777</v>
      </c>
      <c r="AB1620" s="20">
        <v>-1803.64</v>
      </c>
      <c r="AC1620" s="20">
        <v>266418.11</v>
      </c>
    </row>
    <row r="1621" spans="1:29" x14ac:dyDescent="0.25">
      <c r="A1621" s="20" t="s">
        <v>652</v>
      </c>
      <c r="B1621" s="20" t="s">
        <v>2191</v>
      </c>
      <c r="C1621" s="20">
        <v>0</v>
      </c>
      <c r="AA1621" s="20" t="s">
        <v>1416</v>
      </c>
      <c r="AB1621" s="20">
        <v>21022.46</v>
      </c>
      <c r="AC1621" s="20">
        <v>115315.5</v>
      </c>
    </row>
    <row r="1622" spans="1:29" x14ac:dyDescent="0.25">
      <c r="A1622" s="20" t="s">
        <v>2059</v>
      </c>
      <c r="B1622" s="20" t="s">
        <v>2191</v>
      </c>
      <c r="C1622" s="20">
        <v>0</v>
      </c>
      <c r="AA1622" s="20" t="s">
        <v>1504</v>
      </c>
      <c r="AB1622" s="20">
        <v>6005.69</v>
      </c>
      <c r="AC1622" s="20">
        <v>92759.37</v>
      </c>
    </row>
    <row r="1623" spans="1:29" x14ac:dyDescent="0.25">
      <c r="A1623" s="20" t="s">
        <v>2913</v>
      </c>
      <c r="B1623" s="20" t="s">
        <v>2191</v>
      </c>
      <c r="C1623" s="20">
        <v>0</v>
      </c>
      <c r="AA1623" s="20" t="s">
        <v>379</v>
      </c>
      <c r="AB1623" s="20">
        <v>1291001.83</v>
      </c>
      <c r="AC1623" s="20">
        <v>1620621.87</v>
      </c>
    </row>
    <row r="1624" spans="1:29" x14ac:dyDescent="0.25">
      <c r="A1624" s="20" t="s">
        <v>1705</v>
      </c>
      <c r="B1624" s="20" t="s">
        <v>2191</v>
      </c>
      <c r="C1624" s="20">
        <v>-149.78</v>
      </c>
      <c r="AA1624" s="20" t="s">
        <v>380</v>
      </c>
      <c r="AB1624" s="20">
        <v>-1.04</v>
      </c>
      <c r="AC1624" s="20">
        <v>0</v>
      </c>
    </row>
    <row r="1625" spans="1:29" x14ac:dyDescent="0.25">
      <c r="A1625" s="20" t="s">
        <v>510</v>
      </c>
      <c r="B1625" s="20" t="s">
        <v>2191</v>
      </c>
      <c r="C1625" s="20">
        <v>0</v>
      </c>
      <c r="AA1625" s="20" t="s">
        <v>1418</v>
      </c>
      <c r="AB1625" s="20">
        <v>213610.5</v>
      </c>
      <c r="AC1625" s="20">
        <v>361080.17</v>
      </c>
    </row>
    <row r="1626" spans="1:29" x14ac:dyDescent="0.25">
      <c r="A1626" s="20" t="s">
        <v>1706</v>
      </c>
      <c r="B1626" s="20" t="s">
        <v>2191</v>
      </c>
      <c r="C1626" s="20">
        <v>0</v>
      </c>
      <c r="AA1626" s="20" t="s">
        <v>185</v>
      </c>
      <c r="AB1626" s="20">
        <v>814233.45</v>
      </c>
      <c r="AC1626" s="20">
        <v>16765.89</v>
      </c>
    </row>
    <row r="1627" spans="1:29" x14ac:dyDescent="0.25">
      <c r="A1627" s="20" t="s">
        <v>1867</v>
      </c>
      <c r="B1627" s="20" t="s">
        <v>2191</v>
      </c>
      <c r="C1627" s="20">
        <v>0</v>
      </c>
      <c r="AA1627" s="20" t="s">
        <v>666</v>
      </c>
      <c r="AB1627" s="20">
        <v>-715.19</v>
      </c>
      <c r="AC1627" s="20">
        <v>71357.429999999993</v>
      </c>
    </row>
    <row r="1628" spans="1:29" x14ac:dyDescent="0.25">
      <c r="A1628" s="20" t="s">
        <v>1941</v>
      </c>
      <c r="B1628" s="20" t="s">
        <v>2191</v>
      </c>
      <c r="C1628" s="20">
        <v>0</v>
      </c>
      <c r="AA1628" s="20" t="s">
        <v>1784</v>
      </c>
      <c r="AB1628" s="20">
        <v>-106.77</v>
      </c>
      <c r="AC1628" s="20">
        <v>0</v>
      </c>
    </row>
    <row r="1629" spans="1:29" x14ac:dyDescent="0.25">
      <c r="A1629" s="20" t="s">
        <v>928</v>
      </c>
      <c r="B1629" s="20" t="s">
        <v>2191</v>
      </c>
      <c r="C1629" s="20">
        <v>0</v>
      </c>
      <c r="AA1629" s="20" t="s">
        <v>1189</v>
      </c>
      <c r="AB1629" s="20">
        <v>-437.18</v>
      </c>
      <c r="AC1629" s="20">
        <v>27496.18</v>
      </c>
    </row>
    <row r="1630" spans="1:29" x14ac:dyDescent="0.25">
      <c r="A1630" s="20" t="s">
        <v>1382</v>
      </c>
      <c r="B1630" s="20" t="s">
        <v>2191</v>
      </c>
      <c r="C1630" s="20">
        <v>0</v>
      </c>
      <c r="AA1630" s="20" t="s">
        <v>2962</v>
      </c>
      <c r="AB1630" s="20">
        <v>-816.55</v>
      </c>
      <c r="AC1630" s="20">
        <v>4541.3900000000003</v>
      </c>
    </row>
    <row r="1631" spans="1:29" x14ac:dyDescent="0.25">
      <c r="A1631" s="20" t="s">
        <v>131</v>
      </c>
      <c r="B1631" s="20" t="s">
        <v>2191</v>
      </c>
      <c r="C1631" s="20">
        <v>0</v>
      </c>
      <c r="AA1631" s="20" t="s">
        <v>566</v>
      </c>
      <c r="AB1631" s="20">
        <v>13265.76</v>
      </c>
      <c r="AC1631" s="20">
        <v>212174.93</v>
      </c>
    </row>
    <row r="1632" spans="1:29" x14ac:dyDescent="0.25">
      <c r="A1632" s="20" t="s">
        <v>512</v>
      </c>
      <c r="B1632" s="20" t="s">
        <v>2191</v>
      </c>
      <c r="C1632" s="20">
        <v>0</v>
      </c>
      <c r="AA1632" s="20" t="s">
        <v>971</v>
      </c>
      <c r="AB1632" s="20">
        <v>-262.37</v>
      </c>
      <c r="AC1632" s="20">
        <v>8822.0499999999993</v>
      </c>
    </row>
    <row r="1633" spans="1:29" x14ac:dyDescent="0.25">
      <c r="A1633" s="20" t="s">
        <v>2914</v>
      </c>
      <c r="B1633" s="20" t="s">
        <v>2191</v>
      </c>
      <c r="C1633" s="20">
        <v>0</v>
      </c>
      <c r="AA1633" s="20" t="s">
        <v>1785</v>
      </c>
      <c r="AB1633" s="20">
        <v>-385.4</v>
      </c>
      <c r="AC1633" s="20">
        <v>0</v>
      </c>
    </row>
    <row r="1634" spans="1:29" x14ac:dyDescent="0.25">
      <c r="A1634" s="20" t="s">
        <v>2060</v>
      </c>
      <c r="B1634" s="20" t="s">
        <v>2191</v>
      </c>
      <c r="C1634" s="20">
        <v>0</v>
      </c>
      <c r="AA1634" s="20" t="s">
        <v>567</v>
      </c>
      <c r="AB1634" s="20">
        <v>-353.41</v>
      </c>
      <c r="AC1634" s="20">
        <v>616.54999999999995</v>
      </c>
    </row>
    <row r="1635" spans="1:29" x14ac:dyDescent="0.25">
      <c r="A1635" s="20" t="s">
        <v>295</v>
      </c>
      <c r="B1635" s="20" t="s">
        <v>2191</v>
      </c>
      <c r="C1635" s="20">
        <v>0</v>
      </c>
      <c r="AA1635" s="20" t="s">
        <v>1506</v>
      </c>
      <c r="AB1635" s="20">
        <v>-305.05</v>
      </c>
      <c r="AC1635" s="20">
        <v>9632.0300000000007</v>
      </c>
    </row>
    <row r="1636" spans="1:29" x14ac:dyDescent="0.25">
      <c r="A1636" s="20" t="s">
        <v>2915</v>
      </c>
      <c r="B1636" s="20" t="s">
        <v>2191</v>
      </c>
      <c r="C1636" s="20">
        <v>0</v>
      </c>
      <c r="AA1636" s="20" t="s">
        <v>1786</v>
      </c>
      <c r="AB1636" s="20">
        <v>-4447.1099999999997</v>
      </c>
      <c r="AC1636" s="20">
        <v>0</v>
      </c>
    </row>
    <row r="1637" spans="1:29" x14ac:dyDescent="0.25">
      <c r="A1637" s="20" t="s">
        <v>1088</v>
      </c>
      <c r="B1637" s="20" t="s">
        <v>2191</v>
      </c>
      <c r="C1637" s="20">
        <v>0</v>
      </c>
      <c r="AA1637" s="20" t="s">
        <v>3322</v>
      </c>
      <c r="AB1637" s="20">
        <v>0</v>
      </c>
      <c r="AC1637" s="20">
        <v>0</v>
      </c>
    </row>
    <row r="1638" spans="1:29" x14ac:dyDescent="0.25">
      <c r="A1638" s="20" t="s">
        <v>2019</v>
      </c>
      <c r="B1638" s="20" t="s">
        <v>2191</v>
      </c>
      <c r="C1638" s="20">
        <v>0</v>
      </c>
      <c r="AA1638" s="20" t="s">
        <v>1419</v>
      </c>
      <c r="AB1638" s="20">
        <v>258571.4</v>
      </c>
      <c r="AC1638" s="20">
        <v>1489015.52</v>
      </c>
    </row>
    <row r="1639" spans="1:29" x14ac:dyDescent="0.25">
      <c r="A1639" s="20" t="s">
        <v>1850</v>
      </c>
      <c r="B1639" s="20" t="s">
        <v>2191</v>
      </c>
      <c r="C1639" s="20">
        <v>0</v>
      </c>
      <c r="AA1639" s="20" t="s">
        <v>1057</v>
      </c>
      <c r="AB1639" s="20">
        <v>-329.47</v>
      </c>
      <c r="AC1639" s="20">
        <v>0</v>
      </c>
    </row>
    <row r="1640" spans="1:29" x14ac:dyDescent="0.25">
      <c r="A1640" s="20" t="s">
        <v>2116</v>
      </c>
      <c r="B1640" s="20" t="s">
        <v>2191</v>
      </c>
      <c r="C1640" s="20">
        <v>0</v>
      </c>
      <c r="AA1640" s="20" t="s">
        <v>1333</v>
      </c>
      <c r="AB1640" s="20">
        <v>5453.17</v>
      </c>
      <c r="AC1640" s="20">
        <v>119868.62</v>
      </c>
    </row>
    <row r="1641" spans="1:29" x14ac:dyDescent="0.25">
      <c r="A1641" s="20" t="s">
        <v>2916</v>
      </c>
      <c r="B1641" s="20" t="s">
        <v>2191</v>
      </c>
      <c r="C1641" s="20">
        <v>0</v>
      </c>
      <c r="AA1641" s="20" t="s">
        <v>1335</v>
      </c>
      <c r="AB1641" s="20">
        <v>-1729.33</v>
      </c>
      <c r="AC1641" s="20">
        <v>14754.2</v>
      </c>
    </row>
    <row r="1642" spans="1:29" x14ac:dyDescent="0.25">
      <c r="A1642" s="20" t="s">
        <v>2917</v>
      </c>
      <c r="B1642" s="20" t="s">
        <v>2191</v>
      </c>
      <c r="C1642" s="20">
        <v>0</v>
      </c>
      <c r="AA1642" s="20" t="s">
        <v>780</v>
      </c>
      <c r="AB1642" s="20">
        <v>5972.42</v>
      </c>
      <c r="AC1642" s="20">
        <v>37228.86</v>
      </c>
    </row>
    <row r="1643" spans="1:29" x14ac:dyDescent="0.25">
      <c r="A1643" s="20" t="s">
        <v>2061</v>
      </c>
      <c r="B1643" s="20" t="s">
        <v>2191</v>
      </c>
      <c r="C1643" s="20">
        <v>0</v>
      </c>
      <c r="AA1643" s="20" t="s">
        <v>836</v>
      </c>
      <c r="AB1643" s="20">
        <v>-226.54</v>
      </c>
      <c r="AC1643" s="20">
        <v>75945.039999999994</v>
      </c>
    </row>
    <row r="1644" spans="1:29" x14ac:dyDescent="0.25">
      <c r="A1644" s="20" t="s">
        <v>1988</v>
      </c>
      <c r="B1644" s="20" t="s">
        <v>2191</v>
      </c>
      <c r="C1644" s="20">
        <v>0</v>
      </c>
      <c r="AA1644" s="20" t="s">
        <v>784</v>
      </c>
      <c r="AB1644" s="20">
        <v>-139.21</v>
      </c>
      <c r="AC1644" s="20">
        <v>0</v>
      </c>
    </row>
    <row r="1645" spans="1:29" x14ac:dyDescent="0.25">
      <c r="A1645" s="20" t="s">
        <v>315</v>
      </c>
      <c r="B1645" s="20" t="s">
        <v>2191</v>
      </c>
      <c r="C1645" s="20">
        <v>0</v>
      </c>
      <c r="AA1645" s="20" t="s">
        <v>785</v>
      </c>
      <c r="AB1645" s="20">
        <v>6381.35</v>
      </c>
      <c r="AC1645" s="20">
        <v>58101.53</v>
      </c>
    </row>
    <row r="1646" spans="1:29" x14ac:dyDescent="0.25">
      <c r="A1646" s="20" t="s">
        <v>2140</v>
      </c>
      <c r="B1646" s="20" t="s">
        <v>2191</v>
      </c>
      <c r="C1646" s="20">
        <v>0</v>
      </c>
      <c r="AA1646" s="20" t="s">
        <v>787</v>
      </c>
      <c r="AB1646" s="20">
        <v>667.61</v>
      </c>
      <c r="AC1646" s="20">
        <v>11621.87</v>
      </c>
    </row>
    <row r="1647" spans="1:29" x14ac:dyDescent="0.25">
      <c r="A1647" s="20" t="s">
        <v>1707</v>
      </c>
      <c r="B1647" s="20" t="s">
        <v>2191</v>
      </c>
      <c r="C1647" s="20">
        <v>0</v>
      </c>
      <c r="AA1647" s="20" t="s">
        <v>789</v>
      </c>
      <c r="AB1647" s="20">
        <v>1462.92</v>
      </c>
      <c r="AC1647" s="20">
        <v>29366.89</v>
      </c>
    </row>
    <row r="1648" spans="1:29" x14ac:dyDescent="0.25">
      <c r="A1648" s="20" t="s">
        <v>1474</v>
      </c>
      <c r="B1648" s="20" t="s">
        <v>2191</v>
      </c>
      <c r="C1648" s="20">
        <v>0</v>
      </c>
      <c r="AA1648" s="20" t="s">
        <v>1420</v>
      </c>
      <c r="AB1648" s="20">
        <v>-6199.25</v>
      </c>
      <c r="AC1648" s="20">
        <v>166478.89000000001</v>
      </c>
    </row>
    <row r="1649" spans="1:29" x14ac:dyDescent="0.25">
      <c r="A1649" s="20" t="s">
        <v>1475</v>
      </c>
      <c r="B1649" s="20" t="s">
        <v>2191</v>
      </c>
      <c r="C1649" s="20">
        <v>0</v>
      </c>
      <c r="AA1649" s="20" t="s">
        <v>1191</v>
      </c>
      <c r="AB1649" s="20">
        <v>1502.19</v>
      </c>
      <c r="AC1649" s="20">
        <v>42804.79</v>
      </c>
    </row>
    <row r="1650" spans="1:29" x14ac:dyDescent="0.25">
      <c r="A1650" s="20" t="s">
        <v>1708</v>
      </c>
      <c r="B1650" s="20" t="s">
        <v>2191</v>
      </c>
      <c r="C1650" s="20">
        <v>0</v>
      </c>
      <c r="AA1650" s="20" t="s">
        <v>1787</v>
      </c>
      <c r="AB1650" s="20">
        <v>-744.27</v>
      </c>
      <c r="AC1650" s="20">
        <v>0</v>
      </c>
    </row>
    <row r="1651" spans="1:29" x14ac:dyDescent="0.25">
      <c r="A1651" s="20" t="s">
        <v>2186</v>
      </c>
      <c r="B1651" s="20" t="s">
        <v>2191</v>
      </c>
      <c r="C1651" s="20">
        <v>0</v>
      </c>
      <c r="AA1651" s="20" t="s">
        <v>1058</v>
      </c>
      <c r="AB1651" s="20">
        <v>-4083.51</v>
      </c>
      <c r="AC1651" s="20">
        <v>30487.56</v>
      </c>
    </row>
    <row r="1652" spans="1:29" x14ac:dyDescent="0.25">
      <c r="A1652" s="20" t="s">
        <v>2918</v>
      </c>
      <c r="B1652" s="20" t="s">
        <v>2191</v>
      </c>
      <c r="C1652" s="20">
        <v>0</v>
      </c>
      <c r="AA1652" s="20" t="s">
        <v>187</v>
      </c>
      <c r="AB1652" s="20">
        <v>38716.400000000001</v>
      </c>
      <c r="AC1652" s="20">
        <v>33385.040000000001</v>
      </c>
    </row>
    <row r="1653" spans="1:29" x14ac:dyDescent="0.25">
      <c r="A1653" s="20" t="s">
        <v>133</v>
      </c>
      <c r="B1653" s="20" t="s">
        <v>2191</v>
      </c>
      <c r="C1653" s="20">
        <v>0</v>
      </c>
      <c r="AA1653" s="20" t="s">
        <v>976</v>
      </c>
      <c r="AB1653" s="20">
        <v>254070.22</v>
      </c>
      <c r="AC1653" s="20">
        <v>759834.03</v>
      </c>
    </row>
    <row r="1654" spans="1:29" x14ac:dyDescent="0.25">
      <c r="A1654" s="20" t="s">
        <v>1709</v>
      </c>
      <c r="B1654" s="20" t="s">
        <v>2191</v>
      </c>
      <c r="C1654" s="20">
        <v>0</v>
      </c>
      <c r="AA1654" s="20" t="s">
        <v>1193</v>
      </c>
      <c r="AB1654" s="20">
        <v>-752.08</v>
      </c>
      <c r="AC1654" s="20">
        <v>0</v>
      </c>
    </row>
    <row r="1655" spans="1:29" x14ac:dyDescent="0.25">
      <c r="A1655" s="20" t="s">
        <v>1476</v>
      </c>
      <c r="B1655" s="20" t="s">
        <v>2191</v>
      </c>
      <c r="C1655" s="20">
        <v>0</v>
      </c>
      <c r="AA1655" s="20" t="s">
        <v>1789</v>
      </c>
      <c r="AB1655" s="20">
        <v>-3024.1</v>
      </c>
      <c r="AC1655" s="20">
        <v>0</v>
      </c>
    </row>
    <row r="1656" spans="1:29" x14ac:dyDescent="0.25">
      <c r="A1656" s="20" t="s">
        <v>727</v>
      </c>
      <c r="B1656" s="20" t="s">
        <v>2191</v>
      </c>
      <c r="C1656" s="20">
        <v>0</v>
      </c>
      <c r="AA1656" s="20" t="s">
        <v>188</v>
      </c>
      <c r="AB1656" s="20">
        <v>100287.59</v>
      </c>
      <c r="AC1656" s="20">
        <v>74290.740000000005</v>
      </c>
    </row>
    <row r="1657" spans="1:29" x14ac:dyDescent="0.25">
      <c r="A1657" s="20" t="s">
        <v>2062</v>
      </c>
      <c r="B1657" s="20" t="s">
        <v>2191</v>
      </c>
      <c r="C1657" s="20">
        <v>0</v>
      </c>
      <c r="AA1657" s="20" t="s">
        <v>793</v>
      </c>
      <c r="AB1657" s="20">
        <v>-853.24</v>
      </c>
      <c r="AC1657" s="20">
        <v>0</v>
      </c>
    </row>
    <row r="1658" spans="1:29" x14ac:dyDescent="0.25">
      <c r="A1658" s="20" t="s">
        <v>2919</v>
      </c>
      <c r="B1658" s="20" t="s">
        <v>2191</v>
      </c>
      <c r="C1658" s="20">
        <v>0</v>
      </c>
      <c r="AA1658" s="20" t="s">
        <v>191</v>
      </c>
      <c r="AB1658" s="20">
        <v>-469.35</v>
      </c>
      <c r="AC1658" s="20">
        <v>1049.68</v>
      </c>
    </row>
    <row r="1659" spans="1:29" x14ac:dyDescent="0.25">
      <c r="A1659" s="20" t="s">
        <v>134</v>
      </c>
      <c r="B1659" s="20" t="s">
        <v>2191</v>
      </c>
      <c r="C1659" s="20">
        <v>0</v>
      </c>
      <c r="AA1659" s="20" t="s">
        <v>667</v>
      </c>
      <c r="AB1659" s="20">
        <v>1154.9000000000001</v>
      </c>
      <c r="AC1659" s="20">
        <v>13573</v>
      </c>
    </row>
    <row r="1660" spans="1:29" x14ac:dyDescent="0.25">
      <c r="A1660" s="20" t="s">
        <v>1026</v>
      </c>
      <c r="B1660" s="20" t="s">
        <v>2191</v>
      </c>
      <c r="C1660" s="20">
        <v>0</v>
      </c>
      <c r="AA1660" s="20" t="s">
        <v>194</v>
      </c>
      <c r="AB1660" s="20">
        <v>43661.81</v>
      </c>
      <c r="AC1660" s="20">
        <v>599366.94999999995</v>
      </c>
    </row>
    <row r="1661" spans="1:29" x14ac:dyDescent="0.25">
      <c r="A1661" s="20" t="s">
        <v>1028</v>
      </c>
      <c r="B1661" s="20" t="s">
        <v>2191</v>
      </c>
      <c r="C1661" s="20">
        <v>0</v>
      </c>
      <c r="AA1661" s="20" t="s">
        <v>571</v>
      </c>
      <c r="AB1661" s="20">
        <v>-49.11</v>
      </c>
      <c r="AC1661" s="20">
        <v>215185.91</v>
      </c>
    </row>
    <row r="1662" spans="1:29" x14ac:dyDescent="0.25">
      <c r="A1662" s="20" t="s">
        <v>2920</v>
      </c>
      <c r="B1662" s="20" t="s">
        <v>2191</v>
      </c>
      <c r="C1662" s="20">
        <v>0</v>
      </c>
      <c r="AA1662" s="20" t="s">
        <v>1539</v>
      </c>
      <c r="AB1662" s="20">
        <v>-295.44</v>
      </c>
      <c r="AC1662" s="20">
        <v>3689.52</v>
      </c>
    </row>
    <row r="1663" spans="1:29" x14ac:dyDescent="0.25">
      <c r="A1663" s="20" t="s">
        <v>316</v>
      </c>
      <c r="B1663" s="20" t="s">
        <v>2191</v>
      </c>
      <c r="C1663" s="20">
        <v>0</v>
      </c>
      <c r="AA1663" s="20" t="s">
        <v>1521</v>
      </c>
      <c r="AB1663" s="20">
        <v>-4929.17</v>
      </c>
      <c r="AC1663" s="20">
        <v>1351.63</v>
      </c>
    </row>
    <row r="1664" spans="1:29" x14ac:dyDescent="0.25">
      <c r="A1664" s="20" t="s">
        <v>2141</v>
      </c>
      <c r="B1664" s="20" t="s">
        <v>2191</v>
      </c>
      <c r="C1664" s="20">
        <v>0</v>
      </c>
      <c r="AA1664" s="20" t="s">
        <v>977</v>
      </c>
      <c r="AB1664" s="20">
        <v>2124.96</v>
      </c>
      <c r="AC1664" s="20">
        <v>30501.67</v>
      </c>
    </row>
    <row r="1665" spans="1:29" x14ac:dyDescent="0.25">
      <c r="A1665" s="20" t="s">
        <v>2921</v>
      </c>
      <c r="B1665" s="20" t="s">
        <v>2191</v>
      </c>
      <c r="C1665" s="20">
        <v>0</v>
      </c>
      <c r="AA1665" s="20" t="s">
        <v>1422</v>
      </c>
      <c r="AB1665" s="20">
        <v>18548.439999999999</v>
      </c>
      <c r="AC1665" s="20">
        <v>262569.2</v>
      </c>
    </row>
    <row r="1666" spans="1:29" x14ac:dyDescent="0.25">
      <c r="A1666" s="20" t="s">
        <v>2922</v>
      </c>
      <c r="B1666" s="20" t="s">
        <v>2191</v>
      </c>
      <c r="C1666" s="20">
        <v>0</v>
      </c>
      <c r="AA1666" s="20" t="s">
        <v>1424</v>
      </c>
      <c r="AB1666" s="20">
        <v>799.09</v>
      </c>
      <c r="AC1666" s="20">
        <v>17828.43</v>
      </c>
    </row>
    <row r="1667" spans="1:29" x14ac:dyDescent="0.25">
      <c r="A1667" s="20" t="s">
        <v>2923</v>
      </c>
      <c r="B1667" s="20" t="s">
        <v>2191</v>
      </c>
      <c r="C1667" s="20">
        <v>0</v>
      </c>
      <c r="AA1667" s="20" t="s">
        <v>1194</v>
      </c>
      <c r="AB1667" s="20">
        <v>-187.31</v>
      </c>
      <c r="AC1667" s="20">
        <v>0</v>
      </c>
    </row>
    <row r="1668" spans="1:29" x14ac:dyDescent="0.25">
      <c r="A1668" s="20" t="s">
        <v>1710</v>
      </c>
      <c r="B1668" s="20" t="s">
        <v>2191</v>
      </c>
      <c r="C1668" s="20">
        <v>0</v>
      </c>
      <c r="AA1668" s="20" t="s">
        <v>794</v>
      </c>
      <c r="AB1668" s="20">
        <v>-3125.02</v>
      </c>
      <c r="AC1668" s="20">
        <v>3146.23</v>
      </c>
    </row>
    <row r="1669" spans="1:29" x14ac:dyDescent="0.25">
      <c r="A1669" s="20" t="s">
        <v>930</v>
      </c>
      <c r="B1669" s="20" t="s">
        <v>2191</v>
      </c>
      <c r="C1669" s="20">
        <v>0</v>
      </c>
      <c r="AA1669" s="20" t="s">
        <v>1343</v>
      </c>
      <c r="AB1669" s="20">
        <v>13325.22</v>
      </c>
      <c r="AC1669" s="20">
        <v>128990.73</v>
      </c>
    </row>
    <row r="1670" spans="1:29" x14ac:dyDescent="0.25">
      <c r="A1670" s="20" t="s">
        <v>1029</v>
      </c>
      <c r="B1670" s="20" t="s">
        <v>2191</v>
      </c>
      <c r="C1670" s="20">
        <v>0</v>
      </c>
      <c r="AA1670" s="20" t="s">
        <v>751</v>
      </c>
      <c r="AB1670" s="20">
        <v>5408.89</v>
      </c>
      <c r="AC1670" s="20">
        <v>43993.54</v>
      </c>
    </row>
    <row r="1671" spans="1:29" x14ac:dyDescent="0.25">
      <c r="A1671" s="20" t="s">
        <v>513</v>
      </c>
      <c r="B1671" s="20" t="s">
        <v>2191</v>
      </c>
      <c r="C1671" s="20">
        <v>0</v>
      </c>
      <c r="AA1671" s="20" t="s">
        <v>1425</v>
      </c>
      <c r="AB1671" s="20">
        <v>-606.99</v>
      </c>
      <c r="AC1671" s="20">
        <v>1107.24</v>
      </c>
    </row>
    <row r="1672" spans="1:29" x14ac:dyDescent="0.25">
      <c r="A1672" s="20" t="s">
        <v>728</v>
      </c>
      <c r="B1672" s="20" t="s">
        <v>2191</v>
      </c>
      <c r="C1672" s="20">
        <v>20601.96</v>
      </c>
      <c r="AA1672" s="20" t="s">
        <v>3323</v>
      </c>
      <c r="AB1672" s="20">
        <v>-1819.66</v>
      </c>
      <c r="AC1672" s="20">
        <v>0</v>
      </c>
    </row>
    <row r="1673" spans="1:29" x14ac:dyDescent="0.25">
      <c r="A1673" s="20" t="s">
        <v>318</v>
      </c>
      <c r="B1673" s="20" t="s">
        <v>2191</v>
      </c>
      <c r="C1673" s="20">
        <v>0</v>
      </c>
      <c r="AA1673" s="20" t="s">
        <v>1396</v>
      </c>
      <c r="AB1673" s="20">
        <v>20525.63</v>
      </c>
      <c r="AC1673" s="20">
        <v>156450.53</v>
      </c>
    </row>
    <row r="1674" spans="1:29" x14ac:dyDescent="0.25">
      <c r="A1674" s="20" t="s">
        <v>1231</v>
      </c>
      <c r="B1674" s="20" t="s">
        <v>2191</v>
      </c>
      <c r="C1674" s="20">
        <v>0</v>
      </c>
      <c r="AA1674" s="20" t="s">
        <v>3307</v>
      </c>
      <c r="AB1674" s="20">
        <v>-1445.06</v>
      </c>
      <c r="AC1674" s="20">
        <v>0</v>
      </c>
    </row>
    <row r="1675" spans="1:29" x14ac:dyDescent="0.25">
      <c r="A1675" s="20" t="s">
        <v>1989</v>
      </c>
      <c r="B1675" s="20" t="s">
        <v>2191</v>
      </c>
      <c r="C1675" s="20">
        <v>0</v>
      </c>
      <c r="AA1675" s="20" t="s">
        <v>573</v>
      </c>
      <c r="AB1675" s="20">
        <v>102.56</v>
      </c>
      <c r="AC1675" s="20">
        <v>121325.66</v>
      </c>
    </row>
    <row r="1676" spans="1:29" x14ac:dyDescent="0.25">
      <c r="A1676" s="20" t="s">
        <v>732</v>
      </c>
      <c r="B1676" s="20" t="s">
        <v>2191</v>
      </c>
      <c r="C1676" s="20">
        <v>0</v>
      </c>
      <c r="AA1676" s="20" t="s">
        <v>554</v>
      </c>
      <c r="AB1676" s="20">
        <v>-1433.72</v>
      </c>
      <c r="AC1676" s="20">
        <v>12461</v>
      </c>
    </row>
    <row r="1677" spans="1:29" x14ac:dyDescent="0.25">
      <c r="A1677" s="20" t="s">
        <v>319</v>
      </c>
      <c r="B1677" s="20" t="s">
        <v>2191</v>
      </c>
      <c r="C1677" s="20">
        <v>0</v>
      </c>
      <c r="AA1677" s="20" t="s">
        <v>327</v>
      </c>
      <c r="AB1677" s="20">
        <v>1722580.3</v>
      </c>
      <c r="AC1677" s="20">
        <v>1066009.5900000001</v>
      </c>
    </row>
    <row r="1678" spans="1:29" x14ac:dyDescent="0.25">
      <c r="A1678" s="20" t="s">
        <v>321</v>
      </c>
      <c r="B1678" s="20" t="s">
        <v>2191</v>
      </c>
      <c r="C1678" s="20">
        <v>3013</v>
      </c>
      <c r="AA1678" s="20" t="s">
        <v>500</v>
      </c>
      <c r="AB1678" s="20">
        <v>81171.61</v>
      </c>
      <c r="AC1678" s="20">
        <v>636148.04</v>
      </c>
    </row>
    <row r="1679" spans="1:29" x14ac:dyDescent="0.25">
      <c r="A1679" s="20" t="s">
        <v>1383</v>
      </c>
      <c r="B1679" s="20" t="s">
        <v>2191</v>
      </c>
      <c r="C1679" s="20">
        <v>0</v>
      </c>
      <c r="AA1679" s="20" t="s">
        <v>196</v>
      </c>
      <c r="AB1679" s="20">
        <v>6496.92</v>
      </c>
      <c r="AC1679" s="20">
        <v>61105.77</v>
      </c>
    </row>
    <row r="1680" spans="1:29" x14ac:dyDescent="0.25">
      <c r="A1680" s="20" t="s">
        <v>1135</v>
      </c>
      <c r="B1680" s="20" t="s">
        <v>2191</v>
      </c>
      <c r="C1680" s="20">
        <v>0</v>
      </c>
      <c r="AA1680" s="20" t="s">
        <v>3324</v>
      </c>
      <c r="AB1680" s="20">
        <v>-5967.83</v>
      </c>
      <c r="AC1680" s="20">
        <v>0</v>
      </c>
    </row>
    <row r="1681" spans="1:29" x14ac:dyDescent="0.25">
      <c r="A1681" s="20" t="s">
        <v>322</v>
      </c>
      <c r="B1681" s="20" t="s">
        <v>2191</v>
      </c>
      <c r="C1681" s="20">
        <v>0</v>
      </c>
      <c r="AA1681" s="20" t="s">
        <v>1195</v>
      </c>
      <c r="AB1681" s="20">
        <v>-86.06</v>
      </c>
      <c r="AC1681" s="20">
        <v>20657.95</v>
      </c>
    </row>
    <row r="1682" spans="1:29" x14ac:dyDescent="0.25">
      <c r="A1682" s="20" t="s">
        <v>2924</v>
      </c>
      <c r="B1682" s="20" t="s">
        <v>2191</v>
      </c>
      <c r="C1682" s="20">
        <v>0</v>
      </c>
      <c r="AA1682" s="20" t="s">
        <v>1508</v>
      </c>
      <c r="AB1682" s="20">
        <v>574.45000000000005</v>
      </c>
      <c r="AC1682" s="20">
        <v>13009.67</v>
      </c>
    </row>
    <row r="1683" spans="1:29" x14ac:dyDescent="0.25">
      <c r="A1683" s="20" t="s">
        <v>1868</v>
      </c>
      <c r="B1683" s="20" t="s">
        <v>2191</v>
      </c>
      <c r="C1683" s="20">
        <v>0</v>
      </c>
      <c r="AA1683" s="20" t="s">
        <v>198</v>
      </c>
      <c r="AB1683" s="20">
        <v>37120.19</v>
      </c>
      <c r="AC1683" s="20">
        <v>422870.21</v>
      </c>
    </row>
    <row r="1684" spans="1:29" x14ac:dyDescent="0.25">
      <c r="A1684" s="20" t="s">
        <v>932</v>
      </c>
      <c r="B1684" s="20" t="s">
        <v>2191</v>
      </c>
      <c r="C1684" s="20">
        <v>0</v>
      </c>
      <c r="AA1684" s="20" t="s">
        <v>839</v>
      </c>
      <c r="AB1684" s="20">
        <v>31604.92</v>
      </c>
      <c r="AC1684" s="20">
        <v>209941.23</v>
      </c>
    </row>
    <row r="1685" spans="1:29" x14ac:dyDescent="0.25">
      <c r="A1685" s="20" t="s">
        <v>2117</v>
      </c>
      <c r="B1685" s="20" t="s">
        <v>2191</v>
      </c>
      <c r="C1685" s="20">
        <v>0</v>
      </c>
      <c r="AA1685" s="20" t="s">
        <v>574</v>
      </c>
      <c r="AB1685" s="20">
        <v>-383.9</v>
      </c>
      <c r="AC1685" s="20">
        <v>26206.52</v>
      </c>
    </row>
    <row r="1686" spans="1:29" x14ac:dyDescent="0.25">
      <c r="A1686" s="20" t="s">
        <v>1045</v>
      </c>
      <c r="B1686" s="20" t="s">
        <v>2191</v>
      </c>
      <c r="C1686" s="20">
        <v>0</v>
      </c>
      <c r="AA1686" s="20" t="s">
        <v>1790</v>
      </c>
      <c r="AB1686" s="20">
        <v>8690.36</v>
      </c>
      <c r="AC1686" s="20">
        <v>201922.5</v>
      </c>
    </row>
    <row r="1687" spans="1:29" x14ac:dyDescent="0.25">
      <c r="A1687" s="20" t="s">
        <v>1711</v>
      </c>
      <c r="B1687" s="20" t="s">
        <v>2191</v>
      </c>
      <c r="C1687" s="20">
        <v>0</v>
      </c>
      <c r="AA1687" s="20" t="s">
        <v>1791</v>
      </c>
      <c r="AB1687" s="20">
        <v>-1046.77</v>
      </c>
      <c r="AC1687" s="20">
        <v>5334.74</v>
      </c>
    </row>
    <row r="1688" spans="1:29" x14ac:dyDescent="0.25">
      <c r="A1688" s="20" t="s">
        <v>1899</v>
      </c>
      <c r="B1688" s="20" t="s">
        <v>2191</v>
      </c>
      <c r="C1688" s="20">
        <v>0</v>
      </c>
      <c r="AA1688" s="20" t="s">
        <v>1510</v>
      </c>
      <c r="AB1688" s="20">
        <v>255367.65</v>
      </c>
      <c r="AC1688" s="20">
        <v>794757.71</v>
      </c>
    </row>
    <row r="1689" spans="1:29" x14ac:dyDescent="0.25">
      <c r="A1689" s="20" t="s">
        <v>515</v>
      </c>
      <c r="B1689" s="20" t="s">
        <v>2191</v>
      </c>
      <c r="C1689" s="20">
        <v>0</v>
      </c>
      <c r="AA1689" s="20" t="s">
        <v>200</v>
      </c>
      <c r="AB1689" s="20">
        <v>33766.28</v>
      </c>
      <c r="AC1689" s="20">
        <v>382101.4</v>
      </c>
    </row>
    <row r="1690" spans="1:29" x14ac:dyDescent="0.25">
      <c r="A1690" s="20" t="s">
        <v>2020</v>
      </c>
      <c r="B1690" s="20" t="s">
        <v>2191</v>
      </c>
      <c r="C1690" s="20">
        <v>0</v>
      </c>
      <c r="AA1690" s="20" t="s">
        <v>1059</v>
      </c>
      <c r="AB1690" s="20">
        <v>-268.83</v>
      </c>
      <c r="AC1690" s="20">
        <v>2250.5500000000002</v>
      </c>
    </row>
    <row r="1691" spans="1:29" x14ac:dyDescent="0.25">
      <c r="A1691" s="20" t="s">
        <v>2925</v>
      </c>
      <c r="B1691" s="20" t="s">
        <v>2191</v>
      </c>
      <c r="C1691" s="20">
        <v>0</v>
      </c>
      <c r="AA1691" s="20" t="s">
        <v>2986</v>
      </c>
      <c r="AB1691" s="20">
        <v>-811.26</v>
      </c>
      <c r="AC1691" s="20">
        <v>3664.25</v>
      </c>
    </row>
    <row r="1692" spans="1:29" x14ac:dyDescent="0.25">
      <c r="A1692" s="20" t="s">
        <v>1305</v>
      </c>
      <c r="B1692" s="20" t="s">
        <v>2191</v>
      </c>
      <c r="C1692" s="20">
        <v>0</v>
      </c>
      <c r="AA1692" s="20" t="s">
        <v>224</v>
      </c>
      <c r="AB1692" s="20">
        <v>107836.92</v>
      </c>
      <c r="AC1692" s="20">
        <v>100031.43</v>
      </c>
    </row>
    <row r="1693" spans="1:29" x14ac:dyDescent="0.25">
      <c r="A1693" s="20" t="s">
        <v>1990</v>
      </c>
      <c r="B1693" s="20" t="s">
        <v>2191</v>
      </c>
      <c r="C1693" s="20">
        <v>0</v>
      </c>
      <c r="AA1693" s="20" t="s">
        <v>3096</v>
      </c>
      <c r="AB1693" s="20">
        <v>887.79</v>
      </c>
      <c r="AC1693" s="20">
        <v>25331</v>
      </c>
    </row>
    <row r="1694" spans="1:29" x14ac:dyDescent="0.25">
      <c r="A1694" s="20" t="s">
        <v>2926</v>
      </c>
      <c r="B1694" s="20" t="s">
        <v>2191</v>
      </c>
      <c r="C1694" s="20">
        <v>0</v>
      </c>
      <c r="AA1694" s="20" t="s">
        <v>201</v>
      </c>
      <c r="AB1694" s="20">
        <v>-288.20999999999998</v>
      </c>
      <c r="AC1694" s="20">
        <v>0</v>
      </c>
    </row>
    <row r="1695" spans="1:29" x14ac:dyDescent="0.25">
      <c r="A1695" s="20" t="s">
        <v>1712</v>
      </c>
      <c r="B1695" s="20" t="s">
        <v>2191</v>
      </c>
      <c r="C1695" s="20">
        <v>0</v>
      </c>
      <c r="AA1695" s="20" t="s">
        <v>1426</v>
      </c>
      <c r="AB1695" s="20">
        <v>-393.14</v>
      </c>
      <c r="AC1695" s="20">
        <v>182.88</v>
      </c>
    </row>
    <row r="1696" spans="1:29" x14ac:dyDescent="0.25">
      <c r="A1696" s="20" t="s">
        <v>2021</v>
      </c>
      <c r="B1696" s="20" t="s">
        <v>2191</v>
      </c>
      <c r="C1696" s="20">
        <v>0</v>
      </c>
      <c r="AA1696" s="20" t="s">
        <v>1427</v>
      </c>
      <c r="AB1696" s="20">
        <v>-19.04</v>
      </c>
      <c r="AC1696" s="20">
        <v>4452.26</v>
      </c>
    </row>
    <row r="1697" spans="1:29" x14ac:dyDescent="0.25">
      <c r="A1697" s="20" t="s">
        <v>517</v>
      </c>
      <c r="B1697" s="20" t="s">
        <v>2191</v>
      </c>
      <c r="C1697" s="20">
        <v>0</v>
      </c>
      <c r="AA1697" s="20" t="s">
        <v>2963</v>
      </c>
      <c r="AB1697" s="20">
        <v>30127.15</v>
      </c>
      <c r="AC1697" s="20">
        <v>105661.98</v>
      </c>
    </row>
    <row r="1698" spans="1:29" x14ac:dyDescent="0.25">
      <c r="A1698" s="20" t="s">
        <v>1713</v>
      </c>
      <c r="B1698" s="20" t="s">
        <v>2191</v>
      </c>
      <c r="C1698" s="20">
        <v>0</v>
      </c>
      <c r="AA1698" s="20" t="s">
        <v>204</v>
      </c>
      <c r="AB1698" s="20">
        <v>429.43</v>
      </c>
      <c r="AC1698" s="20">
        <v>43711.7</v>
      </c>
    </row>
    <row r="1699" spans="1:29" x14ac:dyDescent="0.25">
      <c r="A1699" s="20" t="s">
        <v>1030</v>
      </c>
      <c r="B1699" s="20" t="s">
        <v>2191</v>
      </c>
      <c r="C1699" s="20">
        <v>0</v>
      </c>
      <c r="AA1699" s="20" t="s">
        <v>798</v>
      </c>
      <c r="AB1699" s="20">
        <v>-1677.13</v>
      </c>
      <c r="AC1699" s="20">
        <v>31311.07</v>
      </c>
    </row>
    <row r="1700" spans="1:29" x14ac:dyDescent="0.25">
      <c r="A1700" s="20" t="s">
        <v>136</v>
      </c>
      <c r="B1700" s="20" t="s">
        <v>2191</v>
      </c>
      <c r="C1700" s="20">
        <v>0</v>
      </c>
      <c r="AA1700" s="20" t="s">
        <v>1792</v>
      </c>
      <c r="AB1700" s="20">
        <v>-836.2</v>
      </c>
      <c r="AC1700" s="20">
        <v>0</v>
      </c>
    </row>
    <row r="1701" spans="1:29" x14ac:dyDescent="0.25">
      <c r="A1701" s="20" t="s">
        <v>1478</v>
      </c>
      <c r="B1701" s="20" t="s">
        <v>2191</v>
      </c>
      <c r="C1701" s="20">
        <v>1216</v>
      </c>
      <c r="AA1701" s="20" t="s">
        <v>841</v>
      </c>
      <c r="AB1701" s="20">
        <v>-886.6</v>
      </c>
      <c r="AC1701" s="20">
        <v>42691.79</v>
      </c>
    </row>
    <row r="1702" spans="1:29" x14ac:dyDescent="0.25">
      <c r="A1702" s="20" t="s">
        <v>2927</v>
      </c>
      <c r="B1702" s="20" t="s">
        <v>2191</v>
      </c>
      <c r="C1702" s="20">
        <v>0</v>
      </c>
      <c r="AA1702" s="20" t="s">
        <v>442</v>
      </c>
      <c r="AB1702" s="20">
        <v>281797.34999999998</v>
      </c>
      <c r="AC1702" s="20">
        <v>658152.62</v>
      </c>
    </row>
    <row r="1703" spans="1:29" x14ac:dyDescent="0.25">
      <c r="A1703" s="20" t="s">
        <v>2928</v>
      </c>
      <c r="B1703" s="20" t="s">
        <v>2191</v>
      </c>
      <c r="C1703" s="20">
        <v>0</v>
      </c>
      <c r="AA1703" s="20" t="s">
        <v>205</v>
      </c>
      <c r="AB1703" s="20">
        <v>323.26</v>
      </c>
      <c r="AC1703" s="20">
        <v>31458.73</v>
      </c>
    </row>
    <row r="1704" spans="1:29" x14ac:dyDescent="0.25">
      <c r="A1704" s="20" t="s">
        <v>1869</v>
      </c>
      <c r="B1704" s="20" t="s">
        <v>2191</v>
      </c>
      <c r="C1704" s="20">
        <v>0</v>
      </c>
      <c r="AA1704" s="20" t="s">
        <v>1345</v>
      </c>
      <c r="AB1704" s="20">
        <v>2937.39</v>
      </c>
      <c r="AC1704" s="20">
        <v>39887.379999999997</v>
      </c>
    </row>
    <row r="1705" spans="1:29" x14ac:dyDescent="0.25">
      <c r="A1705" s="20" t="s">
        <v>324</v>
      </c>
      <c r="B1705" s="20" t="s">
        <v>2191</v>
      </c>
      <c r="C1705" s="20">
        <v>0</v>
      </c>
      <c r="AA1705" s="20" t="s">
        <v>1541</v>
      </c>
      <c r="AB1705" s="20">
        <v>-26733.4</v>
      </c>
      <c r="AC1705" s="20">
        <v>205255.81</v>
      </c>
    </row>
    <row r="1706" spans="1:29" x14ac:dyDescent="0.25">
      <c r="A1706" s="20" t="s">
        <v>477</v>
      </c>
      <c r="B1706" s="20" t="s">
        <v>2191</v>
      </c>
      <c r="C1706" s="20">
        <v>0</v>
      </c>
      <c r="AA1706" s="20" t="s">
        <v>207</v>
      </c>
      <c r="AB1706" s="20">
        <v>5584.57</v>
      </c>
      <c r="AC1706" s="20">
        <v>18833.669999999998</v>
      </c>
    </row>
    <row r="1707" spans="1:29" x14ac:dyDescent="0.25">
      <c r="A1707" s="20" t="s">
        <v>518</v>
      </c>
      <c r="B1707" s="20" t="s">
        <v>2191</v>
      </c>
      <c r="C1707" s="20">
        <v>0</v>
      </c>
      <c r="AA1707" s="20" t="s">
        <v>842</v>
      </c>
      <c r="AB1707" s="20">
        <v>36878.29</v>
      </c>
      <c r="AC1707" s="20">
        <v>24366.27</v>
      </c>
    </row>
    <row r="1708" spans="1:29" x14ac:dyDescent="0.25">
      <c r="A1708" s="20" t="s">
        <v>2929</v>
      </c>
      <c r="B1708" s="20" t="s">
        <v>2191</v>
      </c>
      <c r="C1708" s="20">
        <v>0</v>
      </c>
      <c r="AA1708" s="20" t="s">
        <v>980</v>
      </c>
      <c r="AB1708" s="20">
        <v>83513.77</v>
      </c>
      <c r="AC1708" s="20">
        <v>1009546.19</v>
      </c>
    </row>
    <row r="1709" spans="1:29" x14ac:dyDescent="0.25">
      <c r="A1709" s="20" t="s">
        <v>810</v>
      </c>
      <c r="B1709" s="20" t="s">
        <v>2191</v>
      </c>
      <c r="C1709" s="20">
        <v>0</v>
      </c>
      <c r="AA1709" s="20" t="s">
        <v>1542</v>
      </c>
      <c r="AB1709" s="20">
        <v>-388227.8</v>
      </c>
      <c r="AC1709" s="20">
        <v>19907.259999999998</v>
      </c>
    </row>
    <row r="1710" spans="1:29" x14ac:dyDescent="0.25">
      <c r="A1710" s="20" t="s">
        <v>459</v>
      </c>
      <c r="B1710" s="20" t="s">
        <v>2191</v>
      </c>
      <c r="C1710" s="20">
        <v>0</v>
      </c>
      <c r="AA1710" s="20" t="s">
        <v>2964</v>
      </c>
      <c r="AB1710" s="20">
        <v>-2113.42</v>
      </c>
      <c r="AC1710" s="20">
        <v>0</v>
      </c>
    </row>
    <row r="1711" spans="1:29" x14ac:dyDescent="0.25">
      <c r="A1711" s="20" t="s">
        <v>520</v>
      </c>
      <c r="B1711" s="20" t="s">
        <v>2191</v>
      </c>
      <c r="C1711" s="20">
        <v>0</v>
      </c>
      <c r="AA1711" s="20" t="s">
        <v>575</v>
      </c>
      <c r="AB1711" s="20">
        <v>-831.43</v>
      </c>
      <c r="AC1711" s="20">
        <v>5558.43</v>
      </c>
    </row>
    <row r="1712" spans="1:29" x14ac:dyDescent="0.25">
      <c r="A1712" s="20" t="s">
        <v>1232</v>
      </c>
      <c r="B1712" s="20" t="s">
        <v>2191</v>
      </c>
      <c r="C1712" s="20">
        <v>2851</v>
      </c>
      <c r="AA1712" s="20" t="s">
        <v>1249</v>
      </c>
      <c r="AB1712" s="20">
        <v>8284.39</v>
      </c>
      <c r="AC1712" s="20">
        <v>117969.65</v>
      </c>
    </row>
    <row r="1713" spans="1:29" x14ac:dyDescent="0.25">
      <c r="A1713" s="20" t="s">
        <v>1714</v>
      </c>
      <c r="B1713" s="20" t="s">
        <v>2191</v>
      </c>
      <c r="C1713" s="20">
        <v>0</v>
      </c>
      <c r="AA1713" s="20" t="s">
        <v>577</v>
      </c>
      <c r="AB1713" s="20">
        <v>37896.480000000003</v>
      </c>
      <c r="AC1713" s="20">
        <v>6376.3</v>
      </c>
    </row>
    <row r="1714" spans="1:29" x14ac:dyDescent="0.25">
      <c r="A1714" s="20" t="s">
        <v>1137</v>
      </c>
      <c r="B1714" s="20" t="s">
        <v>2191</v>
      </c>
      <c r="C1714" s="20">
        <v>0</v>
      </c>
      <c r="AA1714" s="20" t="s">
        <v>1250</v>
      </c>
      <c r="AB1714" s="20">
        <v>-5667.13</v>
      </c>
      <c r="AC1714" s="20">
        <v>10496.27</v>
      </c>
    </row>
    <row r="1715" spans="1:29" x14ac:dyDescent="0.25">
      <c r="A1715" s="20" t="s">
        <v>75</v>
      </c>
      <c r="B1715" s="20" t="s">
        <v>2191</v>
      </c>
      <c r="C1715" s="20">
        <v>23346.79</v>
      </c>
      <c r="AA1715" s="20" t="s">
        <v>1428</v>
      </c>
      <c r="AB1715" s="20">
        <v>3035.66</v>
      </c>
      <c r="AC1715" s="20">
        <v>56660.98</v>
      </c>
    </row>
    <row r="1716" spans="1:29" x14ac:dyDescent="0.25">
      <c r="A1716" s="20" t="s">
        <v>1519</v>
      </c>
      <c r="B1716" s="20" t="s">
        <v>2191</v>
      </c>
      <c r="C1716" s="20">
        <v>0</v>
      </c>
      <c r="AA1716" s="20" t="s">
        <v>357</v>
      </c>
      <c r="AB1716" s="20">
        <v>-10.9</v>
      </c>
      <c r="AC1716" s="20">
        <v>1211.6600000000001</v>
      </c>
    </row>
    <row r="1717" spans="1:29" x14ac:dyDescent="0.25">
      <c r="A1717" s="20" t="s">
        <v>2022</v>
      </c>
      <c r="B1717" s="20" t="s">
        <v>2191</v>
      </c>
      <c r="C1717" s="20">
        <v>0</v>
      </c>
      <c r="AA1717" s="20" t="s">
        <v>578</v>
      </c>
      <c r="AB1717" s="20">
        <v>3258.73</v>
      </c>
      <c r="AC1717" s="20">
        <v>51543.83</v>
      </c>
    </row>
    <row r="1718" spans="1:29" x14ac:dyDescent="0.25">
      <c r="A1718" s="20" t="s">
        <v>2083</v>
      </c>
      <c r="B1718" s="20" t="s">
        <v>2191</v>
      </c>
      <c r="C1718" s="20">
        <v>0</v>
      </c>
      <c r="AA1718" s="20" t="s">
        <v>799</v>
      </c>
      <c r="AB1718" s="20">
        <v>7250.58</v>
      </c>
      <c r="AC1718" s="20">
        <v>26036.15</v>
      </c>
    </row>
    <row r="1719" spans="1:29" x14ac:dyDescent="0.25">
      <c r="A1719" s="20" t="s">
        <v>736</v>
      </c>
      <c r="B1719" s="20" t="s">
        <v>2191</v>
      </c>
      <c r="C1719" s="20">
        <v>0</v>
      </c>
      <c r="AA1719" s="20" t="s">
        <v>1061</v>
      </c>
      <c r="AB1719" s="20">
        <v>-148.47</v>
      </c>
      <c r="AC1719" s="20">
        <v>0</v>
      </c>
    </row>
    <row r="1720" spans="1:29" x14ac:dyDescent="0.25">
      <c r="A1720" s="20" t="s">
        <v>1031</v>
      </c>
      <c r="B1720" s="20" t="s">
        <v>2191</v>
      </c>
      <c r="C1720" s="20">
        <v>0</v>
      </c>
      <c r="AA1720" s="20" t="s">
        <v>3325</v>
      </c>
      <c r="AB1720" s="20">
        <v>-636</v>
      </c>
      <c r="AC1720" s="20">
        <v>0</v>
      </c>
    </row>
    <row r="1721" spans="1:29" x14ac:dyDescent="0.25">
      <c r="A1721" s="20" t="s">
        <v>1234</v>
      </c>
      <c r="B1721" s="20" t="s">
        <v>2191</v>
      </c>
      <c r="C1721" s="20">
        <v>47858.77</v>
      </c>
      <c r="AA1721" s="20" t="s">
        <v>384</v>
      </c>
      <c r="AB1721" s="20">
        <v>18151.66</v>
      </c>
      <c r="AC1721" s="20">
        <v>48602.47</v>
      </c>
    </row>
    <row r="1722" spans="1:29" x14ac:dyDescent="0.25">
      <c r="A1722" s="20" t="s">
        <v>1715</v>
      </c>
      <c r="B1722" s="20" t="s">
        <v>2191</v>
      </c>
      <c r="C1722" s="20">
        <v>0</v>
      </c>
      <c r="AA1722" s="20" t="s">
        <v>801</v>
      </c>
      <c r="AB1722" s="20">
        <v>7874.94</v>
      </c>
      <c r="AC1722" s="20">
        <v>58371.83</v>
      </c>
    </row>
    <row r="1723" spans="1:29" x14ac:dyDescent="0.25">
      <c r="A1723" s="20" t="s">
        <v>1716</v>
      </c>
      <c r="B1723" s="20" t="s">
        <v>2191</v>
      </c>
      <c r="C1723" s="20">
        <v>0</v>
      </c>
      <c r="AA1723" s="20" t="s">
        <v>582</v>
      </c>
      <c r="AB1723" s="20">
        <v>11372.66</v>
      </c>
      <c r="AC1723" s="20">
        <v>225434.15</v>
      </c>
    </row>
    <row r="1724" spans="1:29" x14ac:dyDescent="0.25">
      <c r="A1724" s="20" t="s">
        <v>1717</v>
      </c>
      <c r="B1724" s="20" t="s">
        <v>2191</v>
      </c>
      <c r="C1724" s="20">
        <v>0</v>
      </c>
      <c r="AA1724" s="20" t="s">
        <v>1793</v>
      </c>
      <c r="AB1724" s="20">
        <v>44.01</v>
      </c>
      <c r="AC1724" s="20">
        <v>58402.61</v>
      </c>
    </row>
    <row r="1725" spans="1:29" x14ac:dyDescent="0.25">
      <c r="A1725" s="20" t="s">
        <v>2930</v>
      </c>
      <c r="B1725" s="20" t="s">
        <v>2191</v>
      </c>
      <c r="C1725" s="20">
        <v>0</v>
      </c>
      <c r="AA1725" s="20" t="s">
        <v>100</v>
      </c>
      <c r="AB1725" s="20">
        <v>142972.57</v>
      </c>
      <c r="AC1725" s="20">
        <v>585258.30000000005</v>
      </c>
    </row>
    <row r="1726" spans="1:29" x14ac:dyDescent="0.25">
      <c r="A1726" s="20" t="s">
        <v>2931</v>
      </c>
      <c r="B1726" s="20" t="s">
        <v>2191</v>
      </c>
      <c r="C1726" s="20">
        <v>0</v>
      </c>
      <c r="AA1726" s="20" t="s">
        <v>385</v>
      </c>
      <c r="AB1726" s="20">
        <v>47164.15</v>
      </c>
      <c r="AC1726" s="20">
        <v>547737.97</v>
      </c>
    </row>
    <row r="1727" spans="1:29" x14ac:dyDescent="0.25">
      <c r="A1727" s="20" t="s">
        <v>1306</v>
      </c>
      <c r="B1727" s="20" t="s">
        <v>2191</v>
      </c>
      <c r="C1727" s="20">
        <v>0</v>
      </c>
      <c r="AA1727" s="20" t="s">
        <v>210</v>
      </c>
      <c r="AB1727" s="20">
        <v>-1387.79</v>
      </c>
      <c r="AC1727" s="20">
        <v>8774.23</v>
      </c>
    </row>
    <row r="1728" spans="1:29" x14ac:dyDescent="0.25">
      <c r="A1728" s="20" t="s">
        <v>2932</v>
      </c>
      <c r="B1728" s="20" t="s">
        <v>2191</v>
      </c>
      <c r="C1728" s="20">
        <v>0</v>
      </c>
      <c r="AA1728" s="20" t="s">
        <v>211</v>
      </c>
      <c r="AB1728" s="20">
        <v>-445.33</v>
      </c>
      <c r="AC1728" s="20">
        <v>4189.5</v>
      </c>
    </row>
    <row r="1729" spans="1:29" x14ac:dyDescent="0.25">
      <c r="A1729" s="20" t="s">
        <v>2933</v>
      </c>
      <c r="B1729" s="20" t="s">
        <v>2191</v>
      </c>
      <c r="C1729" s="20">
        <v>0</v>
      </c>
      <c r="AA1729" s="20" t="s">
        <v>213</v>
      </c>
      <c r="AB1729" s="20">
        <v>1824.09</v>
      </c>
      <c r="AC1729" s="20">
        <v>21279.53</v>
      </c>
    </row>
    <row r="1730" spans="1:29" x14ac:dyDescent="0.25">
      <c r="A1730" s="20" t="s">
        <v>1480</v>
      </c>
      <c r="B1730" s="20" t="s">
        <v>2191</v>
      </c>
      <c r="C1730" s="20">
        <v>0</v>
      </c>
      <c r="AA1730" s="20" t="s">
        <v>671</v>
      </c>
      <c r="AB1730" s="20">
        <v>12803.29</v>
      </c>
      <c r="AC1730" s="20">
        <v>414194.3</v>
      </c>
    </row>
    <row r="1731" spans="1:29" x14ac:dyDescent="0.25">
      <c r="A1731" s="20" t="s">
        <v>737</v>
      </c>
      <c r="B1731" s="20" t="s">
        <v>2191</v>
      </c>
      <c r="C1731" s="20">
        <v>23863.119999999999</v>
      </c>
      <c r="AA1731" s="20" t="s">
        <v>984</v>
      </c>
      <c r="AB1731" s="20">
        <v>409.16</v>
      </c>
      <c r="AC1731" s="20">
        <v>13210.28</v>
      </c>
    </row>
    <row r="1732" spans="1:29" x14ac:dyDescent="0.25">
      <c r="A1732" s="20" t="s">
        <v>2934</v>
      </c>
      <c r="B1732" s="20" t="s">
        <v>2191</v>
      </c>
      <c r="C1732" s="20">
        <v>0</v>
      </c>
      <c r="AA1732" s="20" t="s">
        <v>1062</v>
      </c>
      <c r="AB1732" s="20">
        <v>54.17</v>
      </c>
      <c r="AC1732" s="20">
        <v>33836.36</v>
      </c>
    </row>
    <row r="1733" spans="1:29" x14ac:dyDescent="0.25">
      <c r="A1733" s="20" t="s">
        <v>2935</v>
      </c>
      <c r="B1733" s="20" t="s">
        <v>2191</v>
      </c>
      <c r="C1733" s="20">
        <v>0</v>
      </c>
      <c r="AA1733" s="20" t="s">
        <v>844</v>
      </c>
      <c r="AB1733" s="20">
        <v>-50.46</v>
      </c>
      <c r="AC1733" s="20">
        <v>12143.15</v>
      </c>
    </row>
    <row r="1734" spans="1:29" x14ac:dyDescent="0.25">
      <c r="A1734" s="20" t="s">
        <v>1718</v>
      </c>
      <c r="B1734" s="20" t="s">
        <v>2191</v>
      </c>
      <c r="C1734" s="20">
        <v>0</v>
      </c>
      <c r="AA1734" s="20" t="s">
        <v>1064</v>
      </c>
      <c r="AB1734" s="20">
        <v>-631.13</v>
      </c>
      <c r="AC1734" s="20">
        <v>0</v>
      </c>
    </row>
    <row r="1735" spans="1:29" x14ac:dyDescent="0.25">
      <c r="A1735" s="20" t="s">
        <v>1307</v>
      </c>
      <c r="B1735" s="20" t="s">
        <v>2191</v>
      </c>
      <c r="C1735" s="20">
        <v>0</v>
      </c>
      <c r="AA1735" s="20" t="s">
        <v>1814</v>
      </c>
      <c r="AB1735" s="20">
        <v>1448.98</v>
      </c>
      <c r="AC1735" s="20">
        <v>191375.8</v>
      </c>
    </row>
    <row r="1736" spans="1:29" x14ac:dyDescent="0.25">
      <c r="A1736" s="20" t="s">
        <v>2936</v>
      </c>
      <c r="B1736" s="20" t="s">
        <v>2191</v>
      </c>
      <c r="C1736" s="20">
        <v>0</v>
      </c>
      <c r="AA1736" s="20" t="s">
        <v>1809</v>
      </c>
      <c r="AB1736" s="20">
        <v>51847.46</v>
      </c>
      <c r="AC1736" s="20">
        <v>86139.42</v>
      </c>
    </row>
    <row r="1737" spans="1:29" x14ac:dyDescent="0.25">
      <c r="A1737" s="20" t="s">
        <v>2937</v>
      </c>
      <c r="B1737" s="20" t="s">
        <v>2191</v>
      </c>
      <c r="C1737" s="20">
        <v>0</v>
      </c>
      <c r="AA1737" s="20" t="s">
        <v>1811</v>
      </c>
      <c r="AB1737" s="20">
        <v>-539.4</v>
      </c>
      <c r="AC1737" s="20">
        <v>26418</v>
      </c>
    </row>
    <row r="1738" spans="1:29" x14ac:dyDescent="0.25">
      <c r="A1738" s="20" t="s">
        <v>225</v>
      </c>
      <c r="B1738" s="20" t="s">
        <v>2191</v>
      </c>
      <c r="C1738" s="20">
        <v>0</v>
      </c>
      <c r="AA1738" s="20" t="s">
        <v>1813</v>
      </c>
      <c r="AB1738" s="20">
        <v>-1009.4</v>
      </c>
      <c r="AC1738" s="20">
        <v>3521.47</v>
      </c>
    </row>
    <row r="1739" spans="1:29" x14ac:dyDescent="0.25">
      <c r="A1739" s="20" t="s">
        <v>2938</v>
      </c>
      <c r="B1739" s="20" t="s">
        <v>2191</v>
      </c>
      <c r="C1739" s="20">
        <v>0</v>
      </c>
      <c r="AA1739" s="20" t="s">
        <v>1993</v>
      </c>
      <c r="AB1739" s="20">
        <v>-87.74</v>
      </c>
      <c r="AC1739" s="20">
        <v>3055.41</v>
      </c>
    </row>
    <row r="1740" spans="1:29" x14ac:dyDescent="0.25">
      <c r="A1740" s="20" t="s">
        <v>934</v>
      </c>
      <c r="B1740" s="20" t="s">
        <v>2191</v>
      </c>
      <c r="C1740" s="20">
        <v>6578</v>
      </c>
      <c r="AA1740" s="20" t="s">
        <v>3316</v>
      </c>
      <c r="AB1740" s="20">
        <v>-1.32</v>
      </c>
      <c r="AC1740" s="20">
        <v>0</v>
      </c>
    </row>
    <row r="1741" spans="1:29" x14ac:dyDescent="0.25">
      <c r="A1741" s="20" t="s">
        <v>1991</v>
      </c>
      <c r="B1741" s="20" t="s">
        <v>2191</v>
      </c>
      <c r="C1741" s="20">
        <v>0</v>
      </c>
      <c r="AA1741" s="20" t="s">
        <v>2097</v>
      </c>
      <c r="AB1741" s="20">
        <v>-1487.13</v>
      </c>
      <c r="AC1741" s="20">
        <v>178393.87</v>
      </c>
    </row>
    <row r="1742" spans="1:29" x14ac:dyDescent="0.25">
      <c r="A1742" s="20" t="s">
        <v>935</v>
      </c>
      <c r="B1742" s="20" t="s">
        <v>2191</v>
      </c>
      <c r="C1742" s="20">
        <v>0</v>
      </c>
      <c r="AA1742" s="20" t="s">
        <v>2024</v>
      </c>
      <c r="AB1742" s="20">
        <v>9198.5</v>
      </c>
      <c r="AC1742" s="20">
        <v>112415.17</v>
      </c>
    </row>
    <row r="1743" spans="1:29" x14ac:dyDescent="0.25">
      <c r="A1743" s="20" t="s">
        <v>1140</v>
      </c>
      <c r="B1743" s="20" t="s">
        <v>2191</v>
      </c>
      <c r="C1743" s="20">
        <v>0</v>
      </c>
      <c r="AA1743" s="20" t="s">
        <v>2989</v>
      </c>
      <c r="AB1743" s="20">
        <v>15828.29</v>
      </c>
      <c r="AC1743" s="20">
        <v>103362.72</v>
      </c>
    </row>
    <row r="1744" spans="1:29" x14ac:dyDescent="0.25">
      <c r="A1744" s="20" t="s">
        <v>326</v>
      </c>
      <c r="B1744" s="20" t="s">
        <v>2191</v>
      </c>
      <c r="C1744" s="20">
        <v>0</v>
      </c>
      <c r="AA1744" s="20" t="s">
        <v>2987</v>
      </c>
      <c r="AB1744" s="20">
        <v>-4.1100000000000003</v>
      </c>
      <c r="AC1744" s="20">
        <v>1613.5</v>
      </c>
    </row>
    <row r="1745" spans="1:29" x14ac:dyDescent="0.25">
      <c r="A1745" s="20" t="s">
        <v>1719</v>
      </c>
      <c r="B1745" s="20" t="s">
        <v>2191</v>
      </c>
      <c r="C1745" s="20">
        <v>0</v>
      </c>
      <c r="AA1745" s="20" t="s">
        <v>2991</v>
      </c>
      <c r="AB1745" s="20">
        <v>3498.63</v>
      </c>
      <c r="AC1745" s="20">
        <v>34652.43</v>
      </c>
    </row>
    <row r="1746" spans="1:29" x14ac:dyDescent="0.25">
      <c r="A1746" s="20" t="s">
        <v>2190</v>
      </c>
      <c r="B1746" s="20" t="s">
        <v>2191</v>
      </c>
      <c r="C1746" s="20">
        <v>0</v>
      </c>
      <c r="AA1746" s="20" t="s">
        <v>3002</v>
      </c>
      <c r="AB1746" s="20">
        <v>6192.29</v>
      </c>
      <c r="AC1746" s="20">
        <v>156000.82</v>
      </c>
    </row>
    <row r="1747" spans="1:29" x14ac:dyDescent="0.25">
      <c r="A1747" s="20" t="s">
        <v>1142</v>
      </c>
      <c r="B1747" s="20" t="s">
        <v>2191</v>
      </c>
      <c r="C1747" s="20">
        <v>0</v>
      </c>
      <c r="AA1747" s="20" t="s">
        <v>2998</v>
      </c>
      <c r="AB1747" s="20">
        <v>-176.29</v>
      </c>
      <c r="AC1747" s="20">
        <v>294.37</v>
      </c>
    </row>
    <row r="1748" spans="1:29" x14ac:dyDescent="0.25">
      <c r="A1748" s="20" t="s">
        <v>2939</v>
      </c>
      <c r="B1748" s="20" t="s">
        <v>2191</v>
      </c>
      <c r="C1748" s="20">
        <v>0</v>
      </c>
      <c r="AA1748" s="20" t="s">
        <v>3009</v>
      </c>
      <c r="AB1748" s="20">
        <v>15408.68</v>
      </c>
      <c r="AC1748" s="20">
        <v>87923.76</v>
      </c>
    </row>
    <row r="1749" spans="1:29" x14ac:dyDescent="0.25">
      <c r="A1749" s="20" t="s">
        <v>1309</v>
      </c>
      <c r="B1749" s="20" t="s">
        <v>2191</v>
      </c>
      <c r="C1749" s="20">
        <v>0</v>
      </c>
      <c r="AA1749" s="20" t="s">
        <v>3326</v>
      </c>
      <c r="AB1749" s="20">
        <v>-2024.43</v>
      </c>
      <c r="AC1749" s="20">
        <v>0</v>
      </c>
    </row>
    <row r="1750" spans="1:29" x14ac:dyDescent="0.25">
      <c r="A1750" s="20" t="s">
        <v>2940</v>
      </c>
      <c r="B1750" s="20" t="s">
        <v>2191</v>
      </c>
      <c r="C1750" s="20">
        <v>0</v>
      </c>
      <c r="AA1750" s="20" t="s">
        <v>3015</v>
      </c>
      <c r="AB1750" s="20">
        <v>-17325.740000000002</v>
      </c>
      <c r="AC1750" s="20">
        <v>15272.32</v>
      </c>
    </row>
    <row r="1751" spans="1:29" x14ac:dyDescent="0.25">
      <c r="A1751" s="20" t="s">
        <v>2163</v>
      </c>
      <c r="B1751" s="20" t="s">
        <v>2191</v>
      </c>
      <c r="C1751" s="20">
        <v>0</v>
      </c>
      <c r="AA1751" s="20" t="s">
        <v>3016</v>
      </c>
      <c r="AB1751" s="20">
        <v>-1860.72</v>
      </c>
      <c r="AC1751" s="20">
        <v>30841.17</v>
      </c>
    </row>
    <row r="1752" spans="1:29" x14ac:dyDescent="0.25">
      <c r="A1752" s="20" t="s">
        <v>137</v>
      </c>
      <c r="B1752" s="20" t="s">
        <v>2191</v>
      </c>
      <c r="C1752" s="20">
        <v>0</v>
      </c>
      <c r="AA1752" s="20" t="s">
        <v>3000</v>
      </c>
      <c r="AB1752" s="20">
        <v>-2905.16</v>
      </c>
      <c r="AC1752" s="20">
        <v>26168.11</v>
      </c>
    </row>
    <row r="1753" spans="1:29" x14ac:dyDescent="0.25">
      <c r="A1753" s="20" t="s">
        <v>2188</v>
      </c>
      <c r="B1753" s="20" t="s">
        <v>2191</v>
      </c>
      <c r="C1753" s="20">
        <v>0</v>
      </c>
      <c r="AA1753" s="20" t="s">
        <v>3013</v>
      </c>
      <c r="AB1753" s="20">
        <v>78.41</v>
      </c>
      <c r="AC1753" s="20">
        <v>55257.43</v>
      </c>
    </row>
    <row r="1754" spans="1:29" x14ac:dyDescent="0.25">
      <c r="A1754" s="20" t="s">
        <v>2189</v>
      </c>
      <c r="B1754" s="20" t="s">
        <v>2191</v>
      </c>
      <c r="C1754" s="20">
        <v>0</v>
      </c>
      <c r="AA1754" s="20" t="s">
        <v>3001</v>
      </c>
      <c r="AB1754" s="20">
        <v>2038.44</v>
      </c>
      <c r="AC1754" s="20">
        <v>14805.8</v>
      </c>
    </row>
    <row r="1755" spans="1:29" x14ac:dyDescent="0.25">
      <c r="A1755" s="20" t="s">
        <v>1023</v>
      </c>
      <c r="B1755" s="20" t="s">
        <v>2191</v>
      </c>
      <c r="C1755" s="20">
        <v>0</v>
      </c>
      <c r="AA1755" s="20" t="s">
        <v>3005</v>
      </c>
      <c r="AB1755" s="20">
        <v>6272.12</v>
      </c>
      <c r="AC1755" s="20">
        <v>58412.31</v>
      </c>
    </row>
    <row r="1756" spans="1:29" x14ac:dyDescent="0.25">
      <c r="A1756" s="20" t="s">
        <v>2941</v>
      </c>
      <c r="B1756" s="20" t="s">
        <v>2191</v>
      </c>
      <c r="C1756" s="20">
        <v>0</v>
      </c>
      <c r="AA1756" s="20" t="s">
        <v>3014</v>
      </c>
      <c r="AB1756" s="20">
        <v>-7541.94</v>
      </c>
      <c r="AC1756" s="20">
        <v>3239.51</v>
      </c>
    </row>
    <row r="1757" spans="1:29" x14ac:dyDescent="0.25">
      <c r="A1757" s="20" t="s">
        <v>738</v>
      </c>
      <c r="B1757" s="20" t="s">
        <v>2191</v>
      </c>
      <c r="C1757" s="20">
        <v>0</v>
      </c>
      <c r="AA1757" s="20" t="s">
        <v>3020</v>
      </c>
      <c r="AB1757" s="20">
        <v>6524.22</v>
      </c>
      <c r="AC1757" s="20">
        <v>36654.99</v>
      </c>
    </row>
    <row r="1758" spans="1:29" x14ac:dyDescent="0.25">
      <c r="A1758" s="20" t="s">
        <v>1144</v>
      </c>
      <c r="B1758" s="20" t="s">
        <v>2191</v>
      </c>
      <c r="C1758" s="20">
        <v>0</v>
      </c>
      <c r="AA1758" s="20" t="s">
        <v>3017</v>
      </c>
      <c r="AB1758" s="20">
        <v>4138.6899999999996</v>
      </c>
      <c r="AC1758" s="20">
        <v>87650.54</v>
      </c>
    </row>
    <row r="1759" spans="1:29" x14ac:dyDescent="0.25">
      <c r="A1759" s="20" t="s">
        <v>2084</v>
      </c>
      <c r="B1759" s="20" t="s">
        <v>2191</v>
      </c>
      <c r="C1759" s="20">
        <v>0</v>
      </c>
      <c r="AA1759" s="20" t="s">
        <v>3018</v>
      </c>
      <c r="AB1759" s="20">
        <v>-4.04</v>
      </c>
      <c r="AC1759" s="20">
        <v>0</v>
      </c>
    </row>
    <row r="1760" spans="1:29" x14ac:dyDescent="0.25">
      <c r="A1760" s="20" t="s">
        <v>1720</v>
      </c>
      <c r="B1760" s="20" t="s">
        <v>2191</v>
      </c>
      <c r="C1760" s="20">
        <v>0</v>
      </c>
      <c r="AA1760" s="20" t="s">
        <v>3046</v>
      </c>
      <c r="AB1760" s="20">
        <v>169.84</v>
      </c>
      <c r="AC1760" s="20">
        <v>2955.7</v>
      </c>
    </row>
    <row r="1761" spans="1:29" x14ac:dyDescent="0.25">
      <c r="A1761" s="20" t="s">
        <v>936</v>
      </c>
      <c r="B1761" s="20" t="s">
        <v>2191</v>
      </c>
      <c r="C1761" s="20">
        <v>0</v>
      </c>
      <c r="AA1761" s="20" t="s">
        <v>3034</v>
      </c>
      <c r="AB1761" s="20">
        <v>-16175.1</v>
      </c>
      <c r="AC1761" s="20">
        <v>14767.12</v>
      </c>
    </row>
    <row r="1762" spans="1:29" x14ac:dyDescent="0.25">
      <c r="A1762" s="20" t="s">
        <v>1025</v>
      </c>
      <c r="B1762" s="20" t="s">
        <v>2191</v>
      </c>
      <c r="C1762" s="20">
        <v>0</v>
      </c>
      <c r="AA1762" s="20" t="s">
        <v>3040</v>
      </c>
      <c r="AB1762" s="20">
        <v>-803.11</v>
      </c>
      <c r="AC1762" s="20">
        <v>44791.68</v>
      </c>
    </row>
    <row r="1763" spans="1:29" x14ac:dyDescent="0.25">
      <c r="A1763" s="20" t="s">
        <v>1146</v>
      </c>
      <c r="B1763" s="20" t="s">
        <v>2191</v>
      </c>
      <c r="C1763" s="20">
        <v>0</v>
      </c>
      <c r="AA1763" s="20" t="s">
        <v>3297</v>
      </c>
      <c r="AB1763" s="20">
        <v>-22.74</v>
      </c>
      <c r="AC1763" s="20">
        <v>0</v>
      </c>
    </row>
    <row r="1764" spans="1:29" x14ac:dyDescent="0.25">
      <c r="A1764" s="20" t="s">
        <v>522</v>
      </c>
      <c r="B1764" s="20" t="s">
        <v>2191</v>
      </c>
      <c r="C1764" s="20">
        <v>0</v>
      </c>
      <c r="AA1764" s="20" t="s">
        <v>3031</v>
      </c>
      <c r="AB1764" s="20">
        <v>-222.85</v>
      </c>
      <c r="AC1764" s="20">
        <v>0</v>
      </c>
    </row>
    <row r="1765" spans="1:29" x14ac:dyDescent="0.25">
      <c r="A1765" s="20" t="s">
        <v>524</v>
      </c>
      <c r="B1765" s="20" t="s">
        <v>2191</v>
      </c>
      <c r="C1765" s="20">
        <v>7789</v>
      </c>
      <c r="AA1765" s="20" t="s">
        <v>3327</v>
      </c>
      <c r="AB1765" s="20">
        <v>0</v>
      </c>
      <c r="AC1765" s="20">
        <v>0</v>
      </c>
    </row>
    <row r="1766" spans="1:29" x14ac:dyDescent="0.25">
      <c r="A1766" s="20" t="s">
        <v>331</v>
      </c>
      <c r="B1766" s="20" t="s">
        <v>2191</v>
      </c>
      <c r="C1766" s="20">
        <v>0</v>
      </c>
      <c r="AA1766" s="20" t="s">
        <v>3032</v>
      </c>
      <c r="AB1766" s="20">
        <v>-857.9</v>
      </c>
      <c r="AC1766" s="20">
        <v>738.39</v>
      </c>
    </row>
    <row r="1767" spans="1:29" x14ac:dyDescent="0.25">
      <c r="A1767" s="20" t="s">
        <v>912</v>
      </c>
      <c r="B1767" s="20" t="s">
        <v>2191</v>
      </c>
      <c r="C1767" s="20">
        <v>0</v>
      </c>
      <c r="AA1767" s="20" t="s">
        <v>3298</v>
      </c>
      <c r="AB1767" s="20">
        <v>-66.36</v>
      </c>
      <c r="AC1767" s="20">
        <v>0</v>
      </c>
    </row>
    <row r="1768" spans="1:29" x14ac:dyDescent="0.25">
      <c r="A1768" s="20" t="s">
        <v>526</v>
      </c>
      <c r="B1768" s="20" t="s">
        <v>2191</v>
      </c>
      <c r="C1768" s="20">
        <v>0</v>
      </c>
      <c r="AA1768" s="20" t="s">
        <v>3328</v>
      </c>
      <c r="AB1768" s="20">
        <v>-1598.84</v>
      </c>
      <c r="AC1768" s="20">
        <v>0</v>
      </c>
    </row>
    <row r="1769" spans="1:29" x14ac:dyDescent="0.25">
      <c r="A1769" s="20" t="s">
        <v>1520</v>
      </c>
      <c r="B1769" s="20" t="s">
        <v>2191</v>
      </c>
      <c r="C1769" s="20">
        <v>0</v>
      </c>
      <c r="AA1769" s="20" t="s">
        <v>3329</v>
      </c>
      <c r="AB1769" s="20">
        <v>0</v>
      </c>
      <c r="AC1769" s="20">
        <v>0</v>
      </c>
    </row>
    <row r="1770" spans="1:29" x14ac:dyDescent="0.25">
      <c r="A1770" s="20" t="s">
        <v>139</v>
      </c>
      <c r="B1770" s="20" t="s">
        <v>2191</v>
      </c>
      <c r="C1770" s="20">
        <v>0</v>
      </c>
      <c r="AA1770" s="20" t="s">
        <v>3026</v>
      </c>
      <c r="AB1770" s="20">
        <v>-245.73</v>
      </c>
      <c r="AC1770" s="20">
        <v>11331.96</v>
      </c>
    </row>
    <row r="1771" spans="1:29" x14ac:dyDescent="0.25">
      <c r="A1771" s="20" t="s">
        <v>2085</v>
      </c>
      <c r="B1771" s="20" t="s">
        <v>2191</v>
      </c>
      <c r="C1771" s="20">
        <v>0</v>
      </c>
      <c r="AA1771" s="20" t="s">
        <v>3023</v>
      </c>
      <c r="AB1771" s="20">
        <v>85782.77</v>
      </c>
      <c r="AC1771" s="20">
        <v>470404.23</v>
      </c>
    </row>
    <row r="1772" spans="1:29" x14ac:dyDescent="0.25">
      <c r="A1772" s="20" t="s">
        <v>140</v>
      </c>
      <c r="B1772" s="20" t="s">
        <v>2191</v>
      </c>
      <c r="C1772" s="20">
        <v>17096</v>
      </c>
      <c r="AA1772" s="20" t="s">
        <v>3037</v>
      </c>
      <c r="AB1772" s="20">
        <v>23226.94</v>
      </c>
      <c r="AC1772" s="20">
        <v>86030.79</v>
      </c>
    </row>
    <row r="1773" spans="1:29" x14ac:dyDescent="0.25">
      <c r="A1773" s="20" t="s">
        <v>1149</v>
      </c>
      <c r="B1773" s="20" t="s">
        <v>2191</v>
      </c>
      <c r="C1773" s="20">
        <v>0</v>
      </c>
      <c r="AA1773" s="20" t="s">
        <v>3041</v>
      </c>
      <c r="AB1773" s="20">
        <v>7586.36</v>
      </c>
      <c r="AC1773" s="20">
        <v>118510.63</v>
      </c>
    </row>
    <row r="1774" spans="1:29" x14ac:dyDescent="0.25">
      <c r="A1774" s="20" t="s">
        <v>1151</v>
      </c>
      <c r="B1774" s="20" t="s">
        <v>2191</v>
      </c>
      <c r="C1774" s="20">
        <v>0</v>
      </c>
      <c r="AA1774" s="20" t="s">
        <v>3035</v>
      </c>
      <c r="AB1774" s="20">
        <v>13127.2</v>
      </c>
      <c r="AC1774" s="20">
        <v>134231.19</v>
      </c>
    </row>
    <row r="1775" spans="1:29" x14ac:dyDescent="0.25">
      <c r="A1775" s="20" t="s">
        <v>739</v>
      </c>
      <c r="B1775" s="20" t="s">
        <v>2191</v>
      </c>
      <c r="C1775" s="20">
        <v>0</v>
      </c>
      <c r="AA1775" s="20" t="s">
        <v>3043</v>
      </c>
      <c r="AB1775" s="20">
        <v>1444.83</v>
      </c>
      <c r="AC1775" s="20">
        <v>56851.27</v>
      </c>
    </row>
    <row r="1776" spans="1:29" x14ac:dyDescent="0.25">
      <c r="A1776" s="20" t="s">
        <v>2942</v>
      </c>
      <c r="B1776" s="20" t="s">
        <v>2191</v>
      </c>
      <c r="C1776" s="20">
        <v>0</v>
      </c>
      <c r="AA1776" s="20" t="s">
        <v>3025</v>
      </c>
      <c r="AB1776" s="20">
        <v>17.96</v>
      </c>
      <c r="AC1776" s="20">
        <v>4969.21</v>
      </c>
    </row>
    <row r="1777" spans="1:29" x14ac:dyDescent="0.25">
      <c r="A1777" s="20" t="s">
        <v>142</v>
      </c>
      <c r="B1777" s="20" t="s">
        <v>2191</v>
      </c>
      <c r="C1777" s="20">
        <v>0</v>
      </c>
      <c r="AA1777" s="20" t="s">
        <v>3068</v>
      </c>
      <c r="AB1777" s="20">
        <v>9.92</v>
      </c>
      <c r="AC1777" s="20">
        <v>12274</v>
      </c>
    </row>
    <row r="1778" spans="1:29" x14ac:dyDescent="0.25">
      <c r="A1778" s="20" t="s">
        <v>1900</v>
      </c>
      <c r="B1778" s="20" t="s">
        <v>2191</v>
      </c>
      <c r="C1778" s="20">
        <v>0</v>
      </c>
      <c r="AA1778" s="20" t="s">
        <v>3044</v>
      </c>
      <c r="AB1778" s="20">
        <v>991.3</v>
      </c>
      <c r="AC1778" s="20">
        <v>31369.81</v>
      </c>
    </row>
    <row r="1779" spans="1:29" x14ac:dyDescent="0.25">
      <c r="A1779" s="20" t="s">
        <v>1482</v>
      </c>
      <c r="B1779" s="20" t="s">
        <v>2191</v>
      </c>
      <c r="C1779" s="20">
        <v>15569.97</v>
      </c>
      <c r="AA1779" s="20" t="s">
        <v>3027</v>
      </c>
      <c r="AB1779" s="20">
        <v>-1.87</v>
      </c>
      <c r="AC1779" s="20">
        <v>4093.74</v>
      </c>
    </row>
    <row r="1780" spans="1:29" x14ac:dyDescent="0.25">
      <c r="A1780" s="20" t="s">
        <v>1385</v>
      </c>
      <c r="B1780" s="20" t="s">
        <v>2191</v>
      </c>
      <c r="C1780" s="20">
        <v>4154</v>
      </c>
      <c r="AA1780" s="20" t="s">
        <v>3054</v>
      </c>
      <c r="AB1780" s="20">
        <v>117847.52</v>
      </c>
      <c r="AC1780" s="20">
        <v>1483672.61</v>
      </c>
    </row>
    <row r="1781" spans="1:29" x14ac:dyDescent="0.25">
      <c r="A1781" s="20" t="s">
        <v>144</v>
      </c>
      <c r="B1781" s="20" t="s">
        <v>2191</v>
      </c>
      <c r="C1781" s="20">
        <v>4952</v>
      </c>
      <c r="AA1781" s="20" t="s">
        <v>3056</v>
      </c>
      <c r="AB1781" s="20">
        <v>117460.26</v>
      </c>
      <c r="AC1781" s="20">
        <v>1537201.54</v>
      </c>
    </row>
    <row r="1782" spans="1:29" x14ac:dyDescent="0.25">
      <c r="A1782" s="20" t="s">
        <v>655</v>
      </c>
      <c r="B1782" s="20" t="s">
        <v>2191</v>
      </c>
      <c r="C1782" s="20">
        <v>0</v>
      </c>
      <c r="AA1782" s="20" t="s">
        <v>3047</v>
      </c>
      <c r="AB1782" s="20">
        <v>-45.39</v>
      </c>
      <c r="AC1782" s="20">
        <v>9412.85</v>
      </c>
    </row>
    <row r="1783" spans="1:29" x14ac:dyDescent="0.25">
      <c r="A1783" s="20" t="s">
        <v>146</v>
      </c>
      <c r="B1783" s="20" t="s">
        <v>2191</v>
      </c>
      <c r="C1783" s="20">
        <v>0</v>
      </c>
      <c r="AA1783" s="20" t="s">
        <v>3051</v>
      </c>
      <c r="AB1783" s="20">
        <v>1446.06</v>
      </c>
      <c r="AC1783" s="20">
        <v>32163.15</v>
      </c>
    </row>
    <row r="1784" spans="1:29" x14ac:dyDescent="0.25">
      <c r="A1784" s="20" t="s">
        <v>2063</v>
      </c>
      <c r="B1784" s="20" t="s">
        <v>2191</v>
      </c>
      <c r="C1784" s="20">
        <v>0</v>
      </c>
      <c r="AA1784" s="20" t="s">
        <v>3057</v>
      </c>
      <c r="AB1784" s="20">
        <v>136.5</v>
      </c>
      <c r="AC1784" s="20">
        <v>7983.75</v>
      </c>
    </row>
    <row r="1785" spans="1:29" x14ac:dyDescent="0.25">
      <c r="A1785" s="20" t="s">
        <v>645</v>
      </c>
      <c r="B1785" s="20" t="s">
        <v>2191</v>
      </c>
      <c r="C1785" s="20">
        <v>0</v>
      </c>
      <c r="AA1785" s="20" t="s">
        <v>3052</v>
      </c>
      <c r="AB1785" s="20">
        <v>-971.98</v>
      </c>
      <c r="AC1785" s="20">
        <v>9633.9</v>
      </c>
    </row>
    <row r="1786" spans="1:29" x14ac:dyDescent="0.25">
      <c r="A1786" s="20" t="s">
        <v>1721</v>
      </c>
      <c r="B1786" s="20" t="s">
        <v>2191</v>
      </c>
      <c r="C1786" s="20">
        <v>0</v>
      </c>
      <c r="AA1786" s="20" t="s">
        <v>3064</v>
      </c>
      <c r="AB1786" s="20">
        <v>14.34</v>
      </c>
      <c r="AC1786" s="20">
        <v>5957.63</v>
      </c>
    </row>
    <row r="1787" spans="1:29" x14ac:dyDescent="0.25">
      <c r="A1787" s="20" t="s">
        <v>1387</v>
      </c>
      <c r="B1787" s="20" t="s">
        <v>2191</v>
      </c>
      <c r="C1787" s="20">
        <v>0</v>
      </c>
      <c r="AA1787" s="20" t="s">
        <v>3053</v>
      </c>
      <c r="AB1787" s="20">
        <v>3594.82</v>
      </c>
      <c r="AC1787" s="20">
        <v>62621.73</v>
      </c>
    </row>
    <row r="1788" spans="1:29" x14ac:dyDescent="0.25">
      <c r="A1788" s="20" t="s">
        <v>527</v>
      </c>
      <c r="B1788" s="20" t="s">
        <v>2191</v>
      </c>
      <c r="C1788" s="20">
        <v>0</v>
      </c>
      <c r="AA1788" s="20" t="s">
        <v>3058</v>
      </c>
      <c r="AB1788" s="20">
        <v>-8.11</v>
      </c>
      <c r="AC1788" s="20">
        <v>1897.51</v>
      </c>
    </row>
    <row r="1789" spans="1:29" x14ac:dyDescent="0.25">
      <c r="A1789" s="20" t="s">
        <v>2086</v>
      </c>
      <c r="B1789" s="20" t="s">
        <v>2191</v>
      </c>
      <c r="C1789" s="20">
        <v>0</v>
      </c>
      <c r="AA1789" s="20" t="s">
        <v>3059</v>
      </c>
      <c r="AB1789" s="20">
        <v>0.54</v>
      </c>
      <c r="AC1789" s="20">
        <v>790.4</v>
      </c>
    </row>
    <row r="1790" spans="1:29" x14ac:dyDescent="0.25">
      <c r="A1790" s="20" t="s">
        <v>1154</v>
      </c>
      <c r="B1790" s="20" t="s">
        <v>2191</v>
      </c>
      <c r="C1790" s="20">
        <v>0</v>
      </c>
      <c r="AA1790" s="20" t="s">
        <v>3060</v>
      </c>
      <c r="AB1790" s="20">
        <v>5200.3999999999996</v>
      </c>
      <c r="AC1790" s="20">
        <v>353149.7</v>
      </c>
    </row>
    <row r="1791" spans="1:29" x14ac:dyDescent="0.25">
      <c r="A1791" s="20" t="s">
        <v>1484</v>
      </c>
      <c r="B1791" s="20" t="s">
        <v>2191</v>
      </c>
      <c r="C1791" s="20">
        <v>0</v>
      </c>
      <c r="AA1791" s="20" t="s">
        <v>3062</v>
      </c>
      <c r="AB1791" s="20">
        <v>124243.52</v>
      </c>
      <c r="AC1791" s="20">
        <v>791112.93</v>
      </c>
    </row>
    <row r="1792" spans="1:29" x14ac:dyDescent="0.25">
      <c r="A1792" s="20" t="s">
        <v>657</v>
      </c>
      <c r="B1792" s="20" t="s">
        <v>2191</v>
      </c>
      <c r="C1792" s="20">
        <v>0</v>
      </c>
      <c r="AA1792" s="20" t="s">
        <v>3061</v>
      </c>
      <c r="AB1792" s="20">
        <v>290900.38</v>
      </c>
      <c r="AC1792" s="20">
        <v>560734.37</v>
      </c>
    </row>
    <row r="1793" spans="1:29" x14ac:dyDescent="0.25">
      <c r="A1793" s="20" t="s">
        <v>1870</v>
      </c>
      <c r="B1793" s="20" t="s">
        <v>2191</v>
      </c>
      <c r="C1793" s="20">
        <v>0</v>
      </c>
      <c r="AA1793" s="20" t="s">
        <v>3070</v>
      </c>
      <c r="AB1793" s="20">
        <v>-430.98</v>
      </c>
      <c r="AC1793" s="20">
        <v>8563.68</v>
      </c>
    </row>
    <row r="1794" spans="1:29" x14ac:dyDescent="0.25">
      <c r="A1794" s="20" t="s">
        <v>333</v>
      </c>
      <c r="B1794" s="20" t="s">
        <v>2191</v>
      </c>
      <c r="C1794" s="20">
        <v>0</v>
      </c>
      <c r="AA1794" s="20" t="s">
        <v>3063</v>
      </c>
      <c r="AB1794" s="20">
        <v>47.62</v>
      </c>
      <c r="AC1794" s="20">
        <v>5847.68</v>
      </c>
    </row>
    <row r="1795" spans="1:29" x14ac:dyDescent="0.25">
      <c r="A1795" s="20" t="s">
        <v>1722</v>
      </c>
      <c r="B1795" s="20" t="s">
        <v>2191</v>
      </c>
      <c r="C1795" s="20">
        <v>0</v>
      </c>
      <c r="AA1795" s="20" t="s">
        <v>3066</v>
      </c>
      <c r="AB1795" s="20">
        <v>1664.96</v>
      </c>
      <c r="AC1795" s="20">
        <v>13718.66</v>
      </c>
    </row>
    <row r="1796" spans="1:29" x14ac:dyDescent="0.25">
      <c r="A1796" s="20" t="s">
        <v>1723</v>
      </c>
      <c r="B1796" s="20" t="s">
        <v>2191</v>
      </c>
      <c r="C1796" s="20">
        <v>0</v>
      </c>
      <c r="AA1796" s="20" t="s">
        <v>3069</v>
      </c>
      <c r="AB1796" s="20">
        <v>6.05</v>
      </c>
      <c r="AC1796" s="20">
        <v>6778.57</v>
      </c>
    </row>
    <row r="1797" spans="1:29" x14ac:dyDescent="0.25">
      <c r="A1797" s="20" t="s">
        <v>218</v>
      </c>
      <c r="B1797" s="20" t="s">
        <v>2191</v>
      </c>
      <c r="C1797" s="20">
        <v>6708</v>
      </c>
      <c r="AA1797" s="20" t="s">
        <v>3082</v>
      </c>
      <c r="AB1797" s="20">
        <v>803.99</v>
      </c>
      <c r="AC1797" s="20">
        <v>8396.15</v>
      </c>
    </row>
    <row r="1798" spans="1:29" x14ac:dyDescent="0.25">
      <c r="A1798" s="20" t="s">
        <v>1032</v>
      </c>
      <c r="B1798" s="20" t="s">
        <v>2191</v>
      </c>
      <c r="C1798" s="20">
        <v>0</v>
      </c>
      <c r="AA1798" s="20" t="s">
        <v>3080</v>
      </c>
      <c r="AB1798" s="20">
        <v>41281.15</v>
      </c>
      <c r="AC1798" s="20">
        <v>259372.32</v>
      </c>
    </row>
    <row r="1799" spans="1:29" x14ac:dyDescent="0.25">
      <c r="A1799" s="20" t="s">
        <v>658</v>
      </c>
      <c r="B1799" s="20" t="s">
        <v>2191</v>
      </c>
      <c r="C1799" s="20">
        <v>0</v>
      </c>
      <c r="AA1799" s="20" t="s">
        <v>3084</v>
      </c>
      <c r="AB1799" s="20">
        <v>5932.78</v>
      </c>
      <c r="AC1799" s="20">
        <v>143619.94</v>
      </c>
    </row>
    <row r="1800" spans="1:29" x14ac:dyDescent="0.25">
      <c r="A1800" s="20" t="s">
        <v>1156</v>
      </c>
      <c r="B1800" s="20" t="s">
        <v>2191</v>
      </c>
      <c r="C1800" s="20">
        <v>5982</v>
      </c>
      <c r="AA1800" s="20" t="s">
        <v>3071</v>
      </c>
      <c r="AB1800" s="20">
        <v>644.37</v>
      </c>
      <c r="AC1800" s="20">
        <v>7168</v>
      </c>
    </row>
    <row r="1801" spans="1:29" x14ac:dyDescent="0.25">
      <c r="A1801" s="20" t="s">
        <v>1943</v>
      </c>
      <c r="B1801" s="20" t="s">
        <v>2191</v>
      </c>
      <c r="C1801" s="20">
        <v>0</v>
      </c>
      <c r="AA1801" s="20" t="s">
        <v>3091</v>
      </c>
      <c r="AB1801" s="20">
        <v>56720.57</v>
      </c>
      <c r="AC1801" s="20">
        <v>600514.42000000004</v>
      </c>
    </row>
    <row r="1802" spans="1:29" x14ac:dyDescent="0.25">
      <c r="A1802" s="20" t="s">
        <v>741</v>
      </c>
      <c r="B1802" s="20" t="s">
        <v>2191</v>
      </c>
      <c r="C1802" s="20">
        <v>0</v>
      </c>
      <c r="AA1802" s="20" t="s">
        <v>3076</v>
      </c>
      <c r="AB1802" s="20">
        <v>-3471.46</v>
      </c>
      <c r="AC1802" s="20">
        <v>32023.759999999998</v>
      </c>
    </row>
    <row r="1803" spans="1:29" x14ac:dyDescent="0.25">
      <c r="A1803" s="20" t="s">
        <v>1724</v>
      </c>
      <c r="B1803" s="20" t="s">
        <v>2191</v>
      </c>
      <c r="C1803" s="20">
        <v>0</v>
      </c>
      <c r="AA1803" s="20" t="s">
        <v>3111</v>
      </c>
      <c r="AB1803" s="20">
        <v>37022.69</v>
      </c>
      <c r="AC1803" s="20">
        <v>114688.56</v>
      </c>
    </row>
    <row r="1804" spans="1:29" x14ac:dyDescent="0.25">
      <c r="A1804" s="20" t="s">
        <v>1522</v>
      </c>
      <c r="B1804" s="20" t="s">
        <v>2191</v>
      </c>
      <c r="C1804" s="20">
        <v>0</v>
      </c>
      <c r="AA1804" s="20" t="s">
        <v>3124</v>
      </c>
      <c r="AB1804" s="20">
        <v>13931.67</v>
      </c>
      <c r="AC1804" s="20">
        <v>37622.43</v>
      </c>
    </row>
    <row r="1805" spans="1:29" x14ac:dyDescent="0.25">
      <c r="A1805" s="20" t="s">
        <v>743</v>
      </c>
      <c r="B1805" s="20" t="s">
        <v>2191</v>
      </c>
      <c r="C1805" s="20">
        <v>0</v>
      </c>
      <c r="AA1805" s="20" t="s">
        <v>3085</v>
      </c>
      <c r="AB1805" s="20">
        <v>17216.8</v>
      </c>
      <c r="AC1805" s="20">
        <v>129283.66</v>
      </c>
    </row>
    <row r="1806" spans="1:29" x14ac:dyDescent="0.25">
      <c r="A1806" s="20" t="s">
        <v>1523</v>
      </c>
      <c r="B1806" s="20" t="s">
        <v>2191</v>
      </c>
      <c r="C1806" s="20">
        <v>0</v>
      </c>
      <c r="AA1806" s="20" t="s">
        <v>3092</v>
      </c>
      <c r="AB1806" s="20">
        <v>3257.04</v>
      </c>
      <c r="AC1806" s="20">
        <v>36908.22</v>
      </c>
    </row>
    <row r="1807" spans="1:29" x14ac:dyDescent="0.25">
      <c r="A1807" s="20" t="s">
        <v>1312</v>
      </c>
      <c r="B1807" s="20" t="s">
        <v>2191</v>
      </c>
      <c r="C1807" s="20">
        <v>0</v>
      </c>
      <c r="AA1807" s="20" t="s">
        <v>3079</v>
      </c>
      <c r="AB1807" s="20">
        <v>-254.06</v>
      </c>
      <c r="AC1807" s="20">
        <v>53786.239999999998</v>
      </c>
    </row>
    <row r="1808" spans="1:29" x14ac:dyDescent="0.25">
      <c r="A1808" s="20" t="s">
        <v>919</v>
      </c>
      <c r="B1808" s="20" t="s">
        <v>2191</v>
      </c>
      <c r="C1808" s="20">
        <v>0</v>
      </c>
      <c r="AA1808" s="20" t="s">
        <v>3087</v>
      </c>
      <c r="AB1808" s="20">
        <v>58573.79</v>
      </c>
      <c r="AC1808" s="20">
        <v>48227.7</v>
      </c>
    </row>
    <row r="1809" spans="1:29" x14ac:dyDescent="0.25">
      <c r="A1809" s="20" t="s">
        <v>1725</v>
      </c>
      <c r="B1809" s="20" t="s">
        <v>2191</v>
      </c>
      <c r="C1809" s="20">
        <v>0</v>
      </c>
      <c r="AA1809" s="20" t="s">
        <v>3112</v>
      </c>
      <c r="AB1809" s="20">
        <v>-5349.57</v>
      </c>
      <c r="AC1809" s="20">
        <v>22424.48</v>
      </c>
    </row>
    <row r="1810" spans="1:29" x14ac:dyDescent="0.25">
      <c r="A1810" s="20" t="s">
        <v>1525</v>
      </c>
      <c r="B1810" s="20" t="s">
        <v>2191</v>
      </c>
      <c r="C1810" s="20">
        <v>0</v>
      </c>
      <c r="AA1810" s="20" t="s">
        <v>3078</v>
      </c>
      <c r="AB1810" s="20">
        <v>42061.91</v>
      </c>
      <c r="AC1810" s="20">
        <v>839723.25</v>
      </c>
    </row>
    <row r="1811" spans="1:29" x14ac:dyDescent="0.25">
      <c r="A1811" s="20" t="s">
        <v>1033</v>
      </c>
      <c r="B1811" s="20" t="s">
        <v>2191</v>
      </c>
      <c r="C1811" s="20">
        <v>0</v>
      </c>
      <c r="AA1811" s="20" t="s">
        <v>3107</v>
      </c>
      <c r="AB1811" s="20">
        <v>2449.92</v>
      </c>
      <c r="AC1811" s="20">
        <v>40621.74</v>
      </c>
    </row>
    <row r="1812" spans="1:29" x14ac:dyDescent="0.25">
      <c r="A1812" s="20" t="s">
        <v>1527</v>
      </c>
      <c r="B1812" s="20" t="s">
        <v>2191</v>
      </c>
      <c r="C1812" s="20">
        <v>0</v>
      </c>
      <c r="AA1812" s="20" t="s">
        <v>3109</v>
      </c>
      <c r="AB1812" s="20">
        <v>210535.53</v>
      </c>
      <c r="AC1812" s="20">
        <v>31234.27</v>
      </c>
    </row>
    <row r="1813" spans="1:29" x14ac:dyDescent="0.25">
      <c r="A1813" s="20" t="s">
        <v>1726</v>
      </c>
      <c r="B1813" s="20" t="s">
        <v>2191</v>
      </c>
      <c r="C1813" s="20">
        <v>0</v>
      </c>
      <c r="AA1813" s="20" t="s">
        <v>3106</v>
      </c>
      <c r="AB1813" s="20">
        <v>1245740.8700000001</v>
      </c>
      <c r="AC1813" s="20">
        <v>4031633.6</v>
      </c>
    </row>
    <row r="1814" spans="1:29" x14ac:dyDescent="0.25">
      <c r="A1814" s="20" t="s">
        <v>1236</v>
      </c>
      <c r="B1814" s="20" t="s">
        <v>2191</v>
      </c>
      <c r="C1814" s="20">
        <v>0</v>
      </c>
      <c r="AA1814" s="20" t="s">
        <v>3073</v>
      </c>
      <c r="AB1814" s="20">
        <v>14288.57</v>
      </c>
      <c r="AC1814" s="20">
        <v>108396.1</v>
      </c>
    </row>
    <row r="1815" spans="1:29" x14ac:dyDescent="0.25">
      <c r="A1815" s="20" t="s">
        <v>334</v>
      </c>
      <c r="B1815" s="20" t="s">
        <v>2191</v>
      </c>
      <c r="C1815" s="20">
        <v>0</v>
      </c>
      <c r="AA1815" s="20" t="s">
        <v>3120</v>
      </c>
      <c r="AB1815" s="20">
        <v>-1036.44</v>
      </c>
      <c r="AC1815" s="20">
        <v>25413.29</v>
      </c>
    </row>
    <row r="1816" spans="1:29" x14ac:dyDescent="0.25">
      <c r="A1816" s="20" t="s">
        <v>217</v>
      </c>
      <c r="B1816" s="20" t="s">
        <v>2191</v>
      </c>
      <c r="C1816" s="20">
        <v>0</v>
      </c>
      <c r="AA1816" s="20" t="s">
        <v>3116</v>
      </c>
      <c r="AB1816" s="20">
        <v>439987.44</v>
      </c>
      <c r="AC1816" s="20">
        <v>1617555.08</v>
      </c>
    </row>
    <row r="1817" spans="1:29" x14ac:dyDescent="0.25">
      <c r="A1817" s="20" t="s">
        <v>1727</v>
      </c>
      <c r="B1817" s="20" t="s">
        <v>2191</v>
      </c>
      <c r="C1817" s="20">
        <v>0</v>
      </c>
      <c r="AA1817" s="20" t="s">
        <v>3117</v>
      </c>
      <c r="AB1817" s="20">
        <v>2524.12</v>
      </c>
      <c r="AC1817" s="20">
        <v>14560.55</v>
      </c>
    </row>
    <row r="1818" spans="1:29" x14ac:dyDescent="0.25">
      <c r="A1818" s="20" t="s">
        <v>1728</v>
      </c>
      <c r="B1818" s="20" t="s">
        <v>2191</v>
      </c>
      <c r="C1818" s="20">
        <v>0</v>
      </c>
      <c r="AA1818" s="20" t="s">
        <v>3114</v>
      </c>
      <c r="AB1818" s="20">
        <v>927774.95</v>
      </c>
      <c r="AC1818" s="20">
        <v>327003.65000000002</v>
      </c>
    </row>
    <row r="1819" spans="1:29" x14ac:dyDescent="0.25">
      <c r="A1819" s="20" t="s">
        <v>529</v>
      </c>
      <c r="B1819" s="20" t="s">
        <v>2191</v>
      </c>
      <c r="C1819" s="20">
        <v>0</v>
      </c>
      <c r="AA1819" s="20" t="s">
        <v>3122</v>
      </c>
      <c r="AB1819" s="20">
        <v>5653.94</v>
      </c>
      <c r="AC1819" s="20">
        <v>31428.32</v>
      </c>
    </row>
    <row r="1820" spans="1:29" x14ac:dyDescent="0.25">
      <c r="A1820" s="20" t="s">
        <v>1157</v>
      </c>
      <c r="B1820" s="20" t="s">
        <v>2191</v>
      </c>
      <c r="C1820" s="20">
        <v>0</v>
      </c>
      <c r="AA1820" s="20" t="s">
        <v>3113</v>
      </c>
      <c r="AB1820" s="20">
        <v>962755.42</v>
      </c>
      <c r="AC1820" s="20">
        <v>589784.82999999996</v>
      </c>
    </row>
    <row r="1821" spans="1:29" x14ac:dyDescent="0.25">
      <c r="A1821" s="20" t="s">
        <v>2943</v>
      </c>
      <c r="B1821" s="20" t="s">
        <v>2191</v>
      </c>
      <c r="C1821" s="20">
        <v>0</v>
      </c>
      <c r="AA1821" s="20" t="s">
        <v>3132</v>
      </c>
      <c r="AB1821" s="20">
        <v>5338.2</v>
      </c>
      <c r="AC1821" s="20">
        <v>133767.28</v>
      </c>
    </row>
    <row r="1822" spans="1:29" x14ac:dyDescent="0.25">
      <c r="A1822" s="20" t="s">
        <v>1729</v>
      </c>
      <c r="B1822" s="20" t="s">
        <v>2191</v>
      </c>
      <c r="C1822" s="20">
        <v>0</v>
      </c>
      <c r="AA1822" s="20" t="s">
        <v>3330</v>
      </c>
      <c r="AB1822" s="20">
        <v>-4305.78</v>
      </c>
      <c r="AC1822" s="20">
        <v>13488.86</v>
      </c>
    </row>
    <row r="1823" spans="1:29" x14ac:dyDescent="0.25">
      <c r="A1823" s="20" t="s">
        <v>336</v>
      </c>
      <c r="B1823" s="20" t="s">
        <v>2191</v>
      </c>
      <c r="C1823" s="20">
        <v>0</v>
      </c>
      <c r="AA1823" s="20" t="s">
        <v>3135</v>
      </c>
      <c r="AB1823" s="20">
        <v>-1155.56</v>
      </c>
      <c r="AC1823" s="20">
        <v>40641.67</v>
      </c>
    </row>
    <row r="1824" spans="1:29" x14ac:dyDescent="0.25">
      <c r="A1824" s="20" t="s">
        <v>1034</v>
      </c>
      <c r="B1824" s="20" t="s">
        <v>2191</v>
      </c>
      <c r="C1824" s="20">
        <v>0</v>
      </c>
      <c r="AA1824" s="20" t="s">
        <v>3127</v>
      </c>
      <c r="AB1824" s="20">
        <v>819.9</v>
      </c>
      <c r="AC1824" s="20">
        <v>12485.13</v>
      </c>
    </row>
    <row r="1825" spans="1:29" x14ac:dyDescent="0.25">
      <c r="A1825" s="20" t="s">
        <v>744</v>
      </c>
      <c r="B1825" s="20" t="s">
        <v>2191</v>
      </c>
      <c r="C1825" s="20">
        <v>0</v>
      </c>
      <c r="AA1825" s="20" t="s">
        <v>3130</v>
      </c>
      <c r="AB1825" s="20">
        <v>1271.7</v>
      </c>
      <c r="AC1825" s="20">
        <v>11335.12</v>
      </c>
    </row>
    <row r="1826" spans="1:29" x14ac:dyDescent="0.25">
      <c r="A1826" s="20" t="s">
        <v>1388</v>
      </c>
      <c r="B1826" s="20" t="s">
        <v>2191</v>
      </c>
      <c r="C1826" s="20">
        <v>0</v>
      </c>
      <c r="AA1826" s="20" t="s">
        <v>3125</v>
      </c>
      <c r="AB1826" s="20">
        <v>152619.6</v>
      </c>
      <c r="AC1826" s="20">
        <v>1396218.29</v>
      </c>
    </row>
    <row r="1827" spans="1:29" x14ac:dyDescent="0.25">
      <c r="A1827" s="20" t="s">
        <v>337</v>
      </c>
      <c r="B1827" s="20" t="s">
        <v>2191</v>
      </c>
      <c r="C1827" s="20">
        <v>0</v>
      </c>
      <c r="AA1827" s="20" t="s">
        <v>3136</v>
      </c>
      <c r="AB1827" s="20">
        <v>4310.87</v>
      </c>
      <c r="AC1827" s="20">
        <v>304726.31</v>
      </c>
    </row>
    <row r="1828" spans="1:29" x14ac:dyDescent="0.25">
      <c r="A1828" s="20" t="s">
        <v>1851</v>
      </c>
      <c r="B1828" s="20" t="s">
        <v>2191</v>
      </c>
      <c r="C1828" s="20">
        <v>0</v>
      </c>
      <c r="AA1828" s="20" t="s">
        <v>3137</v>
      </c>
      <c r="AB1828" s="20">
        <v>44.31</v>
      </c>
      <c r="AC1828" s="20">
        <v>13178.05</v>
      </c>
    </row>
    <row r="1829" spans="1:29" x14ac:dyDescent="0.25">
      <c r="A1829" s="20" t="s">
        <v>2944</v>
      </c>
      <c r="B1829" s="20" t="s">
        <v>2191</v>
      </c>
      <c r="C1829" s="20">
        <v>0</v>
      </c>
      <c r="AA1829" s="20" t="s">
        <v>3143</v>
      </c>
      <c r="AB1829" s="20">
        <v>36.43</v>
      </c>
      <c r="AC1829" s="20">
        <v>15091.48</v>
      </c>
    </row>
    <row r="1830" spans="1:29" x14ac:dyDescent="0.25">
      <c r="A1830" s="20" t="s">
        <v>1901</v>
      </c>
      <c r="B1830" s="20" t="s">
        <v>2191</v>
      </c>
      <c r="C1830" s="20">
        <v>0</v>
      </c>
      <c r="AA1830" s="20" t="s">
        <v>3145</v>
      </c>
      <c r="AB1830" s="20">
        <v>3543.35</v>
      </c>
      <c r="AC1830" s="20">
        <v>56129.88</v>
      </c>
    </row>
    <row r="1831" spans="1:29" x14ac:dyDescent="0.25">
      <c r="A1831" s="20" t="s">
        <v>745</v>
      </c>
      <c r="B1831" s="20" t="s">
        <v>2191</v>
      </c>
      <c r="C1831" s="20">
        <v>23065.02</v>
      </c>
      <c r="AA1831" s="20" t="s">
        <v>3142</v>
      </c>
      <c r="AB1831" s="20">
        <v>-869.54</v>
      </c>
      <c r="AC1831" s="20">
        <v>3338.42</v>
      </c>
    </row>
    <row r="1832" spans="1:29" x14ac:dyDescent="0.25">
      <c r="A1832" s="20" t="s">
        <v>1852</v>
      </c>
      <c r="B1832" s="20" t="s">
        <v>2191</v>
      </c>
      <c r="C1832" s="20">
        <v>0</v>
      </c>
      <c r="AA1832" s="20" t="s">
        <v>3147</v>
      </c>
      <c r="AB1832" s="20">
        <v>2911.83</v>
      </c>
      <c r="AC1832" s="20">
        <v>25833</v>
      </c>
    </row>
    <row r="1833" spans="1:29" x14ac:dyDescent="0.25">
      <c r="A1833" s="20" t="s">
        <v>220</v>
      </c>
      <c r="B1833" s="20" t="s">
        <v>2191</v>
      </c>
      <c r="C1833" s="20">
        <v>0</v>
      </c>
      <c r="AA1833" s="20" t="s">
        <v>3138</v>
      </c>
      <c r="AB1833" s="20">
        <v>965.87</v>
      </c>
      <c r="AC1833" s="20">
        <v>13416.4</v>
      </c>
    </row>
    <row r="1834" spans="1:29" x14ac:dyDescent="0.25">
      <c r="A1834" s="20" t="s">
        <v>1390</v>
      </c>
      <c r="B1834" s="20" t="s">
        <v>2191</v>
      </c>
      <c r="C1834" s="20">
        <v>22767</v>
      </c>
      <c r="AA1834" s="20" t="s">
        <v>3152</v>
      </c>
      <c r="AB1834" s="20">
        <v>716.04</v>
      </c>
      <c r="AC1834" s="20">
        <v>39041.410000000003</v>
      </c>
    </row>
    <row r="1835" spans="1:29" x14ac:dyDescent="0.25">
      <c r="A1835" s="20" t="s">
        <v>1313</v>
      </c>
      <c r="B1835" s="20" t="s">
        <v>2191</v>
      </c>
      <c r="C1835" s="20">
        <v>0</v>
      </c>
      <c r="AA1835" s="20" t="s">
        <v>3150</v>
      </c>
      <c r="AB1835" s="20">
        <v>125676.33</v>
      </c>
      <c r="AC1835" s="20">
        <v>181819.04</v>
      </c>
    </row>
    <row r="1836" spans="1:29" x14ac:dyDescent="0.25">
      <c r="A1836" s="20" t="s">
        <v>746</v>
      </c>
      <c r="B1836" s="20" t="s">
        <v>2191</v>
      </c>
      <c r="C1836" s="20">
        <v>0</v>
      </c>
      <c r="AA1836" s="20" t="s">
        <v>3151</v>
      </c>
      <c r="AB1836" s="20">
        <v>2529.5500000000002</v>
      </c>
      <c r="AC1836" s="20">
        <v>78109.7</v>
      </c>
    </row>
    <row r="1837" spans="1:29" x14ac:dyDescent="0.25">
      <c r="A1837" s="20" t="s">
        <v>1730</v>
      </c>
      <c r="B1837" s="20" t="s">
        <v>2191</v>
      </c>
      <c r="C1837" s="20">
        <v>0</v>
      </c>
      <c r="AA1837" s="20" t="s">
        <v>3153</v>
      </c>
      <c r="AB1837" s="20">
        <v>66915.78</v>
      </c>
      <c r="AC1837" s="20">
        <v>252548.63</v>
      </c>
    </row>
    <row r="1838" spans="1:29" x14ac:dyDescent="0.25">
      <c r="A1838" s="20" t="s">
        <v>1158</v>
      </c>
      <c r="B1838" s="20" t="s">
        <v>2191</v>
      </c>
      <c r="C1838" s="20">
        <v>8833.5400000000009</v>
      </c>
      <c r="AA1838" s="20" t="s">
        <v>3175</v>
      </c>
      <c r="AB1838" s="20">
        <v>471.81</v>
      </c>
      <c r="AC1838" s="20">
        <v>16141</v>
      </c>
    </row>
    <row r="1839" spans="1:29" x14ac:dyDescent="0.25">
      <c r="A1839" s="20" t="s">
        <v>407</v>
      </c>
      <c r="B1839" s="20" t="s">
        <v>2191</v>
      </c>
      <c r="C1839" s="20">
        <v>13390.27</v>
      </c>
      <c r="AA1839" s="20" t="s">
        <v>3166</v>
      </c>
      <c r="AB1839" s="20">
        <v>38255.379999999997</v>
      </c>
      <c r="AC1839" s="20">
        <v>898836.82</v>
      </c>
    </row>
    <row r="1840" spans="1:29" x14ac:dyDescent="0.25">
      <c r="A1840" s="20" t="s">
        <v>1731</v>
      </c>
      <c r="B1840" s="20" t="s">
        <v>2191</v>
      </c>
      <c r="C1840" s="20">
        <v>0</v>
      </c>
      <c r="AA1840" s="20" t="s">
        <v>3168</v>
      </c>
      <c r="AB1840" s="20">
        <v>13223.59</v>
      </c>
      <c r="AC1840" s="20">
        <v>140997.38</v>
      </c>
    </row>
    <row r="1841" spans="1:29" x14ac:dyDescent="0.25">
      <c r="A1841" s="20" t="s">
        <v>2064</v>
      </c>
      <c r="B1841" s="20" t="s">
        <v>2191</v>
      </c>
      <c r="C1841" s="20">
        <v>0</v>
      </c>
      <c r="AA1841" s="20" t="s">
        <v>3181</v>
      </c>
      <c r="AB1841" s="20">
        <v>214169.56</v>
      </c>
      <c r="AC1841" s="20">
        <v>652506.22</v>
      </c>
    </row>
    <row r="1842" spans="1:29" x14ac:dyDescent="0.25">
      <c r="A1842" s="20" t="s">
        <v>2945</v>
      </c>
      <c r="B1842" s="20" t="s">
        <v>2191</v>
      </c>
      <c r="C1842" s="20">
        <v>0</v>
      </c>
      <c r="AA1842" s="20" t="s">
        <v>3170</v>
      </c>
      <c r="AB1842" s="20">
        <v>7.16</v>
      </c>
      <c r="AC1842" s="20">
        <v>4840</v>
      </c>
    </row>
    <row r="1843" spans="1:29" x14ac:dyDescent="0.25">
      <c r="A1843" s="20" t="s">
        <v>747</v>
      </c>
      <c r="B1843" s="20" t="s">
        <v>2191</v>
      </c>
      <c r="C1843" s="20">
        <v>0</v>
      </c>
      <c r="AA1843" s="20" t="s">
        <v>3185</v>
      </c>
      <c r="AB1843" s="20">
        <v>452.85</v>
      </c>
      <c r="AC1843" s="20">
        <v>1202</v>
      </c>
    </row>
    <row r="1844" spans="1:29" x14ac:dyDescent="0.25">
      <c r="A1844" s="20" t="s">
        <v>2946</v>
      </c>
      <c r="B1844" s="20" t="s">
        <v>2191</v>
      </c>
      <c r="C1844" s="20">
        <v>0</v>
      </c>
      <c r="AA1844" s="20" t="s">
        <v>3176</v>
      </c>
      <c r="AB1844" s="20">
        <v>6336.9</v>
      </c>
      <c r="AC1844" s="20">
        <v>68457.88</v>
      </c>
    </row>
    <row r="1845" spans="1:29" x14ac:dyDescent="0.25">
      <c r="A1845" s="20" t="s">
        <v>148</v>
      </c>
      <c r="B1845" s="20" t="s">
        <v>2191</v>
      </c>
      <c r="C1845" s="20">
        <v>0</v>
      </c>
      <c r="AA1845" s="20" t="s">
        <v>3178</v>
      </c>
      <c r="AB1845" s="20">
        <v>6522.69</v>
      </c>
      <c r="AC1845" s="20">
        <v>56315.85</v>
      </c>
    </row>
    <row r="1846" spans="1:29" x14ac:dyDescent="0.25">
      <c r="A1846" s="20" t="s">
        <v>1732</v>
      </c>
      <c r="B1846" s="20" t="s">
        <v>2191</v>
      </c>
      <c r="C1846" s="20">
        <v>0</v>
      </c>
      <c r="AA1846" s="20" t="s">
        <v>3164</v>
      </c>
      <c r="AB1846" s="20">
        <v>174846.82</v>
      </c>
      <c r="AC1846" s="20">
        <v>373388.19</v>
      </c>
    </row>
    <row r="1847" spans="1:29" x14ac:dyDescent="0.25">
      <c r="A1847" s="20" t="s">
        <v>2118</v>
      </c>
      <c r="B1847" s="20" t="s">
        <v>2191</v>
      </c>
      <c r="C1847" s="20">
        <v>0</v>
      </c>
      <c r="AA1847" s="20" t="s">
        <v>3186</v>
      </c>
      <c r="AB1847" s="20">
        <v>3458.81</v>
      </c>
      <c r="AC1847" s="20">
        <v>13876</v>
      </c>
    </row>
    <row r="1848" spans="1:29" x14ac:dyDescent="0.25">
      <c r="A1848" s="20" t="s">
        <v>2947</v>
      </c>
      <c r="B1848" s="20" t="s">
        <v>2191</v>
      </c>
      <c r="C1848" s="20">
        <v>0</v>
      </c>
      <c r="AA1848" s="20" t="s">
        <v>3154</v>
      </c>
      <c r="AB1848" s="20">
        <v>2067.66</v>
      </c>
      <c r="AC1848" s="20">
        <v>10768.89</v>
      </c>
    </row>
    <row r="1849" spans="1:29" x14ac:dyDescent="0.25">
      <c r="A1849" s="20" t="s">
        <v>150</v>
      </c>
      <c r="B1849" s="20" t="s">
        <v>2191</v>
      </c>
      <c r="C1849" s="20">
        <v>0</v>
      </c>
      <c r="AA1849" s="20" t="s">
        <v>3180</v>
      </c>
      <c r="AB1849" s="20">
        <v>14836.97</v>
      </c>
      <c r="AC1849" s="20">
        <v>190234.25</v>
      </c>
    </row>
    <row r="1850" spans="1:29" x14ac:dyDescent="0.25">
      <c r="A1850" s="20" t="s">
        <v>1036</v>
      </c>
      <c r="B1850" s="20" t="s">
        <v>2191</v>
      </c>
      <c r="C1850" s="20">
        <v>0</v>
      </c>
      <c r="AA1850" s="20" t="s">
        <v>3171</v>
      </c>
      <c r="AB1850" s="20">
        <v>7211.9</v>
      </c>
      <c r="AC1850" s="20">
        <v>199128.82</v>
      </c>
    </row>
    <row r="1851" spans="1:29" x14ac:dyDescent="0.25">
      <c r="A1851" s="20" t="s">
        <v>1315</v>
      </c>
      <c r="B1851" s="20" t="s">
        <v>2191</v>
      </c>
      <c r="C1851" s="20">
        <v>0</v>
      </c>
      <c r="AA1851" s="20" t="s">
        <v>3173</v>
      </c>
      <c r="AB1851" s="20">
        <v>1901.3</v>
      </c>
      <c r="AC1851" s="20">
        <v>347519.06</v>
      </c>
    </row>
    <row r="1852" spans="1:29" x14ac:dyDescent="0.25">
      <c r="A1852" s="20" t="s">
        <v>1528</v>
      </c>
      <c r="B1852" s="20" t="s">
        <v>2191</v>
      </c>
      <c r="C1852" s="20">
        <v>0</v>
      </c>
      <c r="AA1852" s="20" t="s">
        <v>3174</v>
      </c>
      <c r="AB1852" s="20">
        <v>5239.6499999999996</v>
      </c>
      <c r="AC1852" s="20">
        <v>321447.21999999997</v>
      </c>
    </row>
    <row r="1853" spans="1:29" x14ac:dyDescent="0.25">
      <c r="A1853" s="20" t="s">
        <v>749</v>
      </c>
      <c r="B1853" s="20" t="s">
        <v>2191</v>
      </c>
      <c r="C1853" s="20">
        <v>0</v>
      </c>
      <c r="AA1853" s="20" t="s">
        <v>3201</v>
      </c>
      <c r="AB1853" s="20">
        <v>7.11</v>
      </c>
      <c r="AC1853" s="20">
        <v>7413</v>
      </c>
    </row>
    <row r="1854" spans="1:29" x14ac:dyDescent="0.25">
      <c r="A1854" s="20" t="s">
        <v>750</v>
      </c>
      <c r="B1854" s="20" t="s">
        <v>2191</v>
      </c>
      <c r="C1854" s="20">
        <v>0</v>
      </c>
      <c r="AA1854" s="20" t="s">
        <v>3206</v>
      </c>
      <c r="AB1854" s="20">
        <v>809.3</v>
      </c>
      <c r="AC1854" s="20">
        <v>29409.53</v>
      </c>
    </row>
    <row r="1855" spans="1:29" x14ac:dyDescent="0.25">
      <c r="A1855" s="20" t="s">
        <v>532</v>
      </c>
      <c r="B1855" s="20" t="s">
        <v>2191</v>
      </c>
      <c r="C1855" s="20">
        <v>3661</v>
      </c>
      <c r="AA1855" s="20" t="s">
        <v>3188</v>
      </c>
      <c r="AB1855" s="20">
        <v>-3773.61</v>
      </c>
      <c r="AC1855" s="20">
        <v>69791.33</v>
      </c>
    </row>
    <row r="1856" spans="1:29" x14ac:dyDescent="0.25">
      <c r="A1856" s="20" t="s">
        <v>1733</v>
      </c>
      <c r="B1856" s="20" t="s">
        <v>2191</v>
      </c>
      <c r="C1856" s="20">
        <v>0</v>
      </c>
      <c r="AA1856" s="20" t="s">
        <v>3196</v>
      </c>
      <c r="AB1856" s="20">
        <v>1965.49</v>
      </c>
      <c r="AC1856" s="20">
        <v>114277.38</v>
      </c>
    </row>
    <row r="1857" spans="1:29" x14ac:dyDescent="0.25">
      <c r="A1857" s="20" t="s">
        <v>430</v>
      </c>
      <c r="B1857" s="20" t="s">
        <v>2191</v>
      </c>
      <c r="C1857" s="20">
        <v>15.07</v>
      </c>
      <c r="AA1857" s="20" t="s">
        <v>3199</v>
      </c>
      <c r="AB1857" s="20">
        <v>41544.400000000001</v>
      </c>
      <c r="AC1857" s="20">
        <v>206077.19</v>
      </c>
    </row>
    <row r="1858" spans="1:29" x14ac:dyDescent="0.25">
      <c r="A1858" s="20" t="s">
        <v>1734</v>
      </c>
      <c r="B1858" s="20" t="s">
        <v>2191</v>
      </c>
      <c r="C1858" s="20">
        <v>0</v>
      </c>
      <c r="AA1858" s="20" t="s">
        <v>3190</v>
      </c>
      <c r="AB1858" s="20">
        <v>-22286.45</v>
      </c>
      <c r="AC1858" s="20">
        <v>264789.23</v>
      </c>
    </row>
    <row r="1859" spans="1:29" x14ac:dyDescent="0.25">
      <c r="A1859" s="20" t="s">
        <v>1735</v>
      </c>
      <c r="B1859" s="20" t="s">
        <v>2191</v>
      </c>
      <c r="C1859" s="20">
        <v>0</v>
      </c>
      <c r="AA1859" s="20" t="s">
        <v>3191</v>
      </c>
      <c r="AB1859" s="20">
        <v>8931.59</v>
      </c>
      <c r="AC1859" s="20">
        <v>81820.37</v>
      </c>
    </row>
    <row r="1860" spans="1:29" x14ac:dyDescent="0.25">
      <c r="A1860" s="20" t="s">
        <v>1736</v>
      </c>
      <c r="B1860" s="20" t="s">
        <v>2191</v>
      </c>
      <c r="C1860" s="20">
        <v>0</v>
      </c>
      <c r="AA1860" s="20" t="s">
        <v>3193</v>
      </c>
      <c r="AB1860" s="20">
        <v>10695.68</v>
      </c>
      <c r="AC1860" s="20">
        <v>367466.72</v>
      </c>
    </row>
    <row r="1861" spans="1:29" x14ac:dyDescent="0.25">
      <c r="A1861" s="20" t="s">
        <v>152</v>
      </c>
      <c r="B1861" s="20" t="s">
        <v>2191</v>
      </c>
      <c r="C1861" s="20">
        <v>3290</v>
      </c>
      <c r="AA1861" s="20" t="s">
        <v>3205</v>
      </c>
      <c r="AB1861" s="20">
        <v>11090.23</v>
      </c>
      <c r="AC1861" s="20">
        <v>82186.100000000006</v>
      </c>
    </row>
    <row r="1862" spans="1:29" x14ac:dyDescent="0.25">
      <c r="A1862" s="20" t="s">
        <v>1037</v>
      </c>
      <c r="B1862" s="20" t="s">
        <v>2191</v>
      </c>
      <c r="C1862" s="20">
        <v>0</v>
      </c>
      <c r="AA1862" s="20" t="s">
        <v>3208</v>
      </c>
      <c r="AB1862" s="20">
        <v>-3271.4</v>
      </c>
      <c r="AC1862" s="20">
        <v>71446.42</v>
      </c>
    </row>
    <row r="1863" spans="1:29" x14ac:dyDescent="0.25">
      <c r="A1863" s="20" t="s">
        <v>2948</v>
      </c>
      <c r="B1863" s="20" t="s">
        <v>2191</v>
      </c>
      <c r="C1863" s="20">
        <v>0</v>
      </c>
      <c r="AA1863" s="20" t="s">
        <v>3195</v>
      </c>
      <c r="AB1863" s="20">
        <v>279.17</v>
      </c>
      <c r="AC1863" s="20">
        <v>5786</v>
      </c>
    </row>
    <row r="1864" spans="1:29" x14ac:dyDescent="0.25">
      <c r="A1864" s="20" t="s">
        <v>1316</v>
      </c>
      <c r="B1864" s="20" t="s">
        <v>2191</v>
      </c>
      <c r="C1864" s="20">
        <v>5313</v>
      </c>
      <c r="AA1864" s="20" t="s">
        <v>3204</v>
      </c>
      <c r="AB1864" s="20">
        <v>4797.7299999999996</v>
      </c>
      <c r="AC1864" s="20">
        <v>50569.98</v>
      </c>
    </row>
    <row r="1865" spans="1:29" x14ac:dyDescent="0.25">
      <c r="A1865" s="20" t="s">
        <v>1392</v>
      </c>
      <c r="B1865" s="20" t="s">
        <v>2191</v>
      </c>
      <c r="C1865" s="20">
        <v>39874.910000000003</v>
      </c>
      <c r="AA1865" s="20" t="s">
        <v>3210</v>
      </c>
      <c r="AB1865" s="20">
        <v>1013.09</v>
      </c>
      <c r="AC1865" s="20">
        <v>11273.8</v>
      </c>
    </row>
    <row r="1866" spans="1:29" x14ac:dyDescent="0.25">
      <c r="A1866" s="20" t="s">
        <v>339</v>
      </c>
      <c r="B1866" s="20" t="s">
        <v>2191</v>
      </c>
      <c r="C1866" s="20">
        <v>0</v>
      </c>
      <c r="AA1866" s="20" t="s">
        <v>3220</v>
      </c>
      <c r="AB1866" s="20">
        <v>113150.98</v>
      </c>
      <c r="AC1866" s="20">
        <v>679212.22</v>
      </c>
    </row>
    <row r="1867" spans="1:29" x14ac:dyDescent="0.25">
      <c r="A1867" s="20" t="s">
        <v>1737</v>
      </c>
      <c r="B1867" s="20" t="s">
        <v>2191</v>
      </c>
      <c r="C1867" s="20">
        <v>0</v>
      </c>
      <c r="AA1867" s="20" t="s">
        <v>3217</v>
      </c>
      <c r="AB1867" s="20">
        <v>280.57</v>
      </c>
      <c r="AC1867" s="20">
        <v>7548</v>
      </c>
    </row>
    <row r="1868" spans="1:29" x14ac:dyDescent="0.25">
      <c r="A1868" s="20" t="s">
        <v>1738</v>
      </c>
      <c r="B1868" s="20" t="s">
        <v>2191</v>
      </c>
      <c r="C1868" s="20">
        <v>0</v>
      </c>
      <c r="AA1868" s="20" t="s">
        <v>3222</v>
      </c>
      <c r="AB1868" s="20">
        <v>14626.52</v>
      </c>
      <c r="AC1868" s="20">
        <v>90607.54</v>
      </c>
    </row>
    <row r="1869" spans="1:29" x14ac:dyDescent="0.25">
      <c r="A1869" s="20" t="s">
        <v>1739</v>
      </c>
      <c r="B1869" s="20" t="s">
        <v>2191</v>
      </c>
      <c r="C1869" s="20">
        <v>0</v>
      </c>
      <c r="AA1869" s="20" t="s">
        <v>3226</v>
      </c>
      <c r="AB1869" s="20">
        <v>2123.33</v>
      </c>
      <c r="AC1869" s="20">
        <v>18302.990000000002</v>
      </c>
    </row>
    <row r="1870" spans="1:29" x14ac:dyDescent="0.25">
      <c r="A1870" s="20" t="s">
        <v>1161</v>
      </c>
      <c r="B1870" s="20" t="s">
        <v>2191</v>
      </c>
      <c r="C1870" s="20">
        <v>0</v>
      </c>
      <c r="AA1870" s="20" t="s">
        <v>3237</v>
      </c>
      <c r="AB1870" s="20">
        <v>0</v>
      </c>
      <c r="AC1870" s="20">
        <v>0</v>
      </c>
    </row>
    <row r="1871" spans="1:29" x14ac:dyDescent="0.25">
      <c r="A1871" s="20" t="s">
        <v>1740</v>
      </c>
      <c r="B1871" s="20" t="s">
        <v>2191</v>
      </c>
      <c r="C1871" s="20">
        <v>0</v>
      </c>
      <c r="AA1871" s="20" t="s">
        <v>3224</v>
      </c>
      <c r="AB1871" s="20">
        <v>3827.19</v>
      </c>
      <c r="AC1871" s="20">
        <v>31040.02</v>
      </c>
    </row>
    <row r="1872" spans="1:29" x14ac:dyDescent="0.25">
      <c r="A1872" s="20" t="s">
        <v>1318</v>
      </c>
      <c r="B1872" s="20" t="s">
        <v>2191</v>
      </c>
      <c r="C1872" s="20">
        <v>0</v>
      </c>
      <c r="AA1872" s="20" t="s">
        <v>3230</v>
      </c>
      <c r="AB1872" s="20">
        <v>369064.13</v>
      </c>
      <c r="AC1872" s="20">
        <v>1184092.02</v>
      </c>
    </row>
    <row r="1873" spans="1:29" x14ac:dyDescent="0.25">
      <c r="A1873" s="20" t="s">
        <v>2949</v>
      </c>
      <c r="B1873" s="20" t="s">
        <v>2191</v>
      </c>
      <c r="C1873" s="20">
        <v>0</v>
      </c>
      <c r="AA1873" s="20" t="s">
        <v>3228</v>
      </c>
      <c r="AB1873" s="20">
        <v>1080.25</v>
      </c>
      <c r="AC1873" s="20">
        <v>38391.410000000003</v>
      </c>
    </row>
    <row r="1874" spans="1:29" x14ac:dyDescent="0.25">
      <c r="A1874" s="20" t="s">
        <v>1741</v>
      </c>
      <c r="B1874" s="20" t="s">
        <v>2191</v>
      </c>
      <c r="C1874" s="20">
        <v>0</v>
      </c>
      <c r="AA1874" s="20" t="s">
        <v>3239</v>
      </c>
      <c r="AB1874" s="20">
        <v>4.4400000000000004</v>
      </c>
      <c r="AC1874" s="20">
        <v>4392.16</v>
      </c>
    </row>
    <row r="1875" spans="1:29" x14ac:dyDescent="0.25">
      <c r="A1875" s="20" t="s">
        <v>1742</v>
      </c>
      <c r="B1875" s="20" t="s">
        <v>2191</v>
      </c>
      <c r="C1875" s="20">
        <v>0</v>
      </c>
      <c r="AA1875" s="20" t="s">
        <v>3232</v>
      </c>
      <c r="AB1875" s="20">
        <v>5563.47</v>
      </c>
      <c r="AC1875" s="20">
        <v>67801.440000000002</v>
      </c>
    </row>
    <row r="1876" spans="1:29" x14ac:dyDescent="0.25">
      <c r="A1876" s="20" t="s">
        <v>237</v>
      </c>
      <c r="B1876" s="20" t="s">
        <v>2191</v>
      </c>
      <c r="C1876" s="20">
        <v>0</v>
      </c>
      <c r="AA1876" s="20" t="s">
        <v>3241</v>
      </c>
      <c r="AB1876" s="20">
        <v>7118.35</v>
      </c>
      <c r="AC1876" s="20">
        <v>123640.54</v>
      </c>
    </row>
    <row r="1877" spans="1:29" x14ac:dyDescent="0.25">
      <c r="A1877" s="20" t="s">
        <v>1743</v>
      </c>
      <c r="B1877" s="20" t="s">
        <v>2191</v>
      </c>
      <c r="C1877" s="20">
        <v>0</v>
      </c>
      <c r="AA1877" s="20" t="s">
        <v>3235</v>
      </c>
      <c r="AB1877" s="20">
        <v>75.78</v>
      </c>
      <c r="AC1877" s="20">
        <v>13142.26</v>
      </c>
    </row>
    <row r="1878" spans="1:29" x14ac:dyDescent="0.25">
      <c r="A1878" s="20" t="s">
        <v>1529</v>
      </c>
      <c r="B1878" s="20" t="s">
        <v>2191</v>
      </c>
      <c r="C1878" s="20">
        <v>0</v>
      </c>
      <c r="AA1878" s="20" t="s">
        <v>3233</v>
      </c>
      <c r="AB1878" s="20">
        <v>649</v>
      </c>
      <c r="AC1878" s="20">
        <v>6680.79</v>
      </c>
    </row>
    <row r="1879" spans="1:29" x14ac:dyDescent="0.25">
      <c r="A1879" s="20" t="s">
        <v>1530</v>
      </c>
      <c r="B1879" s="20" t="s">
        <v>2191</v>
      </c>
      <c r="C1879" s="20">
        <v>0</v>
      </c>
      <c r="AA1879" s="20" t="s">
        <v>3251</v>
      </c>
      <c r="AB1879" s="20">
        <v>-844.71</v>
      </c>
      <c r="AC1879" s="20">
        <v>52420.86</v>
      </c>
    </row>
    <row r="1880" spans="1:29" x14ac:dyDescent="0.25">
      <c r="A1880" s="20" t="s">
        <v>341</v>
      </c>
      <c r="B1880" s="20" t="s">
        <v>2191</v>
      </c>
      <c r="C1880" s="20">
        <v>12949</v>
      </c>
      <c r="AA1880" s="20" t="s">
        <v>3246</v>
      </c>
      <c r="AB1880" s="20">
        <v>1622.76</v>
      </c>
      <c r="AC1880" s="20">
        <v>48808.84</v>
      </c>
    </row>
    <row r="1881" spans="1:29" x14ac:dyDescent="0.25">
      <c r="A1881" s="20" t="s">
        <v>1320</v>
      </c>
      <c r="B1881" s="20" t="s">
        <v>2191</v>
      </c>
      <c r="C1881" s="20">
        <v>0</v>
      </c>
      <c r="AA1881" s="20" t="s">
        <v>3248</v>
      </c>
      <c r="AB1881" s="20">
        <v>46924.160000000003</v>
      </c>
      <c r="AC1881" s="20">
        <v>76843.240000000005</v>
      </c>
    </row>
    <row r="1882" spans="1:29" x14ac:dyDescent="0.25">
      <c r="A1882" s="20" t="s">
        <v>154</v>
      </c>
      <c r="B1882" s="20" t="s">
        <v>2191</v>
      </c>
      <c r="C1882" s="20">
        <v>0</v>
      </c>
      <c r="AA1882" s="20" t="s">
        <v>3244</v>
      </c>
      <c r="AB1882" s="20">
        <v>5280.02</v>
      </c>
      <c r="AC1882" s="20">
        <v>114521.86</v>
      </c>
    </row>
    <row r="1883" spans="1:29" x14ac:dyDescent="0.25">
      <c r="A1883" s="20" t="s">
        <v>2023</v>
      </c>
      <c r="B1883" s="20" t="s">
        <v>2191</v>
      </c>
      <c r="C1883" s="20">
        <v>0</v>
      </c>
      <c r="AA1883" s="20" t="s">
        <v>3256</v>
      </c>
      <c r="AB1883" s="20">
        <v>-2958.73</v>
      </c>
      <c r="AC1883" s="20">
        <v>59255.09</v>
      </c>
    </row>
    <row r="1884" spans="1:29" x14ac:dyDescent="0.25">
      <c r="A1884" s="20" t="s">
        <v>1744</v>
      </c>
      <c r="B1884" s="20" t="s">
        <v>2191</v>
      </c>
      <c r="C1884" s="20">
        <v>0</v>
      </c>
      <c r="AA1884" s="20" t="s">
        <v>3257</v>
      </c>
      <c r="AB1884" s="20">
        <v>61763.24</v>
      </c>
      <c r="AC1884" s="20">
        <v>368738.85</v>
      </c>
    </row>
    <row r="1885" spans="1:29" x14ac:dyDescent="0.25">
      <c r="A1885" s="20" t="s">
        <v>1486</v>
      </c>
      <c r="B1885" s="20" t="s">
        <v>2191</v>
      </c>
      <c r="C1885" s="20">
        <v>0</v>
      </c>
      <c r="AA1885" s="20" t="s">
        <v>3254</v>
      </c>
      <c r="AB1885" s="20">
        <v>2747.83</v>
      </c>
      <c r="AC1885" s="20">
        <v>17555.900000000001</v>
      </c>
    </row>
    <row r="1886" spans="1:29" x14ac:dyDescent="0.25">
      <c r="A1886" s="20" t="s">
        <v>1394</v>
      </c>
      <c r="B1886" s="20" t="s">
        <v>2191</v>
      </c>
      <c r="C1886" s="20">
        <v>0</v>
      </c>
      <c r="AA1886" s="20" t="s">
        <v>3270</v>
      </c>
      <c r="AB1886" s="20">
        <v>262.75</v>
      </c>
      <c r="AC1886" s="20">
        <v>13708.66</v>
      </c>
    </row>
    <row r="1887" spans="1:29" x14ac:dyDescent="0.25">
      <c r="A1887" s="20" t="s">
        <v>1322</v>
      </c>
      <c r="B1887" s="20" t="s">
        <v>2191</v>
      </c>
      <c r="C1887" s="20">
        <v>0</v>
      </c>
      <c r="AA1887" s="20" t="s">
        <v>3252</v>
      </c>
      <c r="AB1887" s="20">
        <v>106549.18</v>
      </c>
      <c r="AC1887" s="20">
        <v>214342.83</v>
      </c>
    </row>
    <row r="1888" spans="1:29" x14ac:dyDescent="0.25">
      <c r="A1888" s="20" t="s">
        <v>939</v>
      </c>
      <c r="B1888" s="20" t="s">
        <v>2191</v>
      </c>
      <c r="C1888" s="20">
        <v>-1541.75</v>
      </c>
      <c r="AA1888" s="20" t="s">
        <v>3262</v>
      </c>
      <c r="AB1888" s="20">
        <v>3030.35</v>
      </c>
      <c r="AC1888" s="20">
        <v>27762.5</v>
      </c>
    </row>
    <row r="1889" spans="1:29" x14ac:dyDescent="0.25">
      <c r="A1889" s="20" t="s">
        <v>1163</v>
      </c>
      <c r="B1889" s="20" t="s">
        <v>2191</v>
      </c>
      <c r="C1889" s="20">
        <v>0</v>
      </c>
      <c r="AA1889" s="20" t="s">
        <v>3276</v>
      </c>
      <c r="AB1889" s="20">
        <v>-12323.13</v>
      </c>
      <c r="AC1889" s="20">
        <v>237960.38</v>
      </c>
    </row>
    <row r="1890" spans="1:29" x14ac:dyDescent="0.25">
      <c r="A1890" s="20" t="s">
        <v>533</v>
      </c>
      <c r="B1890" s="20" t="s">
        <v>2191</v>
      </c>
      <c r="C1890" s="20">
        <v>13398</v>
      </c>
      <c r="AA1890" s="20" t="s">
        <v>3266</v>
      </c>
      <c r="AB1890" s="20">
        <v>3267672.28</v>
      </c>
      <c r="AC1890" s="20">
        <v>429643.51</v>
      </c>
    </row>
    <row r="1891" spans="1:29" x14ac:dyDescent="0.25">
      <c r="A1891" s="20" t="s">
        <v>1745</v>
      </c>
      <c r="B1891" s="20" t="s">
        <v>2191</v>
      </c>
      <c r="C1891" s="20">
        <v>0</v>
      </c>
      <c r="AA1891" s="20" t="s">
        <v>3267</v>
      </c>
      <c r="AB1891" s="20">
        <v>9338.26</v>
      </c>
      <c r="AC1891" s="20">
        <v>47273.47</v>
      </c>
    </row>
    <row r="1892" spans="1:29" x14ac:dyDescent="0.25">
      <c r="A1892" s="20" t="s">
        <v>1395</v>
      </c>
      <c r="B1892" s="20" t="s">
        <v>2191</v>
      </c>
      <c r="C1892" s="20">
        <v>0</v>
      </c>
      <c r="AA1892" s="20" t="s">
        <v>3259</v>
      </c>
      <c r="AB1892" s="20">
        <v>-11542.1</v>
      </c>
      <c r="AC1892" s="20">
        <v>15111.52</v>
      </c>
    </row>
    <row r="1893" spans="1:29" x14ac:dyDescent="0.25">
      <c r="A1893" s="20" t="s">
        <v>2950</v>
      </c>
      <c r="B1893" s="20" t="s">
        <v>2191</v>
      </c>
      <c r="C1893" s="20">
        <v>0</v>
      </c>
      <c r="AA1893" s="20" t="s">
        <v>3260</v>
      </c>
      <c r="AB1893" s="20">
        <v>222430.48</v>
      </c>
      <c r="AC1893" s="20">
        <v>1087124.92</v>
      </c>
    </row>
    <row r="1894" spans="1:29" x14ac:dyDescent="0.25">
      <c r="A1894" s="20" t="s">
        <v>1992</v>
      </c>
      <c r="B1894" s="20" t="s">
        <v>2191</v>
      </c>
      <c r="C1894" s="20">
        <v>0</v>
      </c>
      <c r="AA1894" s="20" t="s">
        <v>3275</v>
      </c>
      <c r="AB1894" s="20">
        <v>233.15</v>
      </c>
      <c r="AC1894" s="20">
        <v>24860.880000000001</v>
      </c>
    </row>
    <row r="1895" spans="1:29" x14ac:dyDescent="0.25">
      <c r="A1895" s="20" t="s">
        <v>941</v>
      </c>
      <c r="B1895" s="20" t="s">
        <v>2191</v>
      </c>
      <c r="C1895" s="20">
        <v>0</v>
      </c>
      <c r="AA1895" s="20" t="s">
        <v>3272</v>
      </c>
      <c r="AB1895" s="20">
        <v>226.39</v>
      </c>
      <c r="AC1895" s="20">
        <v>3153.76</v>
      </c>
    </row>
    <row r="1896" spans="1:29" x14ac:dyDescent="0.25">
      <c r="A1896" s="20" t="s">
        <v>1746</v>
      </c>
      <c r="B1896" s="20" t="s">
        <v>2191</v>
      </c>
      <c r="C1896" s="20">
        <v>0</v>
      </c>
      <c r="AA1896" s="20" t="s">
        <v>3277</v>
      </c>
      <c r="AB1896" s="20">
        <v>-728</v>
      </c>
      <c r="AC1896" s="20">
        <v>3836.02</v>
      </c>
    </row>
    <row r="1897" spans="1:29" x14ac:dyDescent="0.25">
      <c r="A1897" s="20" t="s">
        <v>1038</v>
      </c>
      <c r="B1897" s="20" t="s">
        <v>2191</v>
      </c>
      <c r="C1897" s="20">
        <v>0</v>
      </c>
      <c r="AA1897" s="20" t="s">
        <v>3278</v>
      </c>
      <c r="AB1897" s="20">
        <v>492413.32</v>
      </c>
      <c r="AC1897" s="20">
        <v>718633.24</v>
      </c>
    </row>
    <row r="1898" spans="1:29" x14ac:dyDescent="0.25">
      <c r="A1898" s="20" t="s">
        <v>2951</v>
      </c>
      <c r="B1898" s="20" t="s">
        <v>2191</v>
      </c>
      <c r="C1898" s="20">
        <v>0</v>
      </c>
      <c r="AA1898" s="20" t="s">
        <v>3280</v>
      </c>
      <c r="AB1898" s="20">
        <v>24277.599999999999</v>
      </c>
      <c r="AC1898" s="20">
        <v>175841.38</v>
      </c>
    </row>
    <row r="1899" spans="1:29" x14ac:dyDescent="0.25">
      <c r="A1899" s="20" t="s">
        <v>1747</v>
      </c>
      <c r="B1899" s="20" t="s">
        <v>2191</v>
      </c>
      <c r="C1899" s="20">
        <v>0</v>
      </c>
      <c r="AA1899" s="20" t="s">
        <v>3283</v>
      </c>
      <c r="AB1899" s="20">
        <v>-778.28</v>
      </c>
      <c r="AC1899" s="20">
        <v>18819.97</v>
      </c>
    </row>
    <row r="1900" spans="1:29" x14ac:dyDescent="0.25">
      <c r="A1900" s="20" t="s">
        <v>676</v>
      </c>
      <c r="B1900" s="20" t="s">
        <v>2191</v>
      </c>
      <c r="C1900" s="20">
        <v>0</v>
      </c>
      <c r="AA1900" s="20" t="s">
        <v>3285</v>
      </c>
      <c r="AB1900" s="20">
        <v>594949.59</v>
      </c>
      <c r="AC1900" s="20">
        <v>520887.26</v>
      </c>
    </row>
    <row r="1901" spans="1:29" x14ac:dyDescent="0.25">
      <c r="A1901" s="20" t="s">
        <v>933</v>
      </c>
      <c r="B1901" s="20" t="s">
        <v>2191</v>
      </c>
      <c r="C1901" s="20">
        <v>0</v>
      </c>
      <c r="AA1901" s="20" t="s">
        <v>3308</v>
      </c>
      <c r="AB1901" s="20">
        <v>42675.55</v>
      </c>
      <c r="AC1901" s="20">
        <v>134094.42000000001</v>
      </c>
    </row>
    <row r="1902" spans="1:29" x14ac:dyDescent="0.25">
      <c r="A1902" s="20" t="s">
        <v>872</v>
      </c>
      <c r="B1902" s="20" t="s">
        <v>2191</v>
      </c>
      <c r="C1902" s="20">
        <v>27879</v>
      </c>
      <c r="AA1902" s="20" t="s">
        <v>3301</v>
      </c>
      <c r="AB1902" s="20">
        <v>10451.200000000001</v>
      </c>
      <c r="AC1902" s="20">
        <v>265214.56</v>
      </c>
    </row>
    <row r="1903" spans="1:29" x14ac:dyDescent="0.25">
      <c r="A1903" s="20" t="s">
        <v>814</v>
      </c>
      <c r="B1903" s="20" t="s">
        <v>2191</v>
      </c>
      <c r="C1903" s="20">
        <v>630.29</v>
      </c>
      <c r="AA1903" s="20" t="s">
        <v>3287</v>
      </c>
      <c r="AB1903" s="20">
        <v>38114.47</v>
      </c>
      <c r="AC1903" s="20">
        <v>49665.279999999999</v>
      </c>
    </row>
    <row r="1904" spans="1:29" x14ac:dyDescent="0.25">
      <c r="A1904" s="20" t="s">
        <v>1748</v>
      </c>
      <c r="B1904" s="20" t="s">
        <v>2191</v>
      </c>
      <c r="C1904" s="20">
        <v>0</v>
      </c>
      <c r="AA1904" s="20" t="s">
        <v>3299</v>
      </c>
      <c r="AB1904" s="20">
        <v>73717.2</v>
      </c>
      <c r="AC1904" s="20">
        <v>476009.7</v>
      </c>
    </row>
    <row r="1905" spans="1:29" x14ac:dyDescent="0.25">
      <c r="A1905" s="20" t="s">
        <v>1749</v>
      </c>
      <c r="B1905" s="20" t="s">
        <v>2191</v>
      </c>
      <c r="C1905" s="20">
        <v>0</v>
      </c>
      <c r="AA1905" s="20" t="s">
        <v>3311</v>
      </c>
      <c r="AB1905" s="20">
        <v>13420.73</v>
      </c>
      <c r="AC1905" s="20">
        <v>150493.98000000001</v>
      </c>
    </row>
    <row r="1906" spans="1:29" x14ac:dyDescent="0.25">
      <c r="A1906" s="20" t="s">
        <v>343</v>
      </c>
      <c r="B1906" s="20" t="s">
        <v>2191</v>
      </c>
      <c r="C1906" s="20">
        <v>0</v>
      </c>
      <c r="AA1906" s="20" t="s">
        <v>3304</v>
      </c>
      <c r="AB1906" s="20">
        <v>121657.88</v>
      </c>
      <c r="AC1906" s="20">
        <v>637341.35</v>
      </c>
    </row>
    <row r="1907" spans="1:29" x14ac:dyDescent="0.25">
      <c r="A1907" s="20" t="s">
        <v>156</v>
      </c>
      <c r="B1907" s="20" t="s">
        <v>2191</v>
      </c>
      <c r="C1907" s="20">
        <v>0</v>
      </c>
      <c r="AA1907" s="20" t="s">
        <v>3309</v>
      </c>
      <c r="AB1907" s="20">
        <v>6863.28</v>
      </c>
      <c r="AC1907" s="20">
        <v>209288.07</v>
      </c>
    </row>
    <row r="1908" spans="1:29" x14ac:dyDescent="0.25">
      <c r="A1908" s="20" t="s">
        <v>1750</v>
      </c>
      <c r="B1908" s="20" t="s">
        <v>2191</v>
      </c>
      <c r="C1908" s="20">
        <v>0</v>
      </c>
      <c r="AA1908" s="20" t="s">
        <v>3310</v>
      </c>
      <c r="AB1908" s="20">
        <v>-43627.07</v>
      </c>
      <c r="AC1908" s="20">
        <v>524721.03</v>
      </c>
    </row>
    <row r="1909" spans="1:29" x14ac:dyDescent="0.25">
      <c r="A1909" s="20" t="s">
        <v>753</v>
      </c>
      <c r="B1909" s="20" t="s">
        <v>2191</v>
      </c>
      <c r="C1909" s="20">
        <v>0</v>
      </c>
      <c r="AA1909" s="20" t="s">
        <v>3288</v>
      </c>
      <c r="AB1909" s="20">
        <v>323807.57</v>
      </c>
      <c r="AC1909" s="20">
        <v>1389928.69</v>
      </c>
    </row>
    <row r="1910" spans="1:29" x14ac:dyDescent="0.25">
      <c r="A1910" s="20" t="s">
        <v>158</v>
      </c>
      <c r="B1910" s="20" t="s">
        <v>2191</v>
      </c>
      <c r="C1910" s="20">
        <v>0</v>
      </c>
      <c r="AA1910" s="20" t="s">
        <v>3331</v>
      </c>
      <c r="AB1910" s="20">
        <v>-2254.2199999999998</v>
      </c>
      <c r="AC1910" s="20">
        <v>10031.76</v>
      </c>
    </row>
    <row r="1911" spans="1:29" x14ac:dyDescent="0.25">
      <c r="A1911" s="20" t="s">
        <v>1468</v>
      </c>
      <c r="B1911" s="20" t="s">
        <v>2191</v>
      </c>
      <c r="C1911" s="20">
        <v>0</v>
      </c>
      <c r="AA1911" s="20" t="s">
        <v>3292</v>
      </c>
      <c r="AB1911" s="20">
        <v>358330.64</v>
      </c>
      <c r="AC1911" s="20">
        <v>680799.65</v>
      </c>
    </row>
    <row r="1912" spans="1:29" x14ac:dyDescent="0.25">
      <c r="A1912" s="20" t="s">
        <v>1751</v>
      </c>
      <c r="B1912" s="20" t="s">
        <v>2191</v>
      </c>
      <c r="C1912" s="20">
        <v>0</v>
      </c>
      <c r="AA1912" s="20" t="s">
        <v>3315</v>
      </c>
      <c r="AB1912" s="20">
        <v>293366.45</v>
      </c>
      <c r="AC1912" s="20">
        <v>332664.38</v>
      </c>
    </row>
    <row r="1913" spans="1:29" x14ac:dyDescent="0.25">
      <c r="A1913" s="20" t="s">
        <v>659</v>
      </c>
      <c r="B1913" s="20" t="s">
        <v>2191</v>
      </c>
      <c r="C1913" s="20">
        <v>0</v>
      </c>
      <c r="AA1913" s="20" t="s">
        <v>3302</v>
      </c>
      <c r="AB1913" s="20">
        <v>137165.93</v>
      </c>
      <c r="AC1913" s="20">
        <v>870922.12</v>
      </c>
    </row>
    <row r="1914" spans="1:29" x14ac:dyDescent="0.25">
      <c r="A1914" s="20" t="s">
        <v>942</v>
      </c>
      <c r="B1914" s="20" t="s">
        <v>2191</v>
      </c>
      <c r="C1914" s="20">
        <v>0</v>
      </c>
      <c r="AA1914" s="20" t="s">
        <v>3303</v>
      </c>
      <c r="AB1914" s="20">
        <v>-562.16999999999996</v>
      </c>
      <c r="AC1914" s="20">
        <v>21800.720000000001</v>
      </c>
    </row>
    <row r="1915" spans="1:29" x14ac:dyDescent="0.25">
      <c r="A1915" s="20" t="s">
        <v>730</v>
      </c>
      <c r="B1915" s="20" t="s">
        <v>2191</v>
      </c>
      <c r="C1915" s="20">
        <v>0</v>
      </c>
      <c r="AA1915" s="20" t="s">
        <v>3289</v>
      </c>
      <c r="AB1915" s="20">
        <v>1663.78</v>
      </c>
      <c r="AC1915" s="20">
        <v>23271.53</v>
      </c>
    </row>
    <row r="1916" spans="1:29" x14ac:dyDescent="0.25">
      <c r="A1916" s="20" t="s">
        <v>1164</v>
      </c>
      <c r="B1916" s="20" t="s">
        <v>2191</v>
      </c>
      <c r="C1916" s="20">
        <v>8689</v>
      </c>
      <c r="AA1916" s="20" t="s">
        <v>3314</v>
      </c>
      <c r="AB1916" s="20">
        <v>20157.400000000001</v>
      </c>
      <c r="AC1916" s="20">
        <v>54339.35</v>
      </c>
    </row>
    <row r="1917" spans="1:29" x14ac:dyDescent="0.25">
      <c r="A1917" s="20" t="s">
        <v>1166</v>
      </c>
      <c r="B1917" s="20" t="s">
        <v>2191</v>
      </c>
      <c r="C1917" s="20">
        <v>6212</v>
      </c>
      <c r="AA1917" s="20" t="s">
        <v>3294</v>
      </c>
      <c r="AB1917" s="20">
        <v>-103.81</v>
      </c>
      <c r="AC1917" s="20">
        <v>1606.8</v>
      </c>
    </row>
    <row r="1918" spans="1:29" x14ac:dyDescent="0.25">
      <c r="A1918" s="20" t="s">
        <v>816</v>
      </c>
      <c r="B1918" s="20" t="s">
        <v>2191</v>
      </c>
      <c r="C1918" s="20">
        <v>0</v>
      </c>
      <c r="AA1918" s="20" t="s">
        <v>3313</v>
      </c>
      <c r="AB1918" s="20">
        <v>1953.12</v>
      </c>
      <c r="AC1918" s="20">
        <v>61172.87</v>
      </c>
    </row>
    <row r="1919" spans="1:29" x14ac:dyDescent="0.25">
      <c r="A1919" s="20" t="s">
        <v>818</v>
      </c>
      <c r="B1919" s="20" t="s">
        <v>2191</v>
      </c>
      <c r="C1919" s="20">
        <v>2885.63</v>
      </c>
      <c r="AA1919" s="20" t="s">
        <v>3336</v>
      </c>
      <c r="AB1919" s="20">
        <v>9559.57</v>
      </c>
      <c r="AC1919" s="20">
        <v>77674.06</v>
      </c>
    </row>
    <row r="1920" spans="1:29" x14ac:dyDescent="0.25">
      <c r="A1920" s="20" t="s">
        <v>1238</v>
      </c>
      <c r="B1920" s="20" t="s">
        <v>2191</v>
      </c>
      <c r="C1920" s="20">
        <v>0</v>
      </c>
      <c r="AA1920" s="20" t="s">
        <v>3337</v>
      </c>
      <c r="AB1920" s="20">
        <v>-757.27</v>
      </c>
      <c r="AC1920" s="20">
        <v>0</v>
      </c>
    </row>
    <row r="1921" spans="1:29" x14ac:dyDescent="0.25">
      <c r="A1921" s="20" t="s">
        <v>1239</v>
      </c>
      <c r="B1921" s="20" t="s">
        <v>2191</v>
      </c>
      <c r="C1921" s="20">
        <v>0</v>
      </c>
      <c r="AA1921" s="20" t="s">
        <v>3346</v>
      </c>
      <c r="AB1921" s="20">
        <v>486075.1</v>
      </c>
      <c r="AC1921" s="20">
        <v>758996.73</v>
      </c>
    </row>
    <row r="1922" spans="1:29" x14ac:dyDescent="0.25">
      <c r="A1922" s="20" t="s">
        <v>2087</v>
      </c>
      <c r="B1922" s="20" t="s">
        <v>2191</v>
      </c>
      <c r="C1922" s="20">
        <v>0</v>
      </c>
      <c r="AA1922" s="20" t="s">
        <v>3332</v>
      </c>
      <c r="AB1922" s="20">
        <v>225.28</v>
      </c>
      <c r="AC1922" s="20">
        <v>7965</v>
      </c>
    </row>
    <row r="1923" spans="1:29" x14ac:dyDescent="0.25">
      <c r="A1923" s="20" t="s">
        <v>1398</v>
      </c>
      <c r="B1923" s="20" t="s">
        <v>2191</v>
      </c>
      <c r="C1923" s="20">
        <v>0</v>
      </c>
      <c r="AA1923" s="20" t="s">
        <v>3334</v>
      </c>
      <c r="AB1923" s="20">
        <v>-2380.11</v>
      </c>
      <c r="AC1923" s="20">
        <v>89665.48</v>
      </c>
    </row>
    <row r="1924" spans="1:29" x14ac:dyDescent="0.25">
      <c r="A1924" s="20" t="s">
        <v>660</v>
      </c>
      <c r="B1924" s="20" t="s">
        <v>2191</v>
      </c>
      <c r="C1924" s="20">
        <v>0</v>
      </c>
      <c r="AA1924" s="20" t="s">
        <v>3343</v>
      </c>
      <c r="AB1924" s="20">
        <v>351166.04</v>
      </c>
      <c r="AC1924" s="20">
        <v>1416510.02</v>
      </c>
    </row>
    <row r="1925" spans="1:29" x14ac:dyDescent="0.25">
      <c r="A1925" s="20" t="s">
        <v>754</v>
      </c>
      <c r="B1925" s="20" t="s">
        <v>2191</v>
      </c>
      <c r="C1925" s="20">
        <v>0</v>
      </c>
      <c r="AA1925" s="20" t="s">
        <v>3341</v>
      </c>
      <c r="AB1925" s="20">
        <v>3934.7</v>
      </c>
      <c r="AC1925" s="20">
        <v>148438.35</v>
      </c>
    </row>
    <row r="1926" spans="1:29" x14ac:dyDescent="0.25">
      <c r="A1926" s="20" t="s">
        <v>1488</v>
      </c>
      <c r="B1926" s="20" t="s">
        <v>2191</v>
      </c>
      <c r="C1926" s="20">
        <v>0</v>
      </c>
      <c r="AA1926" s="20" t="s">
        <v>3335</v>
      </c>
      <c r="AB1926" s="20">
        <v>35100.58</v>
      </c>
      <c r="AC1926" s="20">
        <v>148380.96</v>
      </c>
    </row>
    <row r="1927" spans="1:29" x14ac:dyDescent="0.25">
      <c r="A1927" s="20" t="s">
        <v>2952</v>
      </c>
      <c r="B1927" s="20" t="s">
        <v>2191</v>
      </c>
      <c r="C1927" s="20">
        <v>0</v>
      </c>
      <c r="AA1927" s="20" t="s">
        <v>3342</v>
      </c>
      <c r="AB1927" s="20">
        <v>439900.42</v>
      </c>
      <c r="AC1927" s="20">
        <v>2980127.11</v>
      </c>
    </row>
    <row r="1928" spans="1:29" x14ac:dyDescent="0.25">
      <c r="A1928" s="20" t="s">
        <v>115</v>
      </c>
      <c r="B1928" s="20" t="s">
        <v>2191</v>
      </c>
      <c r="C1928" s="20">
        <v>0</v>
      </c>
      <c r="AA1928" s="20" t="s">
        <v>3353</v>
      </c>
      <c r="AB1928" s="20">
        <v>21.74</v>
      </c>
      <c r="AC1928" s="20">
        <v>5366.88</v>
      </c>
    </row>
    <row r="1929" spans="1:29" x14ac:dyDescent="0.25">
      <c r="A1929" s="20" t="s">
        <v>755</v>
      </c>
      <c r="B1929" s="20" t="s">
        <v>2191</v>
      </c>
      <c r="C1929" s="20">
        <v>15235</v>
      </c>
      <c r="AA1929" s="20" t="s">
        <v>3349</v>
      </c>
      <c r="AB1929" s="20">
        <v>94873.600000000006</v>
      </c>
      <c r="AC1929" s="20">
        <v>644955.56000000006</v>
      </c>
    </row>
    <row r="1930" spans="1:29" x14ac:dyDescent="0.25">
      <c r="A1930" s="20" t="s">
        <v>639</v>
      </c>
      <c r="B1930" s="20" t="s">
        <v>2191</v>
      </c>
      <c r="C1930" s="20">
        <v>0</v>
      </c>
      <c r="AA1930" s="20" t="s">
        <v>3355</v>
      </c>
      <c r="AB1930" s="20">
        <v>-4809.43</v>
      </c>
      <c r="AC1930" s="20">
        <v>4233.92</v>
      </c>
    </row>
    <row r="1931" spans="1:29" x14ac:dyDescent="0.25">
      <c r="A1931" s="20" t="s">
        <v>344</v>
      </c>
      <c r="B1931" s="20" t="s">
        <v>2191</v>
      </c>
      <c r="C1931" s="20">
        <v>0</v>
      </c>
      <c r="AA1931" s="20" t="s">
        <v>3372</v>
      </c>
      <c r="AB1931" s="20">
        <v>2256.5300000000002</v>
      </c>
      <c r="AC1931" s="20">
        <v>170797.88</v>
      </c>
    </row>
    <row r="1932" spans="1:29" x14ac:dyDescent="0.25">
      <c r="A1932" s="20" t="s">
        <v>160</v>
      </c>
      <c r="B1932" s="20" t="s">
        <v>2191</v>
      </c>
      <c r="C1932" s="20">
        <v>37087.480000000003</v>
      </c>
      <c r="AA1932" s="20" t="s">
        <v>3358</v>
      </c>
      <c r="AB1932" s="20">
        <v>-12.91</v>
      </c>
      <c r="AC1932" s="20">
        <v>0</v>
      </c>
    </row>
    <row r="1933" spans="1:29" x14ac:dyDescent="0.25">
      <c r="A1933" s="20" t="s">
        <v>535</v>
      </c>
      <c r="B1933" s="20" t="s">
        <v>2191</v>
      </c>
      <c r="C1933" s="20">
        <v>0</v>
      </c>
      <c r="AA1933" s="20" t="s">
        <v>3368</v>
      </c>
      <c r="AB1933" s="20">
        <v>110798.87</v>
      </c>
      <c r="AC1933" s="20">
        <v>385279.52</v>
      </c>
    </row>
    <row r="1934" spans="1:29" x14ac:dyDescent="0.25">
      <c r="A1934" s="20" t="s">
        <v>519</v>
      </c>
      <c r="B1934" s="20" t="s">
        <v>2191</v>
      </c>
      <c r="C1934" s="20">
        <v>6266</v>
      </c>
      <c r="AA1934" s="20" t="s">
        <v>3367</v>
      </c>
      <c r="AB1934" s="20">
        <v>-18844.05</v>
      </c>
      <c r="AC1934" s="20">
        <v>542521.04</v>
      </c>
    </row>
    <row r="1935" spans="1:29" x14ac:dyDescent="0.25">
      <c r="A1935" s="20" t="s">
        <v>943</v>
      </c>
      <c r="B1935" s="20" t="s">
        <v>2191</v>
      </c>
      <c r="C1935" s="20">
        <v>0</v>
      </c>
      <c r="AA1935" s="20" t="s">
        <v>3370</v>
      </c>
      <c r="AB1935" s="20">
        <v>941.08</v>
      </c>
      <c r="AC1935" s="20">
        <v>30817.47</v>
      </c>
    </row>
    <row r="1936" spans="1:29" x14ac:dyDescent="0.25">
      <c r="A1936" s="20" t="s">
        <v>1168</v>
      </c>
      <c r="B1936" s="20" t="s">
        <v>2191</v>
      </c>
      <c r="C1936" s="20">
        <v>0</v>
      </c>
      <c r="AA1936" s="20" t="s">
        <v>3373</v>
      </c>
      <c r="AB1936" s="20">
        <v>-2141.79</v>
      </c>
      <c r="AC1936" s="20">
        <v>12557</v>
      </c>
    </row>
    <row r="1937" spans="1:29" x14ac:dyDescent="0.25">
      <c r="A1937" s="20" t="s">
        <v>1493</v>
      </c>
      <c r="B1937" s="20" t="s">
        <v>2191</v>
      </c>
      <c r="C1937" s="20">
        <v>0</v>
      </c>
      <c r="AA1937" s="20" t="s">
        <v>3364</v>
      </c>
      <c r="AB1937" s="20">
        <v>404.6</v>
      </c>
      <c r="AC1937" s="20">
        <v>34758.99</v>
      </c>
    </row>
    <row r="1938" spans="1:29" x14ac:dyDescent="0.25">
      <c r="A1938" s="20" t="s">
        <v>1752</v>
      </c>
      <c r="B1938" s="20" t="s">
        <v>2191</v>
      </c>
      <c r="C1938" s="20">
        <v>0</v>
      </c>
      <c r="AA1938" s="20" t="s">
        <v>3362</v>
      </c>
      <c r="AB1938" s="20">
        <v>638.15</v>
      </c>
      <c r="AC1938" s="20">
        <v>12866.19</v>
      </c>
    </row>
    <row r="1939" spans="1:29" x14ac:dyDescent="0.25">
      <c r="A1939" s="20" t="s">
        <v>163</v>
      </c>
      <c r="B1939" s="20" t="s">
        <v>2191</v>
      </c>
      <c r="C1939" s="20">
        <v>0</v>
      </c>
      <c r="AA1939" s="20" t="s">
        <v>3379</v>
      </c>
      <c r="AB1939" s="20">
        <v>18.010000000000002</v>
      </c>
      <c r="AC1939" s="20">
        <v>5122.1899999999996</v>
      </c>
    </row>
    <row r="1940" spans="1:29" x14ac:dyDescent="0.25">
      <c r="A1940" s="20" t="s">
        <v>537</v>
      </c>
      <c r="B1940" s="20" t="s">
        <v>2191</v>
      </c>
      <c r="C1940" s="20">
        <v>0</v>
      </c>
      <c r="AA1940" s="20" t="s">
        <v>3374</v>
      </c>
      <c r="AB1940" s="20">
        <v>-211.61</v>
      </c>
      <c r="AC1940" s="20">
        <v>22594.75</v>
      </c>
    </row>
    <row r="1941" spans="1:29" x14ac:dyDescent="0.25">
      <c r="A1941" s="20" t="s">
        <v>1753</v>
      </c>
      <c r="B1941" s="20" t="s">
        <v>2191</v>
      </c>
      <c r="C1941" s="20">
        <v>0</v>
      </c>
      <c r="AA1941" s="20" t="s">
        <v>3377</v>
      </c>
      <c r="AB1941" s="20">
        <v>618.61</v>
      </c>
      <c r="AC1941" s="20">
        <v>17747.849999999999</v>
      </c>
    </row>
    <row r="1942" spans="1:29" x14ac:dyDescent="0.25">
      <c r="A1942" s="20" t="s">
        <v>164</v>
      </c>
      <c r="B1942" s="20" t="s">
        <v>2191</v>
      </c>
      <c r="C1942" s="20">
        <v>0</v>
      </c>
      <c r="AA1942" s="20" t="s">
        <v>3380</v>
      </c>
      <c r="AB1942" s="20">
        <v>210.27</v>
      </c>
      <c r="AC1942" s="20">
        <v>12349.55</v>
      </c>
    </row>
    <row r="1943" spans="1:29" x14ac:dyDescent="0.25">
      <c r="A1943" s="20" t="s">
        <v>1754</v>
      </c>
      <c r="B1943" s="20" t="s">
        <v>2191</v>
      </c>
      <c r="C1943" s="20">
        <v>0</v>
      </c>
      <c r="AA1943" s="20" t="s">
        <v>3382</v>
      </c>
      <c r="AB1943" s="20">
        <v>375.18</v>
      </c>
      <c r="AC1943" s="20">
        <v>1109.52</v>
      </c>
    </row>
    <row r="1944" spans="1:29" x14ac:dyDescent="0.25">
      <c r="A1944" s="20" t="s">
        <v>345</v>
      </c>
      <c r="B1944" s="20" t="s">
        <v>2191</v>
      </c>
      <c r="C1944" s="20">
        <v>2025</v>
      </c>
      <c r="AA1944" s="20" t="s">
        <v>3384</v>
      </c>
      <c r="AB1944" s="20">
        <v>9452.65</v>
      </c>
      <c r="AC1944" s="20">
        <v>98961.24</v>
      </c>
    </row>
    <row r="1945" spans="1:29" x14ac:dyDescent="0.25">
      <c r="A1945" s="20" t="s">
        <v>166</v>
      </c>
      <c r="B1945" s="20" t="s">
        <v>2191</v>
      </c>
      <c r="C1945" s="20">
        <v>29530</v>
      </c>
      <c r="AA1945" s="20" t="s">
        <v>3394</v>
      </c>
      <c r="AB1945" s="20">
        <v>929.05</v>
      </c>
      <c r="AC1945" s="20">
        <v>13274.55</v>
      </c>
    </row>
    <row r="1946" spans="1:29" x14ac:dyDescent="0.25">
      <c r="A1946" s="20" t="s">
        <v>1755</v>
      </c>
      <c r="B1946" s="20" t="s">
        <v>2191</v>
      </c>
      <c r="C1946" s="20">
        <v>0</v>
      </c>
      <c r="AA1946" s="20" t="s">
        <v>3393</v>
      </c>
      <c r="AB1946" s="20">
        <v>-149771.79</v>
      </c>
      <c r="AC1946" s="20">
        <v>435788.88</v>
      </c>
    </row>
    <row r="1947" spans="1:29" x14ac:dyDescent="0.25">
      <c r="A1947" s="20" t="s">
        <v>1170</v>
      </c>
      <c r="B1947" s="20" t="s">
        <v>2191</v>
      </c>
      <c r="C1947" s="20">
        <v>0</v>
      </c>
      <c r="AA1947" s="20" t="s">
        <v>3391</v>
      </c>
      <c r="AB1947" s="20">
        <v>145.22</v>
      </c>
      <c r="AC1947" s="20">
        <v>1946</v>
      </c>
    </row>
    <row r="1948" spans="1:29" x14ac:dyDescent="0.25">
      <c r="A1948" s="20" t="s">
        <v>945</v>
      </c>
      <c r="B1948" s="20" t="s">
        <v>2191</v>
      </c>
      <c r="C1948" s="20">
        <v>0</v>
      </c>
      <c r="AA1948" s="20" t="s">
        <v>3388</v>
      </c>
      <c r="AB1948" s="20">
        <v>2416.6999999999998</v>
      </c>
      <c r="AC1948" s="20">
        <v>17469.099999999999</v>
      </c>
    </row>
    <row r="1949" spans="1:29" x14ac:dyDescent="0.25">
      <c r="A1949" s="20" t="s">
        <v>540</v>
      </c>
      <c r="B1949" s="20" t="s">
        <v>2191</v>
      </c>
      <c r="C1949" s="20">
        <v>0</v>
      </c>
      <c r="AA1949" s="20" t="s">
        <v>3396</v>
      </c>
      <c r="AB1949" s="20">
        <v>3245.94</v>
      </c>
      <c r="AC1949" s="20">
        <v>24387.599999999999</v>
      </c>
    </row>
    <row r="1950" spans="1:29" x14ac:dyDescent="0.25">
      <c r="A1950" s="20" t="s">
        <v>916</v>
      </c>
      <c r="B1950" s="20" t="s">
        <v>2191</v>
      </c>
      <c r="C1950" s="20">
        <v>0</v>
      </c>
      <c r="AA1950" s="20" t="s">
        <v>3390</v>
      </c>
      <c r="AB1950" s="20">
        <v>331803.11</v>
      </c>
      <c r="AC1950" s="20">
        <v>932326.96</v>
      </c>
    </row>
    <row r="1951" spans="1:29" x14ac:dyDescent="0.25">
      <c r="A1951" s="20" t="s">
        <v>347</v>
      </c>
      <c r="B1951" s="20" t="s">
        <v>2191</v>
      </c>
      <c r="C1951" s="20">
        <v>0</v>
      </c>
      <c r="AA1951" s="20" t="s">
        <v>3399</v>
      </c>
      <c r="AB1951" s="20">
        <v>4823.95</v>
      </c>
      <c r="AC1951" s="20">
        <v>110705.68</v>
      </c>
    </row>
    <row r="1952" spans="1:29" x14ac:dyDescent="0.25">
      <c r="A1952" s="20" t="s">
        <v>758</v>
      </c>
      <c r="B1952" s="20" t="s">
        <v>2191</v>
      </c>
      <c r="C1952" s="20">
        <v>0</v>
      </c>
      <c r="AA1952" s="20" t="s">
        <v>3403</v>
      </c>
      <c r="AB1952" s="20">
        <v>161105.25</v>
      </c>
      <c r="AC1952" s="20">
        <v>39895.56</v>
      </c>
    </row>
    <row r="1953" spans="1:29" x14ac:dyDescent="0.25">
      <c r="A1953" s="20" t="s">
        <v>2953</v>
      </c>
      <c r="B1953" s="20" t="s">
        <v>2191</v>
      </c>
      <c r="C1953" s="20">
        <v>0</v>
      </c>
      <c r="AA1953" s="20" t="s">
        <v>3400</v>
      </c>
      <c r="AB1953" s="20">
        <v>2786.49</v>
      </c>
      <c r="AC1953" s="20">
        <v>15830.69</v>
      </c>
    </row>
    <row r="1954" spans="1:29" x14ac:dyDescent="0.25">
      <c r="A1954" s="20" t="s">
        <v>1756</v>
      </c>
      <c r="B1954" s="20" t="s">
        <v>2191</v>
      </c>
      <c r="C1954" s="20">
        <v>0</v>
      </c>
      <c r="AA1954" s="20" t="s">
        <v>3401</v>
      </c>
      <c r="AB1954" s="20">
        <v>7058.64</v>
      </c>
      <c r="AC1954" s="20">
        <v>31940.78</v>
      </c>
    </row>
    <row r="1955" spans="1:29" x14ac:dyDescent="0.25">
      <c r="A1955" s="20" t="s">
        <v>350</v>
      </c>
      <c r="B1955" s="20" t="s">
        <v>2191</v>
      </c>
      <c r="C1955" s="20">
        <v>0</v>
      </c>
      <c r="AA1955" s="20" t="s">
        <v>3398</v>
      </c>
      <c r="AB1955" s="20">
        <v>1452.89</v>
      </c>
      <c r="AC1955" s="20">
        <v>8797.81</v>
      </c>
    </row>
    <row r="1956" spans="1:29" x14ac:dyDescent="0.25">
      <c r="A1956" s="20" t="s">
        <v>167</v>
      </c>
      <c r="B1956" s="20" t="s">
        <v>2191</v>
      </c>
      <c r="C1956" s="20">
        <v>13811</v>
      </c>
      <c r="AA1956" s="20" t="s">
        <v>3413</v>
      </c>
      <c r="AB1956" s="20">
        <v>-1740.9</v>
      </c>
      <c r="AC1956" s="20">
        <v>38016.300000000003</v>
      </c>
    </row>
    <row r="1957" spans="1:29" x14ac:dyDescent="0.25">
      <c r="A1957" s="20" t="s">
        <v>542</v>
      </c>
      <c r="B1957" s="20" t="s">
        <v>2191</v>
      </c>
      <c r="C1957" s="20">
        <v>3823.02</v>
      </c>
      <c r="AA1957" s="20" t="s">
        <v>3563</v>
      </c>
      <c r="AB1957" s="20">
        <v>12967.61</v>
      </c>
      <c r="AC1957" s="20">
        <v>46887.56</v>
      </c>
    </row>
    <row r="1958" spans="1:29" x14ac:dyDescent="0.25">
      <c r="A1958" s="20" t="s">
        <v>543</v>
      </c>
      <c r="B1958" s="20" t="s">
        <v>2191</v>
      </c>
      <c r="C1958" s="20">
        <v>0</v>
      </c>
      <c r="AA1958" s="20" t="s">
        <v>3411</v>
      </c>
      <c r="AB1958" s="20">
        <v>2675.48</v>
      </c>
      <c r="AC1958" s="20">
        <v>14887.42</v>
      </c>
    </row>
    <row r="1959" spans="1:29" x14ac:dyDescent="0.25">
      <c r="A1959" s="20" t="s">
        <v>545</v>
      </c>
      <c r="B1959" s="20" t="s">
        <v>2191</v>
      </c>
      <c r="C1959" s="20">
        <v>0</v>
      </c>
      <c r="AA1959" s="20" t="s">
        <v>3412</v>
      </c>
      <c r="AB1959" s="20">
        <v>9425.43</v>
      </c>
      <c r="AC1959" s="20">
        <v>231710.69</v>
      </c>
    </row>
    <row r="1960" spans="1:29" x14ac:dyDescent="0.25">
      <c r="A1960" s="20" t="s">
        <v>653</v>
      </c>
      <c r="B1960" s="20" t="s">
        <v>2191</v>
      </c>
      <c r="C1960" s="20">
        <v>0</v>
      </c>
      <c r="AA1960" s="20" t="s">
        <v>3415</v>
      </c>
      <c r="AB1960" s="20">
        <v>165.05</v>
      </c>
      <c r="AC1960" s="20">
        <v>812.98</v>
      </c>
    </row>
    <row r="1961" spans="1:29" x14ac:dyDescent="0.25">
      <c r="A1961" s="20" t="s">
        <v>1757</v>
      </c>
      <c r="B1961" s="20" t="s">
        <v>2191</v>
      </c>
      <c r="C1961" s="20">
        <v>0</v>
      </c>
      <c r="AA1961" s="20" t="s">
        <v>3426</v>
      </c>
      <c r="AB1961" s="20">
        <v>99310.52</v>
      </c>
      <c r="AC1961" s="20">
        <v>276995.06</v>
      </c>
    </row>
    <row r="1962" spans="1:29" x14ac:dyDescent="0.25">
      <c r="A1962" s="20" t="s">
        <v>352</v>
      </c>
      <c r="B1962" s="20" t="s">
        <v>2191</v>
      </c>
      <c r="C1962" s="20">
        <v>7272</v>
      </c>
      <c r="AA1962" s="20" t="s">
        <v>3418</v>
      </c>
      <c r="AB1962" s="20">
        <v>403.93</v>
      </c>
      <c r="AC1962" s="20">
        <v>3196.52</v>
      </c>
    </row>
    <row r="1963" spans="1:29" x14ac:dyDescent="0.25">
      <c r="A1963" s="20" t="s">
        <v>759</v>
      </c>
      <c r="B1963" s="20" t="s">
        <v>2191</v>
      </c>
      <c r="C1963" s="20">
        <v>0</v>
      </c>
      <c r="AA1963" s="20" t="s">
        <v>3424</v>
      </c>
      <c r="AB1963" s="20">
        <v>396.78</v>
      </c>
      <c r="AC1963" s="20">
        <v>1655.26</v>
      </c>
    </row>
    <row r="1964" spans="1:29" x14ac:dyDescent="0.25">
      <c r="A1964" s="20" t="s">
        <v>820</v>
      </c>
      <c r="B1964" s="20" t="s">
        <v>2191</v>
      </c>
      <c r="C1964" s="20">
        <v>0</v>
      </c>
      <c r="AA1964" s="20" t="s">
        <v>3573</v>
      </c>
      <c r="AB1964" s="20">
        <v>839.79</v>
      </c>
      <c r="AC1964" s="20">
        <v>16465.88</v>
      </c>
    </row>
    <row r="1965" spans="1:29" x14ac:dyDescent="0.25">
      <c r="A1965" s="20" t="s">
        <v>947</v>
      </c>
      <c r="B1965" s="20" t="s">
        <v>2191</v>
      </c>
      <c r="C1965" s="20">
        <v>0</v>
      </c>
      <c r="AA1965" s="20" t="s">
        <v>3572</v>
      </c>
      <c r="AB1965" s="20">
        <v>7287.58</v>
      </c>
      <c r="AC1965" s="20">
        <v>264910.8</v>
      </c>
    </row>
    <row r="1966" spans="1:29" x14ac:dyDescent="0.25">
      <c r="A1966" s="20" t="s">
        <v>169</v>
      </c>
      <c r="B1966" s="20" t="s">
        <v>2191</v>
      </c>
      <c r="C1966" s="20">
        <v>0</v>
      </c>
      <c r="AA1966" s="20" t="s">
        <v>3575</v>
      </c>
      <c r="AB1966" s="20">
        <v>655.98</v>
      </c>
      <c r="AC1966" s="20">
        <v>8127.15</v>
      </c>
    </row>
    <row r="1967" spans="1:29" x14ac:dyDescent="0.25">
      <c r="A1967" s="20" t="s">
        <v>1171</v>
      </c>
      <c r="B1967" s="20" t="s">
        <v>2191</v>
      </c>
      <c r="C1967" s="20">
        <v>0</v>
      </c>
      <c r="AA1967" s="20" t="s">
        <v>3577</v>
      </c>
      <c r="AB1967" s="20">
        <v>750.47</v>
      </c>
      <c r="AC1967" s="20">
        <v>4144.05</v>
      </c>
    </row>
    <row r="1968" spans="1:29" x14ac:dyDescent="0.25">
      <c r="A1968" s="20" t="s">
        <v>1041</v>
      </c>
      <c r="B1968" s="20" t="s">
        <v>2191</v>
      </c>
      <c r="C1968" s="20">
        <v>0</v>
      </c>
      <c r="AA1968" s="20" t="s">
        <v>3576</v>
      </c>
      <c r="AB1968" s="20">
        <v>847597.67</v>
      </c>
      <c r="AC1968" s="20">
        <v>2815799.16</v>
      </c>
    </row>
    <row r="1969" spans="1:29" x14ac:dyDescent="0.25">
      <c r="A1969" s="20" t="s">
        <v>1172</v>
      </c>
      <c r="B1969" s="20" t="s">
        <v>2191</v>
      </c>
      <c r="C1969" s="20">
        <v>5118.71</v>
      </c>
      <c r="AA1969" s="20" t="s">
        <v>3578</v>
      </c>
      <c r="AB1969" s="20">
        <v>1113.22</v>
      </c>
      <c r="AC1969" s="20">
        <v>9661.51</v>
      </c>
    </row>
    <row r="1970" spans="1:29" x14ac:dyDescent="0.25">
      <c r="A1970" s="20" t="s">
        <v>1240</v>
      </c>
      <c r="B1970" s="20" t="s">
        <v>2191</v>
      </c>
      <c r="C1970" s="20">
        <v>0</v>
      </c>
      <c r="AA1970" s="20" t="s">
        <v>3582</v>
      </c>
      <c r="AB1970" s="20">
        <v>862953.78</v>
      </c>
      <c r="AC1970" s="20">
        <v>1242579.8400000001</v>
      </c>
    </row>
    <row r="1971" spans="1:29" x14ac:dyDescent="0.25">
      <c r="A1971" s="20" t="s">
        <v>761</v>
      </c>
      <c r="B1971" s="20" t="s">
        <v>2191</v>
      </c>
      <c r="C1971" s="20">
        <v>0</v>
      </c>
      <c r="AA1971" s="20" t="s">
        <v>3586</v>
      </c>
      <c r="AB1971" s="20">
        <v>1271.1400000000001</v>
      </c>
      <c r="AC1971" s="20">
        <v>4858.47</v>
      </c>
    </row>
    <row r="1972" spans="1:29" x14ac:dyDescent="0.25">
      <c r="A1972" s="20" t="s">
        <v>170</v>
      </c>
      <c r="B1972" s="20" t="s">
        <v>2191</v>
      </c>
      <c r="C1972" s="20">
        <v>0</v>
      </c>
      <c r="AA1972" s="20" t="s">
        <v>3585</v>
      </c>
      <c r="AB1972" s="20">
        <v>-111100.88</v>
      </c>
      <c r="AC1972" s="20">
        <v>63228.27</v>
      </c>
    </row>
    <row r="1973" spans="1:29" x14ac:dyDescent="0.25">
      <c r="A1973" s="20" t="s">
        <v>1758</v>
      </c>
      <c r="B1973" s="20" t="s">
        <v>2191</v>
      </c>
      <c r="C1973" s="20">
        <v>0</v>
      </c>
      <c r="AA1973" s="20" t="s">
        <v>3587</v>
      </c>
      <c r="AB1973" s="20">
        <v>-324.99</v>
      </c>
      <c r="AC1973" s="20">
        <v>53910.91</v>
      </c>
    </row>
    <row r="1974" spans="1:29" x14ac:dyDescent="0.25">
      <c r="A1974" s="20" t="s">
        <v>1759</v>
      </c>
      <c r="B1974" s="20" t="s">
        <v>2191</v>
      </c>
      <c r="C1974" s="20">
        <v>0</v>
      </c>
      <c r="AA1974" s="20" t="s">
        <v>3583</v>
      </c>
      <c r="AB1974" s="20">
        <v>3297.78</v>
      </c>
      <c r="AC1974" s="20">
        <v>13073.42</v>
      </c>
    </row>
    <row r="1975" spans="1:29" x14ac:dyDescent="0.25">
      <c r="A1975" s="20" t="s">
        <v>822</v>
      </c>
      <c r="B1975" s="20" t="s">
        <v>2191</v>
      </c>
      <c r="C1975" s="20">
        <v>0</v>
      </c>
      <c r="AA1975" s="20" t="s">
        <v>3591</v>
      </c>
      <c r="AB1975" s="20">
        <v>29314.28</v>
      </c>
      <c r="AC1975" s="20">
        <v>144093.54</v>
      </c>
    </row>
    <row r="1976" spans="1:29" x14ac:dyDescent="0.25">
      <c r="A1976" s="20" t="s">
        <v>1043</v>
      </c>
      <c r="B1976" s="20" t="s">
        <v>2191</v>
      </c>
      <c r="C1976" s="20">
        <v>0</v>
      </c>
      <c r="AA1976" s="20" t="s">
        <v>3589</v>
      </c>
      <c r="AB1976" s="20">
        <v>-3898.62</v>
      </c>
      <c r="AC1976" s="20">
        <v>15038.56</v>
      </c>
    </row>
    <row r="1977" spans="1:29" x14ac:dyDescent="0.25">
      <c r="A1977" s="20" t="s">
        <v>173</v>
      </c>
      <c r="B1977" s="20" t="s">
        <v>2191</v>
      </c>
      <c r="C1977" s="20">
        <v>0</v>
      </c>
      <c r="AA1977" s="20" t="s">
        <v>3588</v>
      </c>
      <c r="AB1977" s="20">
        <v>317992.74</v>
      </c>
      <c r="AC1977" s="20">
        <v>2664736.2799999998</v>
      </c>
    </row>
    <row r="1978" spans="1:29" x14ac:dyDescent="0.25">
      <c r="A1978" s="20" t="s">
        <v>1494</v>
      </c>
      <c r="B1978" s="20" t="s">
        <v>2191</v>
      </c>
      <c r="C1978" s="20">
        <v>0</v>
      </c>
      <c r="AA1978" s="20" t="s">
        <v>3596</v>
      </c>
      <c r="AB1978" s="20">
        <v>133199.82</v>
      </c>
      <c r="AC1978" s="20">
        <v>178790.14</v>
      </c>
    </row>
    <row r="1979" spans="1:29" x14ac:dyDescent="0.25">
      <c r="A1979" s="20" t="s">
        <v>408</v>
      </c>
      <c r="B1979" s="20" t="s">
        <v>2191</v>
      </c>
      <c r="C1979" s="20">
        <v>5761.32</v>
      </c>
      <c r="AA1979" s="20" t="s">
        <v>3593</v>
      </c>
      <c r="AB1979" s="20">
        <v>-1853.69</v>
      </c>
      <c r="AC1979" s="20">
        <v>368013.96</v>
      </c>
    </row>
    <row r="1980" spans="1:29" x14ac:dyDescent="0.25">
      <c r="A1980" s="20" t="s">
        <v>1531</v>
      </c>
      <c r="B1980" s="20" t="s">
        <v>2191</v>
      </c>
      <c r="C1980" s="20">
        <v>0</v>
      </c>
      <c r="AA1980" s="20" t="s">
        <v>3605</v>
      </c>
      <c r="AB1980" s="20">
        <v>-133047.51</v>
      </c>
      <c r="AC1980" s="20">
        <v>103752.16</v>
      </c>
    </row>
    <row r="1981" spans="1:29" x14ac:dyDescent="0.25">
      <c r="A1981" s="20" t="s">
        <v>546</v>
      </c>
      <c r="B1981" s="20" t="s">
        <v>2191</v>
      </c>
      <c r="C1981" s="20">
        <v>0</v>
      </c>
      <c r="AA1981" s="20" t="s">
        <v>3606</v>
      </c>
      <c r="AB1981" s="20">
        <v>-772.34</v>
      </c>
      <c r="AC1981" s="20">
        <v>0</v>
      </c>
    </row>
    <row r="1982" spans="1:29" x14ac:dyDescent="0.25">
      <c r="A1982" s="20" t="s">
        <v>1241</v>
      </c>
      <c r="B1982" s="20" t="s">
        <v>2191</v>
      </c>
      <c r="C1982" s="20">
        <v>16874.25</v>
      </c>
      <c r="AA1982" s="20" t="s">
        <v>3601</v>
      </c>
      <c r="AB1982" s="20">
        <v>-1470.96</v>
      </c>
      <c r="AC1982" s="20">
        <v>12501.72</v>
      </c>
    </row>
    <row r="1983" spans="1:29" x14ac:dyDescent="0.25">
      <c r="A1983" s="20" t="s">
        <v>548</v>
      </c>
      <c r="B1983" s="20" t="s">
        <v>2191</v>
      </c>
      <c r="C1983" s="20">
        <v>0</v>
      </c>
      <c r="AA1983" s="20" t="s">
        <v>3612</v>
      </c>
      <c r="AB1983" s="20">
        <v>-39271.21</v>
      </c>
      <c r="AC1983" s="20">
        <v>791.67</v>
      </c>
    </row>
    <row r="1984" spans="1:29" x14ac:dyDescent="0.25">
      <c r="A1984" s="20" t="s">
        <v>387</v>
      </c>
      <c r="B1984" s="20" t="s">
        <v>2191</v>
      </c>
      <c r="C1984" s="20">
        <v>6826</v>
      </c>
      <c r="AA1984" s="20" t="s">
        <v>3611</v>
      </c>
      <c r="AB1984" s="20">
        <v>3299.31</v>
      </c>
      <c r="AC1984" s="20">
        <v>94106.22</v>
      </c>
    </row>
    <row r="1985" spans="1:29" x14ac:dyDescent="0.25">
      <c r="A1985" s="20" t="s">
        <v>182</v>
      </c>
      <c r="B1985" s="20" t="s">
        <v>2191</v>
      </c>
      <c r="C1985" s="20">
        <v>0</v>
      </c>
      <c r="AA1985" s="20" t="s">
        <v>3609</v>
      </c>
      <c r="AB1985" s="20">
        <v>3507.6</v>
      </c>
      <c r="AC1985" s="20">
        <v>49161.38</v>
      </c>
    </row>
    <row r="1986" spans="1:29" x14ac:dyDescent="0.25">
      <c r="A1986" s="20" t="s">
        <v>2119</v>
      </c>
      <c r="B1986" s="20" t="s">
        <v>2191</v>
      </c>
      <c r="C1986" s="20">
        <v>0</v>
      </c>
      <c r="AA1986" s="20" t="s">
        <v>3610</v>
      </c>
      <c r="AB1986" s="20">
        <v>42743.87</v>
      </c>
      <c r="AC1986" s="20">
        <v>188992.64000000001</v>
      </c>
    </row>
    <row r="1987" spans="1:29" x14ac:dyDescent="0.25">
      <c r="A1987" s="20" t="s">
        <v>1179</v>
      </c>
      <c r="B1987" s="20" t="s">
        <v>2191</v>
      </c>
      <c r="C1987" s="20">
        <v>4441</v>
      </c>
      <c r="AA1987" s="20" t="s">
        <v>3613</v>
      </c>
      <c r="AB1987" s="20">
        <v>191651.96</v>
      </c>
      <c r="AC1987" s="20">
        <v>996974.06</v>
      </c>
    </row>
    <row r="1988" spans="1:29" x14ac:dyDescent="0.25">
      <c r="A1988" s="20" t="s">
        <v>2954</v>
      </c>
      <c r="B1988" s="20" t="s">
        <v>2191</v>
      </c>
      <c r="C1988" s="20">
        <v>0</v>
      </c>
      <c r="AA1988" s="20" t="s">
        <v>3626</v>
      </c>
      <c r="AB1988" s="20">
        <v>0.92</v>
      </c>
      <c r="AC1988" s="20">
        <v>233.26</v>
      </c>
    </row>
    <row r="1989" spans="1:29" x14ac:dyDescent="0.25">
      <c r="A1989" s="20" t="s">
        <v>826</v>
      </c>
      <c r="B1989" s="20" t="s">
        <v>2191</v>
      </c>
      <c r="C1989" s="20">
        <v>0</v>
      </c>
      <c r="AA1989" s="20" t="s">
        <v>3619</v>
      </c>
      <c r="AB1989" s="20">
        <v>1736.33</v>
      </c>
      <c r="AC1989" s="20">
        <v>6760.76</v>
      </c>
    </row>
    <row r="1990" spans="1:29" x14ac:dyDescent="0.25">
      <c r="A1990" s="20" t="s">
        <v>1760</v>
      </c>
      <c r="B1990" s="20" t="s">
        <v>2191</v>
      </c>
      <c r="C1990" s="20">
        <v>0</v>
      </c>
      <c r="AA1990" s="20" t="s">
        <v>3621</v>
      </c>
      <c r="AB1990" s="20">
        <v>238514.97</v>
      </c>
      <c r="AC1990" s="20">
        <v>624876.73</v>
      </c>
    </row>
    <row r="1991" spans="1:29" x14ac:dyDescent="0.25">
      <c r="A1991" s="20" t="s">
        <v>59</v>
      </c>
      <c r="B1991" s="20" t="s">
        <v>2191</v>
      </c>
      <c r="C1991" s="20">
        <v>0</v>
      </c>
      <c r="AA1991" s="20" t="s">
        <v>3636</v>
      </c>
      <c r="AB1991" s="20">
        <v>6938.51</v>
      </c>
      <c r="AC1991" s="20">
        <v>75628.710000000006</v>
      </c>
    </row>
    <row r="1992" spans="1:29" x14ac:dyDescent="0.25">
      <c r="A1992" s="20" t="s">
        <v>354</v>
      </c>
      <c r="B1992" s="20" t="s">
        <v>2191</v>
      </c>
      <c r="C1992" s="20">
        <v>0</v>
      </c>
      <c r="AA1992" s="20" t="s">
        <v>3638</v>
      </c>
      <c r="AB1992" s="20">
        <v>-948.35</v>
      </c>
      <c r="AC1992" s="20">
        <v>1672</v>
      </c>
    </row>
    <row r="1993" spans="1:29" x14ac:dyDescent="0.25">
      <c r="A1993" s="20" t="s">
        <v>762</v>
      </c>
      <c r="B1993" s="20" t="s">
        <v>2191</v>
      </c>
      <c r="C1993" s="20">
        <v>0</v>
      </c>
      <c r="AA1993" s="20" t="s">
        <v>3627</v>
      </c>
      <c r="AB1993" s="20">
        <v>229441.97</v>
      </c>
      <c r="AC1993" s="20">
        <v>184045.26</v>
      </c>
    </row>
    <row r="1994" spans="1:29" x14ac:dyDescent="0.25">
      <c r="A1994" s="20" t="s">
        <v>174</v>
      </c>
      <c r="B1994" s="20" t="s">
        <v>2191</v>
      </c>
      <c r="C1994" s="20">
        <v>0</v>
      </c>
      <c r="AA1994" s="20" t="s">
        <v>3629</v>
      </c>
      <c r="AB1994" s="20">
        <v>943532.96</v>
      </c>
      <c r="AC1994" s="20">
        <v>798215.89</v>
      </c>
    </row>
    <row r="1995" spans="1:29" x14ac:dyDescent="0.25">
      <c r="A1995" s="20" t="s">
        <v>498</v>
      </c>
      <c r="B1995" s="20" t="s">
        <v>2191</v>
      </c>
      <c r="C1995" s="20">
        <v>0</v>
      </c>
      <c r="AA1995" s="20" t="s">
        <v>3637</v>
      </c>
      <c r="AB1995" s="20">
        <v>-722.36</v>
      </c>
      <c r="AC1995" s="20">
        <v>77920.25</v>
      </c>
    </row>
    <row r="1996" spans="1:29" x14ac:dyDescent="0.25">
      <c r="A1996" s="20" t="s">
        <v>1495</v>
      </c>
      <c r="B1996" s="20" t="s">
        <v>2191</v>
      </c>
      <c r="C1996" s="20">
        <v>0</v>
      </c>
      <c r="AA1996" s="20" t="s">
        <v>3630</v>
      </c>
      <c r="AB1996" s="20">
        <v>9783.15</v>
      </c>
      <c r="AC1996" s="20">
        <v>1061260.82</v>
      </c>
    </row>
    <row r="1997" spans="1:29" x14ac:dyDescent="0.25">
      <c r="A1997" s="20" t="s">
        <v>1323</v>
      </c>
      <c r="B1997" s="20" t="s">
        <v>2191</v>
      </c>
      <c r="C1997" s="20">
        <v>0</v>
      </c>
      <c r="AA1997" s="20" t="s">
        <v>3639</v>
      </c>
      <c r="AB1997" s="20">
        <v>16343.66</v>
      </c>
      <c r="AC1997" s="20">
        <v>171792.71</v>
      </c>
    </row>
    <row r="1998" spans="1:29" x14ac:dyDescent="0.25">
      <c r="A1998" s="20" t="s">
        <v>1761</v>
      </c>
      <c r="B1998" s="20" t="s">
        <v>2191</v>
      </c>
      <c r="C1998" s="20">
        <v>0</v>
      </c>
      <c r="AA1998" s="20" t="s">
        <v>3641</v>
      </c>
      <c r="AB1998" s="20">
        <v>295.12</v>
      </c>
      <c r="AC1998" s="20">
        <v>2404.0100000000002</v>
      </c>
    </row>
    <row r="1999" spans="1:29" x14ac:dyDescent="0.25">
      <c r="A1999" s="20" t="s">
        <v>1762</v>
      </c>
      <c r="B1999" s="20" t="s">
        <v>2191</v>
      </c>
      <c r="C1999" s="20">
        <v>0</v>
      </c>
      <c r="AA1999" s="20" t="s">
        <v>3643</v>
      </c>
      <c r="AB1999" s="20">
        <v>506.23</v>
      </c>
      <c r="AC1999" s="20">
        <v>3107.36</v>
      </c>
    </row>
    <row r="2000" spans="1:29" x14ac:dyDescent="0.25">
      <c r="A2000" s="20" t="s">
        <v>763</v>
      </c>
      <c r="B2000" s="20" t="s">
        <v>2191</v>
      </c>
      <c r="C2000" s="20">
        <v>0</v>
      </c>
      <c r="AA2000" s="20" t="s">
        <v>3650</v>
      </c>
      <c r="AB2000" s="20">
        <v>1043807.3</v>
      </c>
      <c r="AC2000" s="20">
        <v>333900.84999999998</v>
      </c>
    </row>
    <row r="2001" spans="1:29" x14ac:dyDescent="0.25">
      <c r="A2001" s="20" t="s">
        <v>1399</v>
      </c>
      <c r="B2001" s="20" t="s">
        <v>2191</v>
      </c>
      <c r="C2001" s="20">
        <v>0</v>
      </c>
      <c r="AA2001" s="20" t="s">
        <v>3648</v>
      </c>
      <c r="AB2001" s="20">
        <v>433804.16</v>
      </c>
      <c r="AC2001" s="20">
        <v>130717.14</v>
      </c>
    </row>
    <row r="2002" spans="1:29" x14ac:dyDescent="0.25">
      <c r="A2002" s="20" t="s">
        <v>1206</v>
      </c>
      <c r="B2002" s="20" t="s">
        <v>2191</v>
      </c>
      <c r="C2002" s="20">
        <v>0</v>
      </c>
      <c r="AA2002" s="20" t="s">
        <v>3647</v>
      </c>
      <c r="AB2002" s="20">
        <v>-115.19</v>
      </c>
      <c r="AC2002" s="20">
        <v>0</v>
      </c>
    </row>
    <row r="2003" spans="1:29" x14ac:dyDescent="0.25">
      <c r="A2003" s="20" t="s">
        <v>1176</v>
      </c>
      <c r="B2003" s="20" t="s">
        <v>2191</v>
      </c>
      <c r="C2003" s="20">
        <v>0</v>
      </c>
      <c r="AA2003" s="20" t="s">
        <v>3645</v>
      </c>
      <c r="AB2003" s="20">
        <v>1067.46</v>
      </c>
      <c r="AC2003" s="20">
        <v>5549.49</v>
      </c>
    </row>
    <row r="2004" spans="1:29" x14ac:dyDescent="0.25">
      <c r="A2004" s="20" t="s">
        <v>1763</v>
      </c>
      <c r="B2004" s="20" t="s">
        <v>2191</v>
      </c>
      <c r="C2004" s="20">
        <v>0</v>
      </c>
      <c r="AA2004" s="20" t="s">
        <v>3656</v>
      </c>
      <c r="AB2004" s="20">
        <v>-45378.3</v>
      </c>
      <c r="AC2004" s="20">
        <v>481526.95</v>
      </c>
    </row>
    <row r="2005" spans="1:29" x14ac:dyDescent="0.25">
      <c r="A2005" s="20" t="s">
        <v>1871</v>
      </c>
      <c r="B2005" s="20" t="s">
        <v>2191</v>
      </c>
      <c r="C2005" s="20">
        <v>0</v>
      </c>
      <c r="AA2005" s="20" t="s">
        <v>3657</v>
      </c>
      <c r="AB2005" s="20">
        <v>20409.990000000002</v>
      </c>
      <c r="AC2005" s="20">
        <v>313888.74</v>
      </c>
    </row>
    <row r="2006" spans="1:29" x14ac:dyDescent="0.25">
      <c r="A2006" s="20" t="s">
        <v>948</v>
      </c>
      <c r="B2006" s="20" t="s">
        <v>2191</v>
      </c>
      <c r="C2006" s="20">
        <v>0</v>
      </c>
      <c r="AA2006" s="20" t="s">
        <v>3665</v>
      </c>
      <c r="AB2006" s="20">
        <v>143957.57999999999</v>
      </c>
      <c r="AC2006" s="20">
        <v>100175.24</v>
      </c>
    </row>
    <row r="2007" spans="1:29" x14ac:dyDescent="0.25">
      <c r="A2007" s="20" t="s">
        <v>1872</v>
      </c>
      <c r="B2007" s="20" t="s">
        <v>2191</v>
      </c>
      <c r="C2007" s="20">
        <v>0</v>
      </c>
      <c r="AA2007" s="20" t="s">
        <v>3658</v>
      </c>
      <c r="AB2007" s="20">
        <v>4841.6400000000003</v>
      </c>
      <c r="AC2007" s="20">
        <v>86249.51</v>
      </c>
    </row>
    <row r="2008" spans="1:29" x14ac:dyDescent="0.25">
      <c r="A2008" s="20" t="s">
        <v>764</v>
      </c>
      <c r="B2008" s="20" t="s">
        <v>2191</v>
      </c>
      <c r="C2008" s="20">
        <v>0</v>
      </c>
      <c r="AA2008" s="20" t="s">
        <v>3659</v>
      </c>
      <c r="AB2008" s="20">
        <v>2863.55</v>
      </c>
      <c r="AC2008" s="20">
        <v>45557.63</v>
      </c>
    </row>
    <row r="2009" spans="1:29" x14ac:dyDescent="0.25">
      <c r="A2009" s="20" t="s">
        <v>356</v>
      </c>
      <c r="B2009" s="20" t="s">
        <v>2191</v>
      </c>
      <c r="C2009" s="20">
        <v>0</v>
      </c>
      <c r="AA2009" s="20" t="s">
        <v>3660</v>
      </c>
      <c r="AB2009" s="20">
        <v>-1439.88</v>
      </c>
      <c r="AC2009" s="20">
        <v>14791.17</v>
      </c>
    </row>
    <row r="2010" spans="1:29" x14ac:dyDescent="0.25">
      <c r="A2010" s="20" t="s">
        <v>359</v>
      </c>
      <c r="B2010" s="20" t="s">
        <v>2191</v>
      </c>
      <c r="C2010" s="20">
        <v>0</v>
      </c>
      <c r="AA2010" s="20" t="s">
        <v>3672</v>
      </c>
      <c r="AB2010" s="20">
        <v>-4283.7700000000004</v>
      </c>
      <c r="AC2010" s="20">
        <v>23146</v>
      </c>
    </row>
    <row r="2011" spans="1:29" x14ac:dyDescent="0.25">
      <c r="A2011" s="20" t="s">
        <v>2955</v>
      </c>
      <c r="B2011" s="20" t="s">
        <v>2191</v>
      </c>
      <c r="C2011" s="20">
        <v>11681</v>
      </c>
      <c r="AA2011" s="20" t="s">
        <v>3661</v>
      </c>
      <c r="AB2011" s="20">
        <v>626587.93000000005</v>
      </c>
      <c r="AC2011" s="20">
        <v>290098.52</v>
      </c>
    </row>
    <row r="2012" spans="1:29" x14ac:dyDescent="0.25">
      <c r="A2012" s="20" t="s">
        <v>1400</v>
      </c>
      <c r="B2012" s="20" t="s">
        <v>2191</v>
      </c>
      <c r="C2012" s="20">
        <v>5847</v>
      </c>
      <c r="AA2012" s="20" t="s">
        <v>3671</v>
      </c>
      <c r="AB2012" s="20">
        <v>1582273.99</v>
      </c>
      <c r="AC2012" s="20">
        <v>1762450.73</v>
      </c>
    </row>
    <row r="2013" spans="1:29" x14ac:dyDescent="0.25">
      <c r="A2013" s="20" t="s">
        <v>1764</v>
      </c>
      <c r="B2013" s="20" t="s">
        <v>2191</v>
      </c>
      <c r="C2013" s="20">
        <v>0</v>
      </c>
      <c r="AA2013" s="20" t="s">
        <v>3666</v>
      </c>
      <c r="AB2013" s="20">
        <v>1523591.15</v>
      </c>
      <c r="AC2013" s="20">
        <v>4207893.55</v>
      </c>
    </row>
    <row r="2014" spans="1:29" x14ac:dyDescent="0.25">
      <c r="A2014" s="20" t="s">
        <v>175</v>
      </c>
      <c r="B2014" s="20" t="s">
        <v>2191</v>
      </c>
      <c r="C2014" s="20">
        <v>0</v>
      </c>
      <c r="AA2014" s="20" t="s">
        <v>3662</v>
      </c>
      <c r="AB2014" s="20">
        <v>107.88</v>
      </c>
      <c r="AC2014" s="20">
        <v>478.12</v>
      </c>
    </row>
    <row r="2015" spans="1:29" x14ac:dyDescent="0.25">
      <c r="A2015" s="20" t="s">
        <v>996</v>
      </c>
      <c r="B2015" s="20" t="s">
        <v>2191</v>
      </c>
      <c r="C2015" s="20">
        <v>4476</v>
      </c>
      <c r="AA2015" s="20" t="s">
        <v>1944</v>
      </c>
      <c r="AB2015" s="20">
        <v>0</v>
      </c>
      <c r="AC2015" s="20">
        <v>0</v>
      </c>
    </row>
    <row r="2016" spans="1:29" x14ac:dyDescent="0.25">
      <c r="A2016" s="20" t="s">
        <v>360</v>
      </c>
      <c r="B2016" s="20" t="s">
        <v>2191</v>
      </c>
      <c r="C2016" s="20">
        <v>0</v>
      </c>
      <c r="AA2016" s="20" t="s">
        <v>2966</v>
      </c>
      <c r="AB2016" s="20">
        <v>0</v>
      </c>
      <c r="AC2016" s="20">
        <v>0</v>
      </c>
    </row>
    <row r="2017" spans="1:29" x14ac:dyDescent="0.25">
      <c r="A2017" s="20" t="s">
        <v>1532</v>
      </c>
      <c r="B2017" s="20" t="s">
        <v>2191</v>
      </c>
      <c r="C2017" s="20">
        <v>0</v>
      </c>
      <c r="AA2017" s="20" t="s">
        <v>1794</v>
      </c>
      <c r="AB2017" s="20">
        <v>-2429.8000000000002</v>
      </c>
      <c r="AC2017" s="20">
        <v>0</v>
      </c>
    </row>
    <row r="2018" spans="1:29" x14ac:dyDescent="0.25">
      <c r="A2018" s="20" t="s">
        <v>1177</v>
      </c>
      <c r="B2018" s="20" t="s">
        <v>2191</v>
      </c>
      <c r="C2018" s="20">
        <v>0</v>
      </c>
      <c r="AA2018" s="20" t="s">
        <v>2967</v>
      </c>
      <c r="AB2018" s="20">
        <v>0</v>
      </c>
      <c r="AC2018" s="20">
        <v>0</v>
      </c>
    </row>
    <row r="2019" spans="1:29" x14ac:dyDescent="0.25">
      <c r="A2019" s="20" t="s">
        <v>1402</v>
      </c>
      <c r="B2019" s="20" t="s">
        <v>2191</v>
      </c>
      <c r="C2019" s="20">
        <v>31656</v>
      </c>
      <c r="AA2019" s="20" t="s">
        <v>584</v>
      </c>
      <c r="AB2019" s="20">
        <v>-10797.76</v>
      </c>
      <c r="AC2019" s="20">
        <v>141083.75</v>
      </c>
    </row>
    <row r="2020" spans="1:29" x14ac:dyDescent="0.25">
      <c r="A2020" s="20" t="s">
        <v>506</v>
      </c>
      <c r="B2020" s="20" t="s">
        <v>2191</v>
      </c>
      <c r="C2020" s="20">
        <v>915</v>
      </c>
      <c r="AA2020" s="20" t="s">
        <v>805</v>
      </c>
      <c r="AB2020" s="20">
        <v>2868.22</v>
      </c>
      <c r="AC2020" s="20">
        <v>62851.519999999997</v>
      </c>
    </row>
    <row r="2021" spans="1:29" x14ac:dyDescent="0.25">
      <c r="A2021" s="20" t="s">
        <v>361</v>
      </c>
      <c r="B2021" s="20" t="s">
        <v>2191</v>
      </c>
      <c r="C2021" s="20">
        <v>0</v>
      </c>
      <c r="AA2021" s="20" t="s">
        <v>1796</v>
      </c>
      <c r="AB2021" s="20">
        <v>-2690.6</v>
      </c>
      <c r="AC2021" s="20">
        <v>0</v>
      </c>
    </row>
    <row r="2022" spans="1:29" x14ac:dyDescent="0.25">
      <c r="A2022" s="20" t="s">
        <v>1178</v>
      </c>
      <c r="B2022" s="20" t="s">
        <v>2191</v>
      </c>
      <c r="C2022" s="20">
        <v>0</v>
      </c>
      <c r="AA2022" s="20" t="s">
        <v>2969</v>
      </c>
      <c r="AB2022" s="20">
        <v>0</v>
      </c>
      <c r="AC2022" s="20">
        <v>0</v>
      </c>
    </row>
    <row r="2023" spans="1:29" x14ac:dyDescent="0.25">
      <c r="A2023" s="20" t="s">
        <v>1765</v>
      </c>
      <c r="B2023" s="20" t="s">
        <v>2191</v>
      </c>
      <c r="C2023" s="20">
        <v>0</v>
      </c>
      <c r="AA2023" s="20" t="s">
        <v>1430</v>
      </c>
      <c r="AB2023" s="20">
        <v>1673107.58</v>
      </c>
      <c r="AC2023" s="20">
        <v>844816.83</v>
      </c>
    </row>
    <row r="2024" spans="1:29" x14ac:dyDescent="0.25">
      <c r="A2024" s="20" t="s">
        <v>553</v>
      </c>
      <c r="B2024" s="20" t="s">
        <v>2191</v>
      </c>
      <c r="C2024" s="20">
        <v>0</v>
      </c>
      <c r="AA2024" s="20" t="s">
        <v>2970</v>
      </c>
      <c r="AB2024" s="20">
        <v>0</v>
      </c>
      <c r="AC2024" s="20">
        <v>0</v>
      </c>
    </row>
    <row r="2025" spans="1:29" x14ac:dyDescent="0.25">
      <c r="A2025" s="20" t="s">
        <v>1766</v>
      </c>
      <c r="B2025" s="20" t="s">
        <v>2191</v>
      </c>
      <c r="C2025" s="20">
        <v>0</v>
      </c>
      <c r="AA2025" s="20" t="s">
        <v>2973</v>
      </c>
      <c r="AB2025" s="20">
        <v>64.599999999999994</v>
      </c>
      <c r="AC2025" s="20">
        <v>1185.8499999999999</v>
      </c>
    </row>
    <row r="2026" spans="1:29" x14ac:dyDescent="0.25">
      <c r="A2026" s="20" t="s">
        <v>1767</v>
      </c>
      <c r="B2026" s="20" t="s">
        <v>2191</v>
      </c>
      <c r="C2026" s="20">
        <v>0</v>
      </c>
      <c r="AA2026" s="20" t="s">
        <v>2975</v>
      </c>
      <c r="AB2026" s="20">
        <v>0</v>
      </c>
      <c r="AC2026" s="20">
        <v>0</v>
      </c>
    </row>
    <row r="2027" spans="1:29" x14ac:dyDescent="0.25">
      <c r="A2027" s="20" t="s">
        <v>1325</v>
      </c>
      <c r="B2027" s="20" t="s">
        <v>2191</v>
      </c>
      <c r="C2027" s="20">
        <v>0</v>
      </c>
      <c r="AA2027" s="20" t="s">
        <v>1797</v>
      </c>
      <c r="AB2027" s="20">
        <v>-6709.51</v>
      </c>
      <c r="AC2027" s="20">
        <v>0</v>
      </c>
    </row>
    <row r="2028" spans="1:29" x14ac:dyDescent="0.25">
      <c r="A2028" s="20" t="s">
        <v>1044</v>
      </c>
      <c r="B2028" s="20" t="s">
        <v>2191</v>
      </c>
      <c r="C2028" s="20">
        <v>0</v>
      </c>
      <c r="AA2028" s="20" t="s">
        <v>988</v>
      </c>
      <c r="AB2028" s="20">
        <v>198605.01</v>
      </c>
      <c r="AC2028" s="20">
        <v>224503.59</v>
      </c>
    </row>
    <row r="2029" spans="1:29" x14ac:dyDescent="0.25">
      <c r="A2029" s="20" t="s">
        <v>222</v>
      </c>
      <c r="B2029" s="20" t="s">
        <v>2191</v>
      </c>
      <c r="C2029" s="20">
        <v>0</v>
      </c>
      <c r="AA2029" s="20" t="s">
        <v>1798</v>
      </c>
      <c r="AB2029" s="20">
        <v>-1142.94</v>
      </c>
      <c r="AC2029" s="20">
        <v>0</v>
      </c>
    </row>
    <row r="2030" spans="1:29" x14ac:dyDescent="0.25">
      <c r="A2030" s="20" t="s">
        <v>662</v>
      </c>
      <c r="B2030" s="20" t="s">
        <v>2191</v>
      </c>
      <c r="C2030" s="20">
        <v>0</v>
      </c>
      <c r="AA2030" s="20" t="s">
        <v>2026</v>
      </c>
      <c r="AB2030" s="20">
        <v>0</v>
      </c>
      <c r="AC2030" s="20">
        <v>0</v>
      </c>
    </row>
    <row r="2031" spans="1:29" x14ac:dyDescent="0.25">
      <c r="A2031" s="20" t="s">
        <v>555</v>
      </c>
      <c r="B2031" s="20" t="s">
        <v>2191</v>
      </c>
      <c r="C2031" s="20">
        <v>0</v>
      </c>
      <c r="AA2031" s="20" t="s">
        <v>1799</v>
      </c>
      <c r="AB2031" s="20">
        <v>-789.42</v>
      </c>
      <c r="AC2031" s="20">
        <v>0</v>
      </c>
    </row>
    <row r="2032" spans="1:29" x14ac:dyDescent="0.25">
      <c r="A2032" s="20" t="s">
        <v>766</v>
      </c>
      <c r="B2032" s="20" t="s">
        <v>2191</v>
      </c>
      <c r="C2032" s="20">
        <v>14220</v>
      </c>
      <c r="AA2032" s="20" t="s">
        <v>2976</v>
      </c>
      <c r="AB2032" s="20">
        <v>0</v>
      </c>
      <c r="AC2032" s="20">
        <v>0</v>
      </c>
    </row>
    <row r="2033" spans="1:29" x14ac:dyDescent="0.25">
      <c r="A2033" s="20" t="s">
        <v>1404</v>
      </c>
      <c r="B2033" s="20" t="s">
        <v>2191</v>
      </c>
      <c r="C2033" s="20">
        <v>-933.99</v>
      </c>
      <c r="AA2033" s="20" t="s">
        <v>2977</v>
      </c>
      <c r="AB2033" s="20">
        <v>0</v>
      </c>
      <c r="AC2033" s="20">
        <v>0</v>
      </c>
    </row>
    <row r="2034" spans="1:29" x14ac:dyDescent="0.25">
      <c r="A2034" s="20" t="s">
        <v>556</v>
      </c>
      <c r="B2034" s="20" t="s">
        <v>2191</v>
      </c>
      <c r="C2034" s="20">
        <v>0</v>
      </c>
      <c r="AA2034" s="20" t="s">
        <v>2978</v>
      </c>
      <c r="AB2034" s="20">
        <v>0</v>
      </c>
      <c r="AC2034" s="20">
        <v>0</v>
      </c>
    </row>
    <row r="2035" spans="1:29" x14ac:dyDescent="0.25">
      <c r="A2035" s="20" t="s">
        <v>1180</v>
      </c>
      <c r="B2035" s="20" t="s">
        <v>2191</v>
      </c>
      <c r="C2035" s="20">
        <v>0</v>
      </c>
      <c r="AA2035" s="20" t="s">
        <v>1800</v>
      </c>
      <c r="AB2035" s="20">
        <v>-880.25</v>
      </c>
      <c r="AC2035" s="20">
        <v>0</v>
      </c>
    </row>
    <row r="2036" spans="1:29" x14ac:dyDescent="0.25">
      <c r="A2036" s="20" t="s">
        <v>949</v>
      </c>
      <c r="B2036" s="20" t="s">
        <v>2191</v>
      </c>
      <c r="C2036" s="20">
        <v>0</v>
      </c>
      <c r="AA2036" s="20" t="s">
        <v>1801</v>
      </c>
      <c r="AB2036" s="20">
        <v>-1428.23</v>
      </c>
      <c r="AC2036" s="20">
        <v>0</v>
      </c>
    </row>
    <row r="2037" spans="1:29" x14ac:dyDescent="0.25">
      <c r="A2037" s="20" t="s">
        <v>951</v>
      </c>
      <c r="B2037" s="20" t="s">
        <v>2191</v>
      </c>
      <c r="C2037" s="20">
        <v>0</v>
      </c>
      <c r="AA2037" s="20" t="s">
        <v>2979</v>
      </c>
      <c r="AB2037" s="20">
        <v>0</v>
      </c>
      <c r="AC2037" s="20">
        <v>0</v>
      </c>
    </row>
    <row r="2038" spans="1:29" x14ac:dyDescent="0.25">
      <c r="A2038" s="20" t="s">
        <v>953</v>
      </c>
      <c r="B2038" s="20" t="s">
        <v>2191</v>
      </c>
      <c r="C2038" s="20">
        <v>0</v>
      </c>
      <c r="AA2038" s="20" t="s">
        <v>586</v>
      </c>
      <c r="AB2038" s="20">
        <v>8290.48</v>
      </c>
      <c r="AC2038" s="20">
        <v>157228.71</v>
      </c>
    </row>
    <row r="2039" spans="1:29" x14ac:dyDescent="0.25">
      <c r="A2039" s="20" t="s">
        <v>955</v>
      </c>
      <c r="B2039" s="20" t="s">
        <v>2191</v>
      </c>
      <c r="C2039" s="20">
        <v>0</v>
      </c>
      <c r="AA2039" s="20" t="s">
        <v>2066</v>
      </c>
      <c r="AB2039" s="20">
        <v>0</v>
      </c>
      <c r="AC2039" s="20">
        <v>0</v>
      </c>
    </row>
    <row r="2040" spans="1:29" x14ac:dyDescent="0.25">
      <c r="A2040" s="20" t="s">
        <v>1768</v>
      </c>
      <c r="B2040" s="20" t="s">
        <v>2191</v>
      </c>
      <c r="C2040" s="20">
        <v>0</v>
      </c>
      <c r="AA2040" s="20" t="s">
        <v>1197</v>
      </c>
      <c r="AB2040" s="20">
        <v>14283.32</v>
      </c>
      <c r="AC2040" s="20">
        <v>6189.84</v>
      </c>
    </row>
    <row r="2041" spans="1:29" x14ac:dyDescent="0.25">
      <c r="A2041" s="20" t="s">
        <v>956</v>
      </c>
      <c r="B2041" s="20" t="s">
        <v>2191</v>
      </c>
      <c r="C2041" s="20">
        <v>0</v>
      </c>
      <c r="AA2041" s="20" t="s">
        <v>2980</v>
      </c>
      <c r="AB2041" s="20">
        <v>0</v>
      </c>
      <c r="AC2041" s="20">
        <v>0</v>
      </c>
    </row>
    <row r="2042" spans="1:29" x14ac:dyDescent="0.25">
      <c r="A2042" s="20" t="s">
        <v>1496</v>
      </c>
      <c r="B2042" s="20" t="s">
        <v>2191</v>
      </c>
      <c r="C2042" s="20">
        <v>0</v>
      </c>
      <c r="AA2042" s="20" t="s">
        <v>1853</v>
      </c>
      <c r="AB2042" s="20">
        <v>0</v>
      </c>
      <c r="AC2042" s="20">
        <v>0</v>
      </c>
    </row>
    <row r="2043" spans="1:29" x14ac:dyDescent="0.25">
      <c r="A2043" s="20" t="s">
        <v>1769</v>
      </c>
      <c r="B2043" s="20" t="s">
        <v>2191</v>
      </c>
      <c r="C2043" s="20">
        <v>0</v>
      </c>
      <c r="AA2043" s="20" t="s">
        <v>1070</v>
      </c>
      <c r="AB2043" s="20">
        <v>124165.6</v>
      </c>
      <c r="AC2043" s="20">
        <v>888895.18</v>
      </c>
    </row>
    <row r="2044" spans="1:29" x14ac:dyDescent="0.25">
      <c r="A2044" s="20" t="s">
        <v>1534</v>
      </c>
      <c r="B2044" s="20" t="s">
        <v>2191</v>
      </c>
      <c r="C2044" s="20">
        <v>0</v>
      </c>
      <c r="AA2044" s="20" t="s">
        <v>2981</v>
      </c>
      <c r="AB2044" s="20">
        <v>0</v>
      </c>
      <c r="AC2044" s="20">
        <v>0</v>
      </c>
    </row>
    <row r="2045" spans="1:29" x14ac:dyDescent="0.25">
      <c r="A2045" s="20" t="s">
        <v>1405</v>
      </c>
      <c r="B2045" s="20" t="s">
        <v>2191</v>
      </c>
      <c r="C2045" s="20">
        <v>0</v>
      </c>
      <c r="AA2045" s="20" t="s">
        <v>1802</v>
      </c>
      <c r="AB2045" s="20">
        <v>-3858.36</v>
      </c>
      <c r="AC2045" s="20">
        <v>0</v>
      </c>
    </row>
    <row r="2046" spans="1:29" x14ac:dyDescent="0.25">
      <c r="A2046" s="20" t="s">
        <v>557</v>
      </c>
      <c r="B2046" s="20" t="s">
        <v>2191</v>
      </c>
      <c r="C2046" s="20">
        <v>0</v>
      </c>
      <c r="AA2046" s="20" t="s">
        <v>2982</v>
      </c>
      <c r="AB2046" s="20">
        <v>0</v>
      </c>
      <c r="AC2046" s="20">
        <v>0</v>
      </c>
    </row>
    <row r="2047" spans="1:29" x14ac:dyDescent="0.25">
      <c r="A2047" s="20" t="s">
        <v>559</v>
      </c>
      <c r="B2047" s="20" t="s">
        <v>2191</v>
      </c>
      <c r="C2047" s="20">
        <v>0</v>
      </c>
      <c r="AA2047" s="20" t="s">
        <v>2983</v>
      </c>
      <c r="AB2047" s="20">
        <v>0</v>
      </c>
      <c r="AC2047" s="20">
        <v>0</v>
      </c>
    </row>
    <row r="2048" spans="1:29" x14ac:dyDescent="0.25">
      <c r="A2048" s="20" t="s">
        <v>832</v>
      </c>
      <c r="B2048" s="20" t="s">
        <v>2191</v>
      </c>
      <c r="C2048" s="20">
        <v>0</v>
      </c>
    </row>
    <row r="2049" spans="1:3" x14ac:dyDescent="0.25">
      <c r="A2049" s="20" t="s">
        <v>363</v>
      </c>
      <c r="B2049" s="20" t="s">
        <v>2191</v>
      </c>
      <c r="C2049" s="20">
        <v>0</v>
      </c>
    </row>
    <row r="2050" spans="1:3" x14ac:dyDescent="0.25">
      <c r="A2050" s="20" t="s">
        <v>177</v>
      </c>
      <c r="B2050" s="20" t="s">
        <v>2191</v>
      </c>
      <c r="C2050" s="20">
        <v>0</v>
      </c>
    </row>
    <row r="2051" spans="1:3" x14ac:dyDescent="0.25">
      <c r="A2051" s="20" t="s">
        <v>1326</v>
      </c>
      <c r="B2051" s="20" t="s">
        <v>2191</v>
      </c>
      <c r="C2051" s="20">
        <v>0</v>
      </c>
    </row>
    <row r="2052" spans="1:3" x14ac:dyDescent="0.25">
      <c r="A2052" s="20" t="s">
        <v>1182</v>
      </c>
      <c r="B2052" s="20" t="s">
        <v>2191</v>
      </c>
      <c r="C2052" s="20">
        <v>0</v>
      </c>
    </row>
    <row r="2053" spans="1:3" x14ac:dyDescent="0.25">
      <c r="A2053" s="20" t="s">
        <v>1183</v>
      </c>
      <c r="B2053" s="20" t="s">
        <v>2191</v>
      </c>
      <c r="C2053" s="20">
        <v>0</v>
      </c>
    </row>
    <row r="2054" spans="1:3" x14ac:dyDescent="0.25">
      <c r="A2054" s="20" t="s">
        <v>1327</v>
      </c>
      <c r="B2054" s="20" t="s">
        <v>2191</v>
      </c>
      <c r="C2054" s="20">
        <v>0</v>
      </c>
    </row>
    <row r="2055" spans="1:3" x14ac:dyDescent="0.25">
      <c r="A2055" s="20" t="s">
        <v>1184</v>
      </c>
      <c r="B2055" s="20" t="s">
        <v>2191</v>
      </c>
      <c r="C2055" s="20">
        <v>0</v>
      </c>
    </row>
    <row r="2056" spans="1:3" x14ac:dyDescent="0.25">
      <c r="A2056" s="20" t="s">
        <v>2956</v>
      </c>
      <c r="B2056" s="20" t="s">
        <v>2191</v>
      </c>
      <c r="C2056" s="20">
        <v>0</v>
      </c>
    </row>
    <row r="2057" spans="1:3" x14ac:dyDescent="0.25">
      <c r="A2057" s="20" t="s">
        <v>2957</v>
      </c>
      <c r="B2057" s="20" t="s">
        <v>2191</v>
      </c>
      <c r="C2057" s="20">
        <v>0</v>
      </c>
    </row>
    <row r="2058" spans="1:3" x14ac:dyDescent="0.25">
      <c r="A2058" s="20" t="s">
        <v>957</v>
      </c>
      <c r="B2058" s="20" t="s">
        <v>2191</v>
      </c>
      <c r="C2058" s="20">
        <v>0</v>
      </c>
    </row>
    <row r="2059" spans="1:3" x14ac:dyDescent="0.25">
      <c r="A2059" s="20" t="s">
        <v>958</v>
      </c>
      <c r="B2059" s="20" t="s">
        <v>2191</v>
      </c>
      <c r="C2059" s="20">
        <v>0</v>
      </c>
    </row>
    <row r="2060" spans="1:3" x14ac:dyDescent="0.25">
      <c r="A2060" s="20" t="s">
        <v>1328</v>
      </c>
      <c r="B2060" s="20" t="s">
        <v>2191</v>
      </c>
      <c r="C2060" s="20">
        <v>0</v>
      </c>
    </row>
    <row r="2061" spans="1:3" x14ac:dyDescent="0.25">
      <c r="A2061" s="20" t="s">
        <v>1046</v>
      </c>
      <c r="B2061" s="20" t="s">
        <v>2191</v>
      </c>
      <c r="C2061" s="20">
        <v>0</v>
      </c>
    </row>
    <row r="2062" spans="1:3" x14ac:dyDescent="0.25">
      <c r="A2062" s="20" t="s">
        <v>1244</v>
      </c>
      <c r="B2062" s="20" t="s">
        <v>2191</v>
      </c>
      <c r="C2062" s="20">
        <v>0</v>
      </c>
    </row>
    <row r="2063" spans="1:3" x14ac:dyDescent="0.25">
      <c r="A2063" s="20" t="s">
        <v>1497</v>
      </c>
      <c r="B2063" s="20" t="s">
        <v>2191</v>
      </c>
      <c r="C2063" s="20">
        <v>0</v>
      </c>
    </row>
    <row r="2064" spans="1:3" x14ac:dyDescent="0.25">
      <c r="A2064" s="20" t="s">
        <v>960</v>
      </c>
      <c r="B2064" s="20" t="s">
        <v>2191</v>
      </c>
      <c r="C2064" s="20">
        <v>0</v>
      </c>
    </row>
    <row r="2065" spans="1:3" x14ac:dyDescent="0.25">
      <c r="A2065" s="20" t="s">
        <v>178</v>
      </c>
      <c r="B2065" s="20" t="s">
        <v>2191</v>
      </c>
      <c r="C2065" s="20">
        <v>0</v>
      </c>
    </row>
    <row r="2066" spans="1:3" x14ac:dyDescent="0.25">
      <c r="A2066" s="20" t="s">
        <v>1406</v>
      </c>
      <c r="B2066" s="20" t="s">
        <v>2191</v>
      </c>
      <c r="C2066" s="20">
        <v>0</v>
      </c>
    </row>
    <row r="2067" spans="1:3" x14ac:dyDescent="0.25">
      <c r="A2067" s="20" t="s">
        <v>560</v>
      </c>
      <c r="B2067" s="20" t="s">
        <v>2191</v>
      </c>
      <c r="C2067" s="20">
        <v>24708.639999999999</v>
      </c>
    </row>
    <row r="2068" spans="1:3" x14ac:dyDescent="0.25">
      <c r="A2068" s="20" t="s">
        <v>1770</v>
      </c>
      <c r="B2068" s="20" t="s">
        <v>2191</v>
      </c>
      <c r="C2068" s="20">
        <v>0</v>
      </c>
    </row>
    <row r="2069" spans="1:3" x14ac:dyDescent="0.25">
      <c r="A2069" s="20" t="s">
        <v>1771</v>
      </c>
      <c r="B2069" s="20" t="s">
        <v>2191</v>
      </c>
      <c r="C2069" s="20">
        <v>0</v>
      </c>
    </row>
    <row r="2070" spans="1:3" x14ac:dyDescent="0.25">
      <c r="A2070" s="20" t="s">
        <v>1407</v>
      </c>
      <c r="B2070" s="20" t="s">
        <v>2191</v>
      </c>
      <c r="C2070" s="20">
        <v>85576.09</v>
      </c>
    </row>
    <row r="2071" spans="1:3" x14ac:dyDescent="0.25">
      <c r="A2071" s="20" t="s">
        <v>768</v>
      </c>
      <c r="B2071" s="20" t="s">
        <v>2191</v>
      </c>
      <c r="C2071" s="20">
        <v>0</v>
      </c>
    </row>
    <row r="2072" spans="1:3" x14ac:dyDescent="0.25">
      <c r="A2072" s="20" t="s">
        <v>770</v>
      </c>
      <c r="B2072" s="20" t="s">
        <v>2191</v>
      </c>
      <c r="C2072" s="20">
        <v>0</v>
      </c>
    </row>
    <row r="2073" spans="1:3" x14ac:dyDescent="0.25">
      <c r="A2073" s="20" t="s">
        <v>734</v>
      </c>
      <c r="B2073" s="20" t="s">
        <v>2191</v>
      </c>
      <c r="C2073" s="20">
        <v>8852</v>
      </c>
    </row>
    <row r="2074" spans="1:3" x14ac:dyDescent="0.25">
      <c r="A2074" s="20" t="s">
        <v>1772</v>
      </c>
      <c r="B2074" s="20" t="s">
        <v>2191</v>
      </c>
      <c r="C2074" s="20">
        <v>0</v>
      </c>
    </row>
    <row r="2075" spans="1:3" x14ac:dyDescent="0.25">
      <c r="A2075" s="20" t="s">
        <v>364</v>
      </c>
      <c r="B2075" s="20" t="s">
        <v>2191</v>
      </c>
      <c r="C2075" s="20">
        <v>27916</v>
      </c>
    </row>
    <row r="2076" spans="1:3" x14ac:dyDescent="0.25">
      <c r="A2076" s="20" t="s">
        <v>1498</v>
      </c>
      <c r="B2076" s="20" t="s">
        <v>2191</v>
      </c>
      <c r="C2076" s="20">
        <v>0</v>
      </c>
    </row>
    <row r="2077" spans="1:3" x14ac:dyDescent="0.25">
      <c r="A2077" s="20" t="s">
        <v>1773</v>
      </c>
      <c r="B2077" s="20" t="s">
        <v>2191</v>
      </c>
      <c r="C2077" s="20">
        <v>0</v>
      </c>
    </row>
    <row r="2078" spans="1:3" x14ac:dyDescent="0.25">
      <c r="A2078" s="20" t="s">
        <v>771</v>
      </c>
      <c r="B2078" s="20" t="s">
        <v>2191</v>
      </c>
      <c r="C2078" s="20">
        <v>0</v>
      </c>
    </row>
    <row r="2079" spans="1:3" x14ac:dyDescent="0.25">
      <c r="A2079" s="20" t="s">
        <v>1408</v>
      </c>
      <c r="B2079" s="20" t="s">
        <v>2191</v>
      </c>
      <c r="C2079" s="20">
        <v>0</v>
      </c>
    </row>
    <row r="2080" spans="1:3" x14ac:dyDescent="0.25">
      <c r="A2080" s="20" t="s">
        <v>1409</v>
      </c>
      <c r="B2080" s="20" t="s">
        <v>2191</v>
      </c>
      <c r="C2080" s="20">
        <v>0</v>
      </c>
    </row>
    <row r="2081" spans="1:3" x14ac:dyDescent="0.25">
      <c r="A2081" s="20" t="s">
        <v>223</v>
      </c>
      <c r="B2081" s="20" t="s">
        <v>2191</v>
      </c>
      <c r="C2081" s="20">
        <v>0</v>
      </c>
    </row>
    <row r="2082" spans="1:3" x14ac:dyDescent="0.25">
      <c r="A2082" s="20" t="s">
        <v>1129</v>
      </c>
      <c r="B2082" s="20" t="s">
        <v>2191</v>
      </c>
      <c r="C2082" s="20">
        <v>0</v>
      </c>
    </row>
    <row r="2083" spans="1:3" x14ac:dyDescent="0.25">
      <c r="A2083" s="20" t="s">
        <v>834</v>
      </c>
      <c r="B2083" s="20" t="s">
        <v>2191</v>
      </c>
      <c r="C2083" s="20">
        <v>36160</v>
      </c>
    </row>
    <row r="2084" spans="1:3" x14ac:dyDescent="0.25">
      <c r="A2084" s="20" t="s">
        <v>507</v>
      </c>
      <c r="B2084" s="20" t="s">
        <v>2191</v>
      </c>
      <c r="C2084" s="20">
        <v>1049</v>
      </c>
    </row>
    <row r="2085" spans="1:3" x14ac:dyDescent="0.25">
      <c r="A2085" s="20" t="s">
        <v>1148</v>
      </c>
      <c r="B2085" s="20" t="s">
        <v>2191</v>
      </c>
      <c r="C2085" s="20">
        <v>6590</v>
      </c>
    </row>
    <row r="2086" spans="1:3" x14ac:dyDescent="0.25">
      <c r="A2086" s="20" t="s">
        <v>366</v>
      </c>
      <c r="B2086" s="20" t="s">
        <v>2191</v>
      </c>
      <c r="C2086" s="20">
        <v>0</v>
      </c>
    </row>
    <row r="2087" spans="1:3" x14ac:dyDescent="0.25">
      <c r="A2087" s="20" t="s">
        <v>1499</v>
      </c>
      <c r="B2087" s="20" t="s">
        <v>2191</v>
      </c>
      <c r="C2087" s="20">
        <v>1379</v>
      </c>
    </row>
    <row r="2088" spans="1:3" x14ac:dyDescent="0.25">
      <c r="A2088" s="20" t="s">
        <v>663</v>
      </c>
      <c r="B2088" s="20" t="s">
        <v>2191</v>
      </c>
      <c r="C2088" s="20">
        <v>0</v>
      </c>
    </row>
    <row r="2089" spans="1:3" x14ac:dyDescent="0.25">
      <c r="A2089" s="20" t="s">
        <v>1500</v>
      </c>
      <c r="B2089" s="20" t="s">
        <v>2191</v>
      </c>
      <c r="C2089" s="20">
        <v>0</v>
      </c>
    </row>
    <row r="2090" spans="1:3" x14ac:dyDescent="0.25">
      <c r="A2090" s="20" t="s">
        <v>1774</v>
      </c>
      <c r="B2090" s="20" t="s">
        <v>2191</v>
      </c>
      <c r="C2090" s="20">
        <v>0</v>
      </c>
    </row>
    <row r="2091" spans="1:3" x14ac:dyDescent="0.25">
      <c r="A2091" s="20" t="s">
        <v>1775</v>
      </c>
      <c r="B2091" s="20" t="s">
        <v>2191</v>
      </c>
      <c r="C2091" s="20">
        <v>0</v>
      </c>
    </row>
    <row r="2092" spans="1:3" x14ac:dyDescent="0.25">
      <c r="A2092" s="20" t="s">
        <v>1096</v>
      </c>
      <c r="B2092" s="20" t="s">
        <v>2191</v>
      </c>
      <c r="C2092" s="20">
        <v>9794</v>
      </c>
    </row>
    <row r="2093" spans="1:3" x14ac:dyDescent="0.25">
      <c r="A2093" s="20" t="s">
        <v>664</v>
      </c>
      <c r="B2093" s="20" t="s">
        <v>2191</v>
      </c>
      <c r="C2093" s="20">
        <v>0</v>
      </c>
    </row>
    <row r="2094" spans="1:3" x14ac:dyDescent="0.25">
      <c r="A2094" s="20" t="s">
        <v>772</v>
      </c>
      <c r="B2094" s="20" t="s">
        <v>2191</v>
      </c>
      <c r="C2094" s="20">
        <v>0</v>
      </c>
    </row>
    <row r="2095" spans="1:3" x14ac:dyDescent="0.25">
      <c r="A2095" s="20" t="s">
        <v>1535</v>
      </c>
      <c r="B2095" s="20" t="s">
        <v>2191</v>
      </c>
      <c r="C2095" s="20">
        <v>0</v>
      </c>
    </row>
    <row r="2096" spans="1:3" x14ac:dyDescent="0.25">
      <c r="A2096" s="20" t="s">
        <v>179</v>
      </c>
      <c r="B2096" s="20" t="s">
        <v>2191</v>
      </c>
      <c r="C2096" s="20">
        <v>0</v>
      </c>
    </row>
    <row r="2097" spans="1:3" x14ac:dyDescent="0.25">
      <c r="A2097" s="20" t="s">
        <v>1776</v>
      </c>
      <c r="B2097" s="20" t="s">
        <v>2191</v>
      </c>
      <c r="C2097" s="20">
        <v>0</v>
      </c>
    </row>
    <row r="2098" spans="1:3" x14ac:dyDescent="0.25">
      <c r="A2098" s="20" t="s">
        <v>1777</v>
      </c>
      <c r="B2098" s="20" t="s">
        <v>2191</v>
      </c>
      <c r="C2098" s="20">
        <v>0</v>
      </c>
    </row>
    <row r="2099" spans="1:3" x14ac:dyDescent="0.25">
      <c r="A2099" s="20" t="s">
        <v>1778</v>
      </c>
      <c r="B2099" s="20" t="s">
        <v>2191</v>
      </c>
      <c r="C2099" s="20">
        <v>0</v>
      </c>
    </row>
    <row r="2100" spans="1:3" x14ac:dyDescent="0.25">
      <c r="A2100" s="20" t="s">
        <v>561</v>
      </c>
      <c r="B2100" s="20" t="s">
        <v>2191</v>
      </c>
      <c r="C2100" s="20">
        <v>0</v>
      </c>
    </row>
    <row r="2101" spans="1:3" x14ac:dyDescent="0.25">
      <c r="A2101" s="20" t="s">
        <v>368</v>
      </c>
      <c r="B2101" s="20" t="s">
        <v>2191</v>
      </c>
      <c r="C2101" s="20">
        <v>0</v>
      </c>
    </row>
    <row r="2102" spans="1:3" x14ac:dyDescent="0.25">
      <c r="A2102" s="20" t="s">
        <v>937</v>
      </c>
      <c r="B2102" s="20" t="s">
        <v>2191</v>
      </c>
      <c r="C2102" s="20">
        <v>0</v>
      </c>
    </row>
    <row r="2103" spans="1:3" x14ac:dyDescent="0.25">
      <c r="A2103" s="20" t="s">
        <v>1779</v>
      </c>
      <c r="B2103" s="20" t="s">
        <v>2191</v>
      </c>
      <c r="C2103" s="20">
        <v>0</v>
      </c>
    </row>
    <row r="2104" spans="1:3" x14ac:dyDescent="0.25">
      <c r="A2104" s="20" t="s">
        <v>1047</v>
      </c>
      <c r="B2104" s="20" t="s">
        <v>2191</v>
      </c>
      <c r="C2104" s="20">
        <v>0</v>
      </c>
    </row>
    <row r="2105" spans="1:3" x14ac:dyDescent="0.25">
      <c r="A2105" s="20" t="s">
        <v>1502</v>
      </c>
      <c r="B2105" s="20" t="s">
        <v>2191</v>
      </c>
      <c r="C2105" s="20">
        <v>0</v>
      </c>
    </row>
    <row r="2106" spans="1:3" x14ac:dyDescent="0.25">
      <c r="A2106" s="20" t="s">
        <v>1049</v>
      </c>
      <c r="B2106" s="20" t="s">
        <v>2191</v>
      </c>
      <c r="C2106" s="20">
        <v>0</v>
      </c>
    </row>
    <row r="2107" spans="1:3" x14ac:dyDescent="0.25">
      <c r="A2107" s="20" t="s">
        <v>1536</v>
      </c>
      <c r="B2107" s="20" t="s">
        <v>2191</v>
      </c>
      <c r="C2107" s="20">
        <v>0</v>
      </c>
    </row>
    <row r="2108" spans="1:3" x14ac:dyDescent="0.25">
      <c r="A2108" s="20" t="s">
        <v>562</v>
      </c>
      <c r="B2108" s="20" t="s">
        <v>2191</v>
      </c>
      <c r="C2108" s="20">
        <v>0</v>
      </c>
    </row>
    <row r="2109" spans="1:3" x14ac:dyDescent="0.25">
      <c r="A2109" s="20" t="s">
        <v>563</v>
      </c>
      <c r="B2109" s="20" t="s">
        <v>2191</v>
      </c>
      <c r="C2109" s="20">
        <v>0</v>
      </c>
    </row>
    <row r="2110" spans="1:3" x14ac:dyDescent="0.25">
      <c r="A2110" s="20" t="s">
        <v>965</v>
      </c>
      <c r="B2110" s="20" t="s">
        <v>2191</v>
      </c>
      <c r="C2110" s="20">
        <v>42886</v>
      </c>
    </row>
    <row r="2111" spans="1:3" x14ac:dyDescent="0.25">
      <c r="A2111" s="20" t="s">
        <v>1329</v>
      </c>
      <c r="B2111" s="20" t="s">
        <v>2191</v>
      </c>
      <c r="C2111" s="20">
        <v>0</v>
      </c>
    </row>
    <row r="2112" spans="1:3" x14ac:dyDescent="0.25">
      <c r="A2112" s="20" t="s">
        <v>773</v>
      </c>
      <c r="B2112" s="20" t="s">
        <v>2191</v>
      </c>
      <c r="C2112" s="20">
        <v>0</v>
      </c>
    </row>
    <row r="2113" spans="1:3" x14ac:dyDescent="0.25">
      <c r="A2113" s="20" t="s">
        <v>1410</v>
      </c>
      <c r="B2113" s="20" t="s">
        <v>2191</v>
      </c>
      <c r="C2113" s="20">
        <v>0</v>
      </c>
    </row>
    <row r="2114" spans="1:3" x14ac:dyDescent="0.25">
      <c r="A2114" s="20" t="s">
        <v>181</v>
      </c>
      <c r="B2114" s="20" t="s">
        <v>2191</v>
      </c>
      <c r="C2114" s="20">
        <v>0</v>
      </c>
    </row>
    <row r="2115" spans="1:3" x14ac:dyDescent="0.25">
      <c r="A2115" s="20" t="s">
        <v>966</v>
      </c>
      <c r="B2115" s="20" t="s">
        <v>2191</v>
      </c>
      <c r="C2115" s="20">
        <v>0</v>
      </c>
    </row>
    <row r="2116" spans="1:3" x14ac:dyDescent="0.25">
      <c r="A2116" s="20" t="s">
        <v>369</v>
      </c>
      <c r="B2116" s="20" t="s">
        <v>2191</v>
      </c>
      <c r="C2116" s="20">
        <v>0</v>
      </c>
    </row>
    <row r="2117" spans="1:3" x14ac:dyDescent="0.25">
      <c r="A2117" s="20" t="s">
        <v>1050</v>
      </c>
      <c r="B2117" s="20" t="s">
        <v>2191</v>
      </c>
      <c r="C2117" s="20">
        <v>0</v>
      </c>
    </row>
    <row r="2118" spans="1:3" x14ac:dyDescent="0.25">
      <c r="A2118" s="20" t="s">
        <v>1185</v>
      </c>
      <c r="B2118" s="20" t="s">
        <v>2191</v>
      </c>
      <c r="C2118" s="20">
        <v>0</v>
      </c>
    </row>
    <row r="2119" spans="1:3" x14ac:dyDescent="0.25">
      <c r="A2119" s="20" t="s">
        <v>97</v>
      </c>
      <c r="B2119" s="20" t="s">
        <v>2191</v>
      </c>
      <c r="C2119" s="20">
        <v>10295</v>
      </c>
    </row>
    <row r="2120" spans="1:3" x14ac:dyDescent="0.25">
      <c r="A2120" s="20" t="s">
        <v>1780</v>
      </c>
      <c r="B2120" s="20" t="s">
        <v>2191</v>
      </c>
      <c r="C2120" s="20">
        <v>0</v>
      </c>
    </row>
    <row r="2121" spans="1:3" x14ac:dyDescent="0.25">
      <c r="A2121" s="20" t="s">
        <v>2958</v>
      </c>
      <c r="B2121" s="20" t="s">
        <v>2191</v>
      </c>
      <c r="C2121" s="20">
        <v>0</v>
      </c>
    </row>
    <row r="2122" spans="1:3" x14ac:dyDescent="0.25">
      <c r="A2122" s="20" t="s">
        <v>338</v>
      </c>
      <c r="B2122" s="20" t="s">
        <v>2191</v>
      </c>
      <c r="C2122" s="20">
        <v>0</v>
      </c>
    </row>
    <row r="2123" spans="1:3" x14ac:dyDescent="0.25">
      <c r="A2123" s="20" t="s">
        <v>774</v>
      </c>
      <c r="B2123" s="20" t="s">
        <v>2191</v>
      </c>
      <c r="C2123" s="20">
        <v>0</v>
      </c>
    </row>
    <row r="2124" spans="1:3" x14ac:dyDescent="0.25">
      <c r="A2124" s="20" t="s">
        <v>2959</v>
      </c>
      <c r="B2124" s="20" t="s">
        <v>2191</v>
      </c>
      <c r="C2124" s="20">
        <v>0</v>
      </c>
    </row>
    <row r="2125" spans="1:3" x14ac:dyDescent="0.25">
      <c r="A2125" s="20" t="s">
        <v>1331</v>
      </c>
      <c r="B2125" s="20" t="s">
        <v>2191</v>
      </c>
      <c r="C2125" s="20">
        <v>0</v>
      </c>
    </row>
    <row r="2126" spans="1:3" x14ac:dyDescent="0.25">
      <c r="A2126" s="20" t="s">
        <v>348</v>
      </c>
      <c r="B2126" s="20" t="s">
        <v>2191</v>
      </c>
      <c r="C2126" s="20">
        <v>0</v>
      </c>
    </row>
    <row r="2127" spans="1:3" x14ac:dyDescent="0.25">
      <c r="A2127" s="20" t="s">
        <v>370</v>
      </c>
      <c r="B2127" s="20" t="s">
        <v>2191</v>
      </c>
      <c r="C2127" s="20">
        <v>0</v>
      </c>
    </row>
    <row r="2128" spans="1:3" x14ac:dyDescent="0.25">
      <c r="A2128" s="20" t="s">
        <v>921</v>
      </c>
      <c r="B2128" s="20" t="s">
        <v>2191</v>
      </c>
      <c r="C2128" s="20">
        <v>0</v>
      </c>
    </row>
    <row r="2129" spans="1:3" x14ac:dyDescent="0.25">
      <c r="A2129" s="20" t="s">
        <v>1781</v>
      </c>
      <c r="B2129" s="20" t="s">
        <v>2191</v>
      </c>
      <c r="C2129" s="20">
        <v>0</v>
      </c>
    </row>
    <row r="2130" spans="1:3" x14ac:dyDescent="0.25">
      <c r="A2130" s="20" t="s">
        <v>2960</v>
      </c>
      <c r="B2130" s="20" t="s">
        <v>2191</v>
      </c>
      <c r="C2130" s="20">
        <v>0</v>
      </c>
    </row>
    <row r="2131" spans="1:3" x14ac:dyDescent="0.25">
      <c r="A2131" s="20" t="s">
        <v>2961</v>
      </c>
      <c r="B2131" s="20" t="s">
        <v>2191</v>
      </c>
      <c r="C2131" s="20">
        <v>0</v>
      </c>
    </row>
    <row r="2132" spans="1:3" x14ac:dyDescent="0.25">
      <c r="A2132" s="20" t="s">
        <v>371</v>
      </c>
      <c r="B2132" s="20" t="s">
        <v>2191</v>
      </c>
      <c r="C2132" s="20">
        <v>2494</v>
      </c>
    </row>
    <row r="2133" spans="1:3" x14ac:dyDescent="0.25">
      <c r="A2133" s="20" t="s">
        <v>1782</v>
      </c>
      <c r="B2133" s="20" t="s">
        <v>2191</v>
      </c>
      <c r="C2133" s="20">
        <v>0</v>
      </c>
    </row>
    <row r="2134" spans="1:3" x14ac:dyDescent="0.25">
      <c r="A2134" s="20" t="s">
        <v>967</v>
      </c>
      <c r="B2134" s="20" t="s">
        <v>2191</v>
      </c>
      <c r="C2134" s="20">
        <v>6588</v>
      </c>
    </row>
    <row r="2135" spans="1:3" x14ac:dyDescent="0.25">
      <c r="A2135" s="20" t="s">
        <v>1537</v>
      </c>
      <c r="B2135" s="20" t="s">
        <v>2191</v>
      </c>
      <c r="C2135" s="20">
        <v>0</v>
      </c>
    </row>
    <row r="2136" spans="1:3" x14ac:dyDescent="0.25">
      <c r="A2136" s="20" t="s">
        <v>968</v>
      </c>
      <c r="B2136" s="20" t="s">
        <v>2191</v>
      </c>
      <c r="C2136" s="20">
        <v>0</v>
      </c>
    </row>
    <row r="2137" spans="1:3" x14ac:dyDescent="0.25">
      <c r="A2137" s="20" t="s">
        <v>373</v>
      </c>
      <c r="B2137" s="20" t="s">
        <v>2191</v>
      </c>
      <c r="C2137" s="20">
        <v>0</v>
      </c>
    </row>
    <row r="2138" spans="1:3" x14ac:dyDescent="0.25">
      <c r="A2138" s="20" t="s">
        <v>1332</v>
      </c>
      <c r="B2138" s="20" t="s">
        <v>2191</v>
      </c>
      <c r="C2138" s="20">
        <v>0</v>
      </c>
    </row>
    <row r="2139" spans="1:3" x14ac:dyDescent="0.25">
      <c r="A2139" s="20" t="s">
        <v>1051</v>
      </c>
      <c r="B2139" s="20" t="s">
        <v>2191</v>
      </c>
      <c r="C2139" s="20">
        <v>0</v>
      </c>
    </row>
    <row r="2140" spans="1:3" x14ac:dyDescent="0.25">
      <c r="A2140" s="20" t="s">
        <v>375</v>
      </c>
      <c r="B2140" s="20" t="s">
        <v>2191</v>
      </c>
      <c r="C2140" s="20">
        <v>0</v>
      </c>
    </row>
    <row r="2141" spans="1:3" x14ac:dyDescent="0.25">
      <c r="A2141" s="20" t="s">
        <v>1412</v>
      </c>
      <c r="B2141" s="20" t="s">
        <v>2191</v>
      </c>
      <c r="C2141" s="20">
        <v>0</v>
      </c>
    </row>
    <row r="2142" spans="1:3" x14ac:dyDescent="0.25">
      <c r="A2142" s="20" t="s">
        <v>1053</v>
      </c>
      <c r="B2142" s="20" t="s">
        <v>2191</v>
      </c>
      <c r="C2142" s="20">
        <v>0</v>
      </c>
    </row>
    <row r="2143" spans="1:3" x14ac:dyDescent="0.25">
      <c r="A2143" s="20" t="s">
        <v>1055</v>
      </c>
      <c r="B2143" s="20" t="s">
        <v>2191</v>
      </c>
      <c r="C2143" s="20">
        <v>0</v>
      </c>
    </row>
    <row r="2144" spans="1:3" x14ac:dyDescent="0.25">
      <c r="A2144" s="20" t="s">
        <v>377</v>
      </c>
      <c r="B2144" s="20" t="s">
        <v>2191</v>
      </c>
      <c r="C2144" s="20">
        <v>0</v>
      </c>
    </row>
    <row r="2145" spans="1:3" x14ac:dyDescent="0.25">
      <c r="A2145" s="20" t="s">
        <v>1783</v>
      </c>
      <c r="B2145" s="20" t="s">
        <v>2191</v>
      </c>
      <c r="C2145" s="20">
        <v>0</v>
      </c>
    </row>
    <row r="2146" spans="1:3" x14ac:dyDescent="0.25">
      <c r="A2146" s="20" t="s">
        <v>1415</v>
      </c>
      <c r="B2146" s="20" t="s">
        <v>2191</v>
      </c>
      <c r="C2146" s="20">
        <v>49362</v>
      </c>
    </row>
    <row r="2147" spans="1:3" x14ac:dyDescent="0.25">
      <c r="A2147" s="20" t="s">
        <v>1188</v>
      </c>
      <c r="B2147" s="20" t="s">
        <v>2191</v>
      </c>
      <c r="C2147" s="20">
        <v>25081.52</v>
      </c>
    </row>
    <row r="2148" spans="1:3" x14ac:dyDescent="0.25">
      <c r="A2148" s="20" t="s">
        <v>777</v>
      </c>
      <c r="B2148" s="20" t="s">
        <v>2191</v>
      </c>
      <c r="C2148" s="20">
        <v>6641</v>
      </c>
    </row>
    <row r="2149" spans="1:3" x14ac:dyDescent="0.25">
      <c r="A2149" s="20" t="s">
        <v>1246</v>
      </c>
      <c r="B2149" s="20" t="s">
        <v>2191</v>
      </c>
      <c r="C2149" s="20">
        <v>0</v>
      </c>
    </row>
    <row r="2150" spans="1:3" x14ac:dyDescent="0.25">
      <c r="A2150" s="20" t="s">
        <v>1416</v>
      </c>
      <c r="B2150" s="20" t="s">
        <v>2191</v>
      </c>
      <c r="C2150" s="20">
        <v>0</v>
      </c>
    </row>
    <row r="2151" spans="1:3" x14ac:dyDescent="0.25">
      <c r="A2151" s="20" t="s">
        <v>1504</v>
      </c>
      <c r="B2151" s="20" t="s">
        <v>2191</v>
      </c>
      <c r="C2151" s="20">
        <v>0</v>
      </c>
    </row>
    <row r="2152" spans="1:3" x14ac:dyDescent="0.25">
      <c r="A2152" s="20" t="s">
        <v>379</v>
      </c>
      <c r="B2152" s="20" t="s">
        <v>2191</v>
      </c>
      <c r="C2152" s="20">
        <v>32147.1</v>
      </c>
    </row>
    <row r="2153" spans="1:3" x14ac:dyDescent="0.25">
      <c r="A2153" s="20" t="s">
        <v>1538</v>
      </c>
      <c r="B2153" s="20" t="s">
        <v>2191</v>
      </c>
      <c r="C2153" s="20">
        <v>0</v>
      </c>
    </row>
    <row r="2154" spans="1:3" x14ac:dyDescent="0.25">
      <c r="A2154" s="20" t="s">
        <v>380</v>
      </c>
      <c r="B2154" s="20" t="s">
        <v>2191</v>
      </c>
      <c r="C2154" s="20">
        <v>0</v>
      </c>
    </row>
    <row r="2155" spans="1:3" x14ac:dyDescent="0.25">
      <c r="A2155" s="20" t="s">
        <v>1418</v>
      </c>
      <c r="B2155" s="20" t="s">
        <v>2191</v>
      </c>
      <c r="C2155" s="20">
        <v>5883</v>
      </c>
    </row>
    <row r="2156" spans="1:3" x14ac:dyDescent="0.25">
      <c r="A2156" s="20" t="s">
        <v>185</v>
      </c>
      <c r="B2156" s="20" t="s">
        <v>2191</v>
      </c>
      <c r="C2156" s="20">
        <v>250</v>
      </c>
    </row>
    <row r="2157" spans="1:3" x14ac:dyDescent="0.25">
      <c r="A2157" s="20" t="s">
        <v>666</v>
      </c>
      <c r="B2157" s="20" t="s">
        <v>2191</v>
      </c>
      <c r="C2157" s="20">
        <v>2223</v>
      </c>
    </row>
    <row r="2158" spans="1:3" x14ac:dyDescent="0.25">
      <c r="A2158" s="20" t="s">
        <v>565</v>
      </c>
      <c r="B2158" s="20" t="s">
        <v>2191</v>
      </c>
      <c r="C2158" s="20">
        <v>0</v>
      </c>
    </row>
    <row r="2159" spans="1:3" x14ac:dyDescent="0.25">
      <c r="A2159" s="20" t="s">
        <v>1784</v>
      </c>
      <c r="B2159" s="20" t="s">
        <v>2191</v>
      </c>
      <c r="C2159" s="20">
        <v>0</v>
      </c>
    </row>
    <row r="2160" spans="1:3" x14ac:dyDescent="0.25">
      <c r="A2160" s="20" t="s">
        <v>1189</v>
      </c>
      <c r="B2160" s="20" t="s">
        <v>2191</v>
      </c>
      <c r="C2160" s="20">
        <v>0</v>
      </c>
    </row>
    <row r="2161" spans="1:3" x14ac:dyDescent="0.25">
      <c r="A2161" s="20" t="s">
        <v>2962</v>
      </c>
      <c r="B2161" s="20" t="s">
        <v>2191</v>
      </c>
      <c r="C2161" s="20">
        <v>0</v>
      </c>
    </row>
    <row r="2162" spans="1:3" x14ac:dyDescent="0.25">
      <c r="A2162" s="20" t="s">
        <v>1056</v>
      </c>
      <c r="B2162" s="20" t="s">
        <v>2191</v>
      </c>
      <c r="C2162" s="20">
        <v>0</v>
      </c>
    </row>
    <row r="2163" spans="1:3" x14ac:dyDescent="0.25">
      <c r="A2163" s="20" t="s">
        <v>566</v>
      </c>
      <c r="B2163" s="20" t="s">
        <v>2191</v>
      </c>
      <c r="C2163" s="20">
        <v>16565</v>
      </c>
    </row>
    <row r="2164" spans="1:3" x14ac:dyDescent="0.25">
      <c r="A2164" s="20" t="s">
        <v>186</v>
      </c>
      <c r="B2164" s="20" t="s">
        <v>2191</v>
      </c>
      <c r="C2164" s="20">
        <v>0</v>
      </c>
    </row>
    <row r="2165" spans="1:3" x14ac:dyDescent="0.25">
      <c r="A2165" s="20" t="s">
        <v>971</v>
      </c>
      <c r="B2165" s="20" t="s">
        <v>2191</v>
      </c>
      <c r="C2165" s="20">
        <v>0</v>
      </c>
    </row>
    <row r="2166" spans="1:3" x14ac:dyDescent="0.25">
      <c r="A2166" s="20" t="s">
        <v>1785</v>
      </c>
      <c r="B2166" s="20" t="s">
        <v>2191</v>
      </c>
      <c r="C2166" s="20">
        <v>0</v>
      </c>
    </row>
    <row r="2167" spans="1:3" x14ac:dyDescent="0.25">
      <c r="A2167" s="20" t="s">
        <v>567</v>
      </c>
      <c r="B2167" s="20" t="s">
        <v>2191</v>
      </c>
      <c r="C2167" s="20">
        <v>0</v>
      </c>
    </row>
    <row r="2168" spans="1:3" x14ac:dyDescent="0.25">
      <c r="A2168" s="20" t="s">
        <v>1506</v>
      </c>
      <c r="B2168" s="20" t="s">
        <v>2191</v>
      </c>
      <c r="C2168" s="20">
        <v>0</v>
      </c>
    </row>
    <row r="2169" spans="1:3" x14ac:dyDescent="0.25">
      <c r="A2169" s="20" t="s">
        <v>1786</v>
      </c>
      <c r="B2169" s="20" t="s">
        <v>2191</v>
      </c>
      <c r="C2169" s="20">
        <v>0</v>
      </c>
    </row>
    <row r="2170" spans="1:3" x14ac:dyDescent="0.25">
      <c r="A2170" s="20" t="s">
        <v>1419</v>
      </c>
      <c r="B2170" s="20" t="s">
        <v>2191</v>
      </c>
      <c r="C2170" s="20">
        <v>46534</v>
      </c>
    </row>
    <row r="2171" spans="1:3" x14ac:dyDescent="0.25">
      <c r="A2171" s="20" t="s">
        <v>1057</v>
      </c>
      <c r="B2171" s="20" t="s">
        <v>2191</v>
      </c>
      <c r="C2171" s="20">
        <v>0</v>
      </c>
    </row>
    <row r="2172" spans="1:3" x14ac:dyDescent="0.25">
      <c r="A2172" s="20" t="s">
        <v>1333</v>
      </c>
      <c r="B2172" s="20" t="s">
        <v>2191</v>
      </c>
      <c r="C2172" s="20">
        <v>0</v>
      </c>
    </row>
    <row r="2173" spans="1:3" x14ac:dyDescent="0.25">
      <c r="A2173" s="20" t="s">
        <v>780</v>
      </c>
      <c r="B2173" s="20" t="s">
        <v>2191</v>
      </c>
      <c r="C2173" s="20">
        <v>0</v>
      </c>
    </row>
    <row r="2174" spans="1:3" x14ac:dyDescent="0.25">
      <c r="A2174" s="20" t="s">
        <v>836</v>
      </c>
      <c r="B2174" s="20" t="s">
        <v>2191</v>
      </c>
      <c r="C2174" s="20">
        <v>7920.57</v>
      </c>
    </row>
    <row r="2175" spans="1:3" x14ac:dyDescent="0.25">
      <c r="A2175" s="20" t="s">
        <v>784</v>
      </c>
      <c r="B2175" s="20" t="s">
        <v>2191</v>
      </c>
      <c r="C2175" s="20">
        <v>0</v>
      </c>
    </row>
    <row r="2176" spans="1:3" x14ac:dyDescent="0.25">
      <c r="A2176" s="20" t="s">
        <v>785</v>
      </c>
      <c r="B2176" s="20" t="s">
        <v>2191</v>
      </c>
      <c r="C2176" s="20">
        <v>0</v>
      </c>
    </row>
    <row r="2177" spans="1:3" x14ac:dyDescent="0.25">
      <c r="A2177" s="20" t="s">
        <v>787</v>
      </c>
      <c r="B2177" s="20" t="s">
        <v>2191</v>
      </c>
      <c r="C2177" s="20">
        <v>0</v>
      </c>
    </row>
    <row r="2178" spans="1:3" x14ac:dyDescent="0.25">
      <c r="A2178" s="20" t="s">
        <v>1420</v>
      </c>
      <c r="B2178" s="20" t="s">
        <v>2191</v>
      </c>
      <c r="C2178" s="20">
        <v>4974</v>
      </c>
    </row>
    <row r="2179" spans="1:3" x14ac:dyDescent="0.25">
      <c r="A2179" s="20" t="s">
        <v>1787</v>
      </c>
      <c r="B2179" s="20" t="s">
        <v>2191</v>
      </c>
      <c r="C2179" s="20">
        <v>0</v>
      </c>
    </row>
    <row r="2180" spans="1:3" x14ac:dyDescent="0.25">
      <c r="A2180" s="20" t="s">
        <v>1421</v>
      </c>
      <c r="B2180" s="20" t="s">
        <v>2191</v>
      </c>
      <c r="C2180" s="20">
        <v>0</v>
      </c>
    </row>
    <row r="2181" spans="1:3" x14ac:dyDescent="0.25">
      <c r="A2181" s="20" t="s">
        <v>1058</v>
      </c>
      <c r="B2181" s="20" t="s">
        <v>2191</v>
      </c>
      <c r="C2181" s="20">
        <v>0</v>
      </c>
    </row>
    <row r="2182" spans="1:3" x14ac:dyDescent="0.25">
      <c r="A2182" s="20" t="s">
        <v>838</v>
      </c>
      <c r="B2182" s="20" t="s">
        <v>2191</v>
      </c>
      <c r="C2182" s="20">
        <v>0</v>
      </c>
    </row>
    <row r="2183" spans="1:3" x14ac:dyDescent="0.25">
      <c r="A2183" s="20" t="s">
        <v>187</v>
      </c>
      <c r="B2183" s="20" t="s">
        <v>2191</v>
      </c>
      <c r="C2183" s="20">
        <v>0</v>
      </c>
    </row>
    <row r="2184" spans="1:3" x14ac:dyDescent="0.25">
      <c r="A2184" s="20" t="s">
        <v>976</v>
      </c>
      <c r="B2184" s="20" t="s">
        <v>2191</v>
      </c>
      <c r="C2184" s="20">
        <v>20515.82</v>
      </c>
    </row>
    <row r="2185" spans="1:3" x14ac:dyDescent="0.25">
      <c r="A2185" s="20" t="s">
        <v>1788</v>
      </c>
      <c r="B2185" s="20" t="s">
        <v>2191</v>
      </c>
      <c r="C2185" s="20">
        <v>0</v>
      </c>
    </row>
    <row r="2186" spans="1:3" x14ac:dyDescent="0.25">
      <c r="A2186" s="20" t="s">
        <v>1789</v>
      </c>
      <c r="B2186" s="20" t="s">
        <v>2191</v>
      </c>
      <c r="C2186" s="20">
        <v>0</v>
      </c>
    </row>
    <row r="2187" spans="1:3" x14ac:dyDescent="0.25">
      <c r="A2187" s="20" t="s">
        <v>1248</v>
      </c>
      <c r="B2187" s="20" t="s">
        <v>2191</v>
      </c>
      <c r="C2187" s="20">
        <v>-4208.54</v>
      </c>
    </row>
    <row r="2188" spans="1:3" x14ac:dyDescent="0.25">
      <c r="A2188" s="20" t="s">
        <v>188</v>
      </c>
      <c r="B2188" s="20" t="s">
        <v>2191</v>
      </c>
      <c r="C2188" s="20">
        <v>0</v>
      </c>
    </row>
    <row r="2189" spans="1:3" x14ac:dyDescent="0.25">
      <c r="A2189" s="20" t="s">
        <v>793</v>
      </c>
      <c r="B2189" s="20" t="s">
        <v>2191</v>
      </c>
      <c r="C2189" s="20">
        <v>0</v>
      </c>
    </row>
    <row r="2190" spans="1:3" x14ac:dyDescent="0.25">
      <c r="A2190" s="20" t="s">
        <v>193</v>
      </c>
      <c r="B2190" s="20" t="s">
        <v>2191</v>
      </c>
      <c r="C2190" s="20">
        <v>4426</v>
      </c>
    </row>
    <row r="2191" spans="1:3" x14ac:dyDescent="0.25">
      <c r="A2191" s="20" t="s">
        <v>570</v>
      </c>
      <c r="B2191" s="20" t="s">
        <v>2191</v>
      </c>
      <c r="C2191" s="20">
        <v>0</v>
      </c>
    </row>
    <row r="2192" spans="1:3" x14ac:dyDescent="0.25">
      <c r="A2192" s="20" t="s">
        <v>194</v>
      </c>
      <c r="B2192" s="20" t="s">
        <v>2191</v>
      </c>
      <c r="C2192" s="20">
        <v>2696</v>
      </c>
    </row>
    <row r="2193" spans="1:3" x14ac:dyDescent="0.25">
      <c r="A2193" s="20" t="s">
        <v>571</v>
      </c>
      <c r="B2193" s="20" t="s">
        <v>2191</v>
      </c>
      <c r="C2193" s="20">
        <v>0</v>
      </c>
    </row>
    <row r="2194" spans="1:3" x14ac:dyDescent="0.25">
      <c r="A2194" s="20" t="s">
        <v>1539</v>
      </c>
      <c r="B2194" s="20" t="s">
        <v>2191</v>
      </c>
      <c r="C2194" s="20">
        <v>0</v>
      </c>
    </row>
    <row r="2195" spans="1:3" x14ac:dyDescent="0.25">
      <c r="A2195" s="20" t="s">
        <v>1521</v>
      </c>
      <c r="B2195" s="20" t="s">
        <v>2191</v>
      </c>
      <c r="C2195" s="20">
        <v>0</v>
      </c>
    </row>
    <row r="2196" spans="1:3" x14ac:dyDescent="0.25">
      <c r="A2196" s="20" t="s">
        <v>977</v>
      </c>
      <c r="B2196" s="20" t="s">
        <v>2191</v>
      </c>
      <c r="C2196" s="20">
        <v>1737</v>
      </c>
    </row>
    <row r="2197" spans="1:3" x14ac:dyDescent="0.25">
      <c r="A2197" s="20" t="s">
        <v>1422</v>
      </c>
      <c r="B2197" s="20" t="s">
        <v>2191</v>
      </c>
      <c r="C2197" s="20">
        <v>0</v>
      </c>
    </row>
    <row r="2198" spans="1:3" x14ac:dyDescent="0.25">
      <c r="A2198" s="20" t="s">
        <v>670</v>
      </c>
      <c r="B2198" s="20" t="s">
        <v>2191</v>
      </c>
      <c r="C2198" s="20">
        <v>0</v>
      </c>
    </row>
    <row r="2199" spans="1:3" x14ac:dyDescent="0.25">
      <c r="A2199" s="20" t="s">
        <v>794</v>
      </c>
      <c r="B2199" s="20" t="s">
        <v>2191</v>
      </c>
      <c r="C2199" s="20">
        <v>0</v>
      </c>
    </row>
    <row r="2200" spans="1:3" x14ac:dyDescent="0.25">
      <c r="A2200" s="20" t="s">
        <v>1343</v>
      </c>
      <c r="B2200" s="20" t="s">
        <v>2191</v>
      </c>
      <c r="C2200" s="20">
        <v>8503</v>
      </c>
    </row>
    <row r="2201" spans="1:3" x14ac:dyDescent="0.25">
      <c r="A2201" s="20" t="s">
        <v>751</v>
      </c>
      <c r="B2201" s="20" t="s">
        <v>2191</v>
      </c>
      <c r="C2201" s="20">
        <v>0</v>
      </c>
    </row>
    <row r="2202" spans="1:3" x14ac:dyDescent="0.25">
      <c r="A2202" s="20" t="s">
        <v>1425</v>
      </c>
      <c r="B2202" s="20" t="s">
        <v>2191</v>
      </c>
      <c r="C2202" s="20">
        <v>0</v>
      </c>
    </row>
    <row r="2203" spans="1:3" x14ac:dyDescent="0.25">
      <c r="A2203" s="20" t="s">
        <v>1396</v>
      </c>
      <c r="B2203" s="20" t="s">
        <v>2191</v>
      </c>
      <c r="C2203" s="20">
        <v>21420</v>
      </c>
    </row>
    <row r="2204" spans="1:3" x14ac:dyDescent="0.25">
      <c r="A2204" s="20" t="s">
        <v>1507</v>
      </c>
      <c r="B2204" s="20" t="s">
        <v>2191</v>
      </c>
      <c r="C2204" s="20">
        <v>0</v>
      </c>
    </row>
    <row r="2205" spans="1:3" x14ac:dyDescent="0.25">
      <c r="A2205" s="20" t="s">
        <v>573</v>
      </c>
      <c r="B2205" s="20" t="s">
        <v>2191</v>
      </c>
      <c r="C2205" s="20">
        <v>0</v>
      </c>
    </row>
    <row r="2206" spans="1:3" x14ac:dyDescent="0.25">
      <c r="A2206" s="20" t="s">
        <v>554</v>
      </c>
      <c r="B2206" s="20" t="s">
        <v>2191</v>
      </c>
      <c r="C2206" s="20">
        <v>0</v>
      </c>
    </row>
    <row r="2207" spans="1:3" x14ac:dyDescent="0.25">
      <c r="A2207" s="20" t="s">
        <v>327</v>
      </c>
      <c r="B2207" s="20" t="s">
        <v>2191</v>
      </c>
      <c r="C2207" s="20">
        <v>41959</v>
      </c>
    </row>
    <row r="2208" spans="1:3" x14ac:dyDescent="0.25">
      <c r="A2208" s="20" t="s">
        <v>500</v>
      </c>
      <c r="B2208" s="20" t="s">
        <v>2191</v>
      </c>
      <c r="C2208" s="20">
        <v>14334</v>
      </c>
    </row>
    <row r="2209" spans="1:3" x14ac:dyDescent="0.25">
      <c r="A2209" s="20" t="s">
        <v>196</v>
      </c>
      <c r="B2209" s="20" t="s">
        <v>2191</v>
      </c>
      <c r="C2209" s="20">
        <v>0</v>
      </c>
    </row>
    <row r="2210" spans="1:3" x14ac:dyDescent="0.25">
      <c r="A2210" s="20" t="s">
        <v>1195</v>
      </c>
      <c r="B2210" s="20" t="s">
        <v>2191</v>
      </c>
      <c r="C2210" s="20">
        <v>1321</v>
      </c>
    </row>
    <row r="2211" spans="1:3" x14ac:dyDescent="0.25">
      <c r="A2211" s="20" t="s">
        <v>1508</v>
      </c>
      <c r="B2211" s="20" t="s">
        <v>2191</v>
      </c>
      <c r="C2211" s="20">
        <v>4636</v>
      </c>
    </row>
    <row r="2212" spans="1:3" x14ac:dyDescent="0.25">
      <c r="A2212" s="20" t="s">
        <v>198</v>
      </c>
      <c r="B2212" s="20" t="s">
        <v>2191</v>
      </c>
      <c r="C2212" s="20">
        <v>10545</v>
      </c>
    </row>
    <row r="2213" spans="1:3" x14ac:dyDescent="0.25">
      <c r="A2213" s="20" t="s">
        <v>1540</v>
      </c>
      <c r="B2213" s="20" t="s">
        <v>2191</v>
      </c>
      <c r="C2213" s="20">
        <v>0</v>
      </c>
    </row>
    <row r="2214" spans="1:3" x14ac:dyDescent="0.25">
      <c r="A2214" s="20" t="s">
        <v>839</v>
      </c>
      <c r="B2214" s="20" t="s">
        <v>2191</v>
      </c>
      <c r="C2214" s="20">
        <v>0</v>
      </c>
    </row>
    <row r="2215" spans="1:3" x14ac:dyDescent="0.25">
      <c r="A2215" s="20" t="s">
        <v>574</v>
      </c>
      <c r="B2215" s="20" t="s">
        <v>2191</v>
      </c>
      <c r="C2215" s="20">
        <v>0</v>
      </c>
    </row>
    <row r="2216" spans="1:3" x14ac:dyDescent="0.25">
      <c r="A2216" s="20" t="s">
        <v>1790</v>
      </c>
      <c r="B2216" s="20" t="s">
        <v>2191</v>
      </c>
      <c r="C2216" s="20">
        <v>0</v>
      </c>
    </row>
    <row r="2217" spans="1:3" x14ac:dyDescent="0.25">
      <c r="A2217" s="20" t="s">
        <v>1791</v>
      </c>
      <c r="B2217" s="20" t="s">
        <v>2191</v>
      </c>
      <c r="C2217" s="20">
        <v>0</v>
      </c>
    </row>
    <row r="2218" spans="1:3" x14ac:dyDescent="0.25">
      <c r="A2218" s="20" t="s">
        <v>1510</v>
      </c>
      <c r="B2218" s="20" t="s">
        <v>2191</v>
      </c>
      <c r="C2218" s="20">
        <v>19078.62</v>
      </c>
    </row>
    <row r="2219" spans="1:3" x14ac:dyDescent="0.25">
      <c r="A2219" s="20" t="s">
        <v>979</v>
      </c>
      <c r="B2219" s="20" t="s">
        <v>2191</v>
      </c>
      <c r="C2219" s="20">
        <v>0</v>
      </c>
    </row>
    <row r="2220" spans="1:3" x14ac:dyDescent="0.25">
      <c r="A2220" s="20" t="s">
        <v>796</v>
      </c>
      <c r="B2220" s="20" t="s">
        <v>2191</v>
      </c>
      <c r="C2220" s="20">
        <v>0</v>
      </c>
    </row>
    <row r="2221" spans="1:3" x14ac:dyDescent="0.25">
      <c r="A2221" s="20" t="s">
        <v>200</v>
      </c>
      <c r="B2221" s="20" t="s">
        <v>2191</v>
      </c>
      <c r="C2221" s="20">
        <v>-2741.28</v>
      </c>
    </row>
    <row r="2222" spans="1:3" x14ac:dyDescent="0.25">
      <c r="A2222" s="20" t="s">
        <v>1059</v>
      </c>
      <c r="B2222" s="20" t="s">
        <v>2191</v>
      </c>
      <c r="C2222" s="20">
        <v>0</v>
      </c>
    </row>
    <row r="2223" spans="1:3" x14ac:dyDescent="0.25">
      <c r="A2223" s="20" t="s">
        <v>2986</v>
      </c>
      <c r="B2223" s="20" t="s">
        <v>2191</v>
      </c>
      <c r="C2223" s="20">
        <v>0</v>
      </c>
    </row>
    <row r="2224" spans="1:3" x14ac:dyDescent="0.25">
      <c r="A2224" s="20" t="s">
        <v>224</v>
      </c>
      <c r="B2224" s="20" t="s">
        <v>2191</v>
      </c>
      <c r="C2224" s="20">
        <v>0</v>
      </c>
    </row>
    <row r="2225" spans="1:3" x14ac:dyDescent="0.25">
      <c r="A2225" s="20" t="s">
        <v>3096</v>
      </c>
      <c r="B2225" s="20" t="s">
        <v>2191</v>
      </c>
      <c r="C2225" s="20">
        <v>0</v>
      </c>
    </row>
    <row r="2226" spans="1:3" x14ac:dyDescent="0.25">
      <c r="A2226" s="20" t="s">
        <v>201</v>
      </c>
      <c r="B2226" s="20" t="s">
        <v>2191</v>
      </c>
      <c r="C2226" s="20">
        <v>0</v>
      </c>
    </row>
    <row r="2227" spans="1:3" x14ac:dyDescent="0.25">
      <c r="A2227" s="20" t="s">
        <v>1426</v>
      </c>
      <c r="B2227" s="20" t="s">
        <v>2191</v>
      </c>
      <c r="C2227" s="20">
        <v>0</v>
      </c>
    </row>
    <row r="2228" spans="1:3" x14ac:dyDescent="0.25">
      <c r="A2228" s="20" t="s">
        <v>1427</v>
      </c>
      <c r="B2228" s="20" t="s">
        <v>2191</v>
      </c>
      <c r="C2228" s="20">
        <v>0</v>
      </c>
    </row>
    <row r="2229" spans="1:3" x14ac:dyDescent="0.25">
      <c r="A2229" s="20" t="s">
        <v>2963</v>
      </c>
      <c r="B2229" s="20" t="s">
        <v>2191</v>
      </c>
      <c r="C2229" s="20">
        <v>6188</v>
      </c>
    </row>
    <row r="2230" spans="1:3" x14ac:dyDescent="0.25">
      <c r="A2230" s="20" t="s">
        <v>204</v>
      </c>
      <c r="B2230" s="20" t="s">
        <v>2191</v>
      </c>
      <c r="C2230" s="20">
        <v>0</v>
      </c>
    </row>
    <row r="2231" spans="1:3" x14ac:dyDescent="0.25">
      <c r="A2231" s="20" t="s">
        <v>798</v>
      </c>
      <c r="B2231" s="20" t="s">
        <v>2191</v>
      </c>
      <c r="C2231" s="20">
        <v>0</v>
      </c>
    </row>
    <row r="2232" spans="1:3" x14ac:dyDescent="0.25">
      <c r="A2232" s="20" t="s">
        <v>1792</v>
      </c>
      <c r="B2232" s="20" t="s">
        <v>2191</v>
      </c>
      <c r="C2232" s="20">
        <v>0</v>
      </c>
    </row>
    <row r="2233" spans="1:3" x14ac:dyDescent="0.25">
      <c r="A2233" s="20" t="s">
        <v>442</v>
      </c>
      <c r="B2233" s="20" t="s">
        <v>2191</v>
      </c>
      <c r="C2233" s="20">
        <v>16492</v>
      </c>
    </row>
    <row r="2234" spans="1:3" x14ac:dyDescent="0.25">
      <c r="A2234" s="20" t="s">
        <v>1345</v>
      </c>
      <c r="B2234" s="20" t="s">
        <v>2191</v>
      </c>
      <c r="C2234" s="20">
        <v>0</v>
      </c>
    </row>
    <row r="2235" spans="1:3" x14ac:dyDescent="0.25">
      <c r="A2235" s="20" t="s">
        <v>1541</v>
      </c>
      <c r="B2235" s="20" t="s">
        <v>2191</v>
      </c>
      <c r="C2235" s="20">
        <v>0</v>
      </c>
    </row>
    <row r="2236" spans="1:3" x14ac:dyDescent="0.25">
      <c r="A2236" s="20" t="s">
        <v>842</v>
      </c>
      <c r="B2236" s="20" t="s">
        <v>2191</v>
      </c>
      <c r="C2236" s="20">
        <v>0</v>
      </c>
    </row>
    <row r="2237" spans="1:3" x14ac:dyDescent="0.25">
      <c r="A2237" s="20" t="s">
        <v>980</v>
      </c>
      <c r="B2237" s="20" t="s">
        <v>2191</v>
      </c>
      <c r="C2237" s="20">
        <v>134987</v>
      </c>
    </row>
    <row r="2238" spans="1:3" x14ac:dyDescent="0.25">
      <c r="A2238" s="20" t="s">
        <v>1542</v>
      </c>
      <c r="B2238" s="20" t="s">
        <v>2191</v>
      </c>
      <c r="C2238" s="20">
        <v>0</v>
      </c>
    </row>
    <row r="2239" spans="1:3" x14ac:dyDescent="0.25">
      <c r="A2239" s="20" t="s">
        <v>981</v>
      </c>
      <c r="B2239" s="20" t="s">
        <v>2191</v>
      </c>
      <c r="C2239" s="20">
        <v>0</v>
      </c>
    </row>
    <row r="2240" spans="1:3" x14ac:dyDescent="0.25">
      <c r="A2240" s="20" t="s">
        <v>2964</v>
      </c>
      <c r="B2240" s="20" t="s">
        <v>2191</v>
      </c>
      <c r="C2240" s="20">
        <v>0</v>
      </c>
    </row>
    <row r="2241" spans="1:3" x14ac:dyDescent="0.25">
      <c r="A2241" s="20" t="s">
        <v>575</v>
      </c>
      <c r="B2241" s="20" t="s">
        <v>2191</v>
      </c>
      <c r="C2241" s="20">
        <v>0</v>
      </c>
    </row>
    <row r="2242" spans="1:3" x14ac:dyDescent="0.25">
      <c r="A2242" s="20" t="s">
        <v>1249</v>
      </c>
      <c r="B2242" s="20" t="s">
        <v>2191</v>
      </c>
      <c r="C2242" s="20">
        <v>0</v>
      </c>
    </row>
    <row r="2243" spans="1:3" x14ac:dyDescent="0.25">
      <c r="A2243" s="20" t="s">
        <v>577</v>
      </c>
      <c r="B2243" s="20" t="s">
        <v>2191</v>
      </c>
      <c r="C2243" s="20">
        <v>0</v>
      </c>
    </row>
    <row r="2244" spans="1:3" x14ac:dyDescent="0.25">
      <c r="A2244" s="20" t="s">
        <v>1250</v>
      </c>
      <c r="B2244" s="20" t="s">
        <v>2191</v>
      </c>
      <c r="C2244" s="20">
        <v>0</v>
      </c>
    </row>
    <row r="2245" spans="1:3" x14ac:dyDescent="0.25">
      <c r="A2245" s="20" t="s">
        <v>1428</v>
      </c>
      <c r="B2245" s="20" t="s">
        <v>2191</v>
      </c>
      <c r="C2245" s="20">
        <v>0</v>
      </c>
    </row>
    <row r="2246" spans="1:3" x14ac:dyDescent="0.25">
      <c r="A2246" s="20" t="s">
        <v>357</v>
      </c>
      <c r="B2246" s="20" t="s">
        <v>2191</v>
      </c>
      <c r="C2246" s="20">
        <v>0</v>
      </c>
    </row>
    <row r="2247" spans="1:3" x14ac:dyDescent="0.25">
      <c r="A2247" s="20" t="s">
        <v>799</v>
      </c>
      <c r="B2247" s="20" t="s">
        <v>2191</v>
      </c>
      <c r="C2247" s="20">
        <v>0</v>
      </c>
    </row>
    <row r="2248" spans="1:3" x14ac:dyDescent="0.25">
      <c r="A2248" s="20" t="s">
        <v>384</v>
      </c>
      <c r="B2248" s="20" t="s">
        <v>2191</v>
      </c>
      <c r="C2248" s="20">
        <v>0</v>
      </c>
    </row>
    <row r="2249" spans="1:3" x14ac:dyDescent="0.25">
      <c r="A2249" s="20" t="s">
        <v>983</v>
      </c>
      <c r="B2249" s="20" t="s">
        <v>2191</v>
      </c>
      <c r="C2249" s="20">
        <v>0</v>
      </c>
    </row>
    <row r="2250" spans="1:3" x14ac:dyDescent="0.25">
      <c r="A2250" s="20" t="s">
        <v>801</v>
      </c>
      <c r="B2250" s="20" t="s">
        <v>2191</v>
      </c>
      <c r="C2250" s="20">
        <v>0</v>
      </c>
    </row>
    <row r="2251" spans="1:3" x14ac:dyDescent="0.25">
      <c r="A2251" s="20" t="s">
        <v>582</v>
      </c>
      <c r="B2251" s="20" t="s">
        <v>2191</v>
      </c>
      <c r="C2251" s="20">
        <v>15024</v>
      </c>
    </row>
    <row r="2252" spans="1:3" x14ac:dyDescent="0.25">
      <c r="A2252" s="20" t="s">
        <v>1793</v>
      </c>
      <c r="B2252" s="20" t="s">
        <v>2191</v>
      </c>
      <c r="C2252" s="20">
        <v>-1412.13</v>
      </c>
    </row>
    <row r="2253" spans="1:3" x14ac:dyDescent="0.25">
      <c r="A2253" s="20" t="s">
        <v>100</v>
      </c>
      <c r="B2253" s="20" t="s">
        <v>2191</v>
      </c>
      <c r="C2253" s="20">
        <v>7954.9</v>
      </c>
    </row>
    <row r="2254" spans="1:3" x14ac:dyDescent="0.25">
      <c r="A2254" s="20" t="s">
        <v>385</v>
      </c>
      <c r="B2254" s="20" t="s">
        <v>2191</v>
      </c>
      <c r="C2254" s="20">
        <v>4775</v>
      </c>
    </row>
    <row r="2255" spans="1:3" x14ac:dyDescent="0.25">
      <c r="A2255" s="20" t="s">
        <v>211</v>
      </c>
      <c r="B2255" s="20" t="s">
        <v>2191</v>
      </c>
      <c r="C2255" s="20">
        <v>0</v>
      </c>
    </row>
    <row r="2256" spans="1:3" x14ac:dyDescent="0.25">
      <c r="A2256" s="20" t="s">
        <v>671</v>
      </c>
      <c r="B2256" s="20" t="s">
        <v>2191</v>
      </c>
      <c r="C2256" s="20">
        <v>4854</v>
      </c>
    </row>
    <row r="2257" spans="1:3" x14ac:dyDescent="0.25">
      <c r="A2257" s="20" t="s">
        <v>1062</v>
      </c>
      <c r="B2257" s="20" t="s">
        <v>2191</v>
      </c>
      <c r="C2257" s="20">
        <v>0</v>
      </c>
    </row>
    <row r="2258" spans="1:3" x14ac:dyDescent="0.25">
      <c r="A2258" s="20" t="s">
        <v>672</v>
      </c>
      <c r="B2258" s="20" t="s">
        <v>2191</v>
      </c>
      <c r="C2258" s="20">
        <v>0</v>
      </c>
    </row>
    <row r="2259" spans="1:3" x14ac:dyDescent="0.25">
      <c r="A2259" s="20" t="s">
        <v>1064</v>
      </c>
      <c r="B2259" s="20" t="s">
        <v>2191</v>
      </c>
      <c r="C2259" s="20">
        <v>0</v>
      </c>
    </row>
    <row r="2260" spans="1:3" x14ac:dyDescent="0.25">
      <c r="A2260" s="20" t="s">
        <v>1814</v>
      </c>
      <c r="B2260" s="20" t="s">
        <v>2191</v>
      </c>
      <c r="C2260" s="20">
        <v>5074</v>
      </c>
    </row>
    <row r="2261" spans="1:3" x14ac:dyDescent="0.25">
      <c r="A2261" s="20" t="s">
        <v>1809</v>
      </c>
      <c r="B2261" s="20" t="s">
        <v>2191</v>
      </c>
      <c r="C2261" s="20">
        <v>0</v>
      </c>
    </row>
    <row r="2262" spans="1:3" x14ac:dyDescent="0.25">
      <c r="A2262" s="20" t="s">
        <v>1811</v>
      </c>
      <c r="B2262" s="20" t="s">
        <v>2191</v>
      </c>
      <c r="C2262" s="20">
        <v>0</v>
      </c>
    </row>
    <row r="2263" spans="1:3" x14ac:dyDescent="0.25">
      <c r="A2263" s="20" t="s">
        <v>1813</v>
      </c>
      <c r="B2263" s="20" t="s">
        <v>2191</v>
      </c>
      <c r="C2263" s="20">
        <v>0</v>
      </c>
    </row>
    <row r="2264" spans="1:3" x14ac:dyDescent="0.25">
      <c r="A2264" s="20" t="s">
        <v>1993</v>
      </c>
      <c r="B2264" s="20" t="s">
        <v>2191</v>
      </c>
      <c r="C2264" s="20">
        <v>0</v>
      </c>
    </row>
    <row r="2265" spans="1:3" x14ac:dyDescent="0.25">
      <c r="A2265" s="20" t="s">
        <v>3110</v>
      </c>
      <c r="B2265" s="20" t="s">
        <v>2191</v>
      </c>
      <c r="C2265" s="20">
        <v>0</v>
      </c>
    </row>
    <row r="2266" spans="1:3" x14ac:dyDescent="0.25">
      <c r="A2266" s="20" t="s">
        <v>2097</v>
      </c>
      <c r="B2266" s="20" t="s">
        <v>2191</v>
      </c>
      <c r="C2266" s="20">
        <v>11159.96</v>
      </c>
    </row>
    <row r="2267" spans="1:3" x14ac:dyDescent="0.25">
      <c r="A2267" s="20" t="s">
        <v>2024</v>
      </c>
      <c r="B2267" s="20" t="s">
        <v>2191</v>
      </c>
      <c r="C2267" s="20">
        <v>0</v>
      </c>
    </row>
    <row r="2268" spans="1:3" x14ac:dyDescent="0.25">
      <c r="A2268" s="20" t="s">
        <v>2988</v>
      </c>
      <c r="B2268" s="20" t="s">
        <v>2191</v>
      </c>
      <c r="C2268" s="20">
        <v>0</v>
      </c>
    </row>
    <row r="2269" spans="1:3" x14ac:dyDescent="0.25">
      <c r="A2269" s="20" t="s">
        <v>2989</v>
      </c>
      <c r="B2269" s="20" t="s">
        <v>2191</v>
      </c>
      <c r="C2269" s="20">
        <v>2363</v>
      </c>
    </row>
    <row r="2270" spans="1:3" x14ac:dyDescent="0.25">
      <c r="A2270" s="20" t="s">
        <v>2991</v>
      </c>
      <c r="B2270" s="20" t="s">
        <v>2191</v>
      </c>
      <c r="C2270" s="20">
        <v>0</v>
      </c>
    </row>
    <row r="2271" spans="1:3" x14ac:dyDescent="0.25">
      <c r="A2271" s="20" t="s">
        <v>3002</v>
      </c>
      <c r="B2271" s="20" t="s">
        <v>2191</v>
      </c>
      <c r="C2271" s="20">
        <v>0</v>
      </c>
    </row>
    <row r="2272" spans="1:3" x14ac:dyDescent="0.25">
      <c r="A2272" s="20" t="s">
        <v>2998</v>
      </c>
      <c r="B2272" s="20" t="s">
        <v>2191</v>
      </c>
      <c r="C2272" s="20">
        <v>0</v>
      </c>
    </row>
    <row r="2273" spans="1:3" x14ac:dyDescent="0.25">
      <c r="A2273" s="20" t="s">
        <v>3009</v>
      </c>
      <c r="B2273" s="20" t="s">
        <v>2191</v>
      </c>
      <c r="C2273" s="20">
        <v>0</v>
      </c>
    </row>
    <row r="2274" spans="1:3" x14ac:dyDescent="0.25">
      <c r="A2274" s="20" t="s">
        <v>3015</v>
      </c>
      <c r="B2274" s="20" t="s">
        <v>2191</v>
      </c>
      <c r="C2274" s="20">
        <v>0</v>
      </c>
    </row>
    <row r="2275" spans="1:3" x14ac:dyDescent="0.25">
      <c r="A2275" s="20" t="s">
        <v>3016</v>
      </c>
      <c r="B2275" s="20" t="s">
        <v>2191</v>
      </c>
      <c r="C2275" s="20">
        <v>0</v>
      </c>
    </row>
    <row r="2276" spans="1:3" x14ac:dyDescent="0.25">
      <c r="A2276" s="20" t="s">
        <v>3000</v>
      </c>
      <c r="B2276" s="20" t="s">
        <v>2191</v>
      </c>
      <c r="C2276" s="20">
        <v>0</v>
      </c>
    </row>
    <row r="2277" spans="1:3" x14ac:dyDescent="0.25">
      <c r="A2277" s="20" t="s">
        <v>3008</v>
      </c>
      <c r="B2277" s="20" t="s">
        <v>2191</v>
      </c>
      <c r="C2277" s="20">
        <v>0</v>
      </c>
    </row>
    <row r="2278" spans="1:3" x14ac:dyDescent="0.25">
      <c r="A2278" s="20" t="s">
        <v>3010</v>
      </c>
      <c r="B2278" s="20" t="s">
        <v>2191</v>
      </c>
      <c r="C2278" s="20">
        <v>0</v>
      </c>
    </row>
    <row r="2279" spans="1:3" x14ac:dyDescent="0.25">
      <c r="A2279" s="20" t="s">
        <v>3013</v>
      </c>
      <c r="B2279" s="20" t="s">
        <v>2191</v>
      </c>
      <c r="C2279" s="20">
        <v>0</v>
      </c>
    </row>
    <row r="2280" spans="1:3" x14ac:dyDescent="0.25">
      <c r="A2280" s="20" t="s">
        <v>3001</v>
      </c>
      <c r="B2280" s="20" t="s">
        <v>2191</v>
      </c>
      <c r="C2280" s="20">
        <v>0</v>
      </c>
    </row>
    <row r="2281" spans="1:3" x14ac:dyDescent="0.25">
      <c r="A2281" s="20" t="s">
        <v>3005</v>
      </c>
      <c r="B2281" s="20" t="s">
        <v>2191</v>
      </c>
      <c r="C2281" s="20">
        <v>5789</v>
      </c>
    </row>
    <row r="2282" spans="1:3" x14ac:dyDescent="0.25">
      <c r="A2282" s="20" t="s">
        <v>3014</v>
      </c>
      <c r="B2282" s="20" t="s">
        <v>2191</v>
      </c>
      <c r="C2282" s="20">
        <v>0</v>
      </c>
    </row>
    <row r="2283" spans="1:3" x14ac:dyDescent="0.25">
      <c r="A2283" s="20" t="s">
        <v>3020</v>
      </c>
      <c r="B2283" s="20" t="s">
        <v>2191</v>
      </c>
      <c r="C2283" s="20">
        <v>0</v>
      </c>
    </row>
    <row r="2284" spans="1:3" x14ac:dyDescent="0.25">
      <c r="A2284" s="20" t="s">
        <v>3017</v>
      </c>
      <c r="B2284" s="20" t="s">
        <v>2191</v>
      </c>
      <c r="C2284" s="20">
        <v>17093</v>
      </c>
    </row>
    <row r="2285" spans="1:3" x14ac:dyDescent="0.25">
      <c r="A2285" s="20" t="s">
        <v>3018</v>
      </c>
      <c r="B2285" s="20" t="s">
        <v>2191</v>
      </c>
      <c r="C2285" s="20">
        <v>0</v>
      </c>
    </row>
    <row r="2286" spans="1:3" x14ac:dyDescent="0.25">
      <c r="A2286" s="20" t="s">
        <v>3046</v>
      </c>
      <c r="B2286" s="20" t="s">
        <v>2191</v>
      </c>
      <c r="C2286" s="20">
        <v>0</v>
      </c>
    </row>
    <row r="2287" spans="1:3" x14ac:dyDescent="0.25">
      <c r="A2287" s="20" t="s">
        <v>3034</v>
      </c>
      <c r="B2287" s="20" t="s">
        <v>2191</v>
      </c>
      <c r="C2287" s="20">
        <v>0</v>
      </c>
    </row>
    <row r="2288" spans="1:3" x14ac:dyDescent="0.25">
      <c r="A2288" s="20" t="s">
        <v>3040</v>
      </c>
      <c r="B2288" s="20" t="s">
        <v>2191</v>
      </c>
      <c r="C2288" s="20">
        <v>0</v>
      </c>
    </row>
    <row r="2289" spans="1:3" x14ac:dyDescent="0.25">
      <c r="A2289" s="20" t="s">
        <v>3032</v>
      </c>
      <c r="B2289" s="20" t="s">
        <v>2191</v>
      </c>
      <c r="C2289" s="20">
        <v>0</v>
      </c>
    </row>
    <row r="2290" spans="1:3" x14ac:dyDescent="0.25">
      <c r="A2290" s="20" t="s">
        <v>3026</v>
      </c>
      <c r="B2290" s="20" t="s">
        <v>2191</v>
      </c>
      <c r="C2290" s="20">
        <v>0</v>
      </c>
    </row>
    <row r="2291" spans="1:3" x14ac:dyDescent="0.25">
      <c r="A2291" s="20" t="s">
        <v>3033</v>
      </c>
      <c r="B2291" s="20" t="s">
        <v>2191</v>
      </c>
      <c r="C2291" s="20">
        <v>102573.58</v>
      </c>
    </row>
    <row r="2292" spans="1:3" x14ac:dyDescent="0.25">
      <c r="A2292" s="20" t="s">
        <v>3023</v>
      </c>
      <c r="B2292" s="20" t="s">
        <v>2191</v>
      </c>
      <c r="C2292" s="20">
        <v>30080</v>
      </c>
    </row>
    <row r="2293" spans="1:3" x14ac:dyDescent="0.25">
      <c r="A2293" s="20" t="s">
        <v>3037</v>
      </c>
      <c r="B2293" s="20" t="s">
        <v>2191</v>
      </c>
      <c r="C2293" s="20">
        <v>11790</v>
      </c>
    </row>
    <row r="2294" spans="1:3" x14ac:dyDescent="0.25">
      <c r="A2294" s="20" t="s">
        <v>3041</v>
      </c>
      <c r="B2294" s="20" t="s">
        <v>2191</v>
      </c>
      <c r="C2294" s="20">
        <v>0</v>
      </c>
    </row>
    <row r="2295" spans="1:3" x14ac:dyDescent="0.25">
      <c r="A2295" s="20" t="s">
        <v>3035</v>
      </c>
      <c r="B2295" s="20" t="s">
        <v>2191</v>
      </c>
      <c r="C2295" s="20">
        <v>0</v>
      </c>
    </row>
    <row r="2296" spans="1:3" x14ac:dyDescent="0.25">
      <c r="A2296" s="20" t="s">
        <v>3043</v>
      </c>
      <c r="B2296" s="20" t="s">
        <v>2191</v>
      </c>
      <c r="C2296" s="20">
        <v>0</v>
      </c>
    </row>
    <row r="2297" spans="1:3" x14ac:dyDescent="0.25">
      <c r="A2297" s="20" t="s">
        <v>3025</v>
      </c>
      <c r="B2297" s="20" t="s">
        <v>2191</v>
      </c>
      <c r="C2297" s="20">
        <v>0</v>
      </c>
    </row>
    <row r="2298" spans="1:3" x14ac:dyDescent="0.25">
      <c r="A2298" s="20" t="s">
        <v>3068</v>
      </c>
      <c r="B2298" s="20" t="s">
        <v>2191</v>
      </c>
      <c r="C2298" s="20">
        <v>0</v>
      </c>
    </row>
    <row r="2299" spans="1:3" x14ac:dyDescent="0.25">
      <c r="A2299" s="20" t="s">
        <v>3044</v>
      </c>
      <c r="B2299" s="20" t="s">
        <v>2191</v>
      </c>
      <c r="C2299" s="20">
        <v>0</v>
      </c>
    </row>
    <row r="2300" spans="1:3" x14ac:dyDescent="0.25">
      <c r="A2300" s="20" t="s">
        <v>3027</v>
      </c>
      <c r="B2300" s="20" t="s">
        <v>2191</v>
      </c>
      <c r="C2300" s="20">
        <v>0</v>
      </c>
    </row>
    <row r="2301" spans="1:3" x14ac:dyDescent="0.25">
      <c r="A2301" s="20" t="s">
        <v>3054</v>
      </c>
      <c r="B2301" s="20" t="s">
        <v>2191</v>
      </c>
      <c r="C2301" s="20">
        <v>51829.26</v>
      </c>
    </row>
    <row r="2302" spans="1:3" x14ac:dyDescent="0.25">
      <c r="A2302" s="20" t="s">
        <v>3056</v>
      </c>
      <c r="B2302" s="20" t="s">
        <v>2191</v>
      </c>
      <c r="C2302" s="20">
        <v>38455.699999999997</v>
      </c>
    </row>
    <row r="2303" spans="1:3" x14ac:dyDescent="0.25">
      <c r="A2303" s="20" t="s">
        <v>3047</v>
      </c>
      <c r="B2303" s="20" t="s">
        <v>2191</v>
      </c>
      <c r="C2303" s="20">
        <v>0</v>
      </c>
    </row>
    <row r="2304" spans="1:3" x14ac:dyDescent="0.25">
      <c r="A2304" s="20" t="s">
        <v>3051</v>
      </c>
      <c r="B2304" s="20" t="s">
        <v>2191</v>
      </c>
      <c r="C2304" s="20">
        <v>0</v>
      </c>
    </row>
    <row r="2305" spans="1:3" x14ac:dyDescent="0.25">
      <c r="A2305" s="20" t="s">
        <v>3052</v>
      </c>
      <c r="B2305" s="20" t="s">
        <v>2191</v>
      </c>
      <c r="C2305" s="20">
        <v>0</v>
      </c>
    </row>
    <row r="2306" spans="1:3" x14ac:dyDescent="0.25">
      <c r="A2306" s="20" t="s">
        <v>3064</v>
      </c>
      <c r="B2306" s="20" t="s">
        <v>2191</v>
      </c>
      <c r="C2306" s="20">
        <v>0</v>
      </c>
    </row>
    <row r="2307" spans="1:3" x14ac:dyDescent="0.25">
      <c r="A2307" s="20" t="s">
        <v>3058</v>
      </c>
      <c r="B2307" s="20" t="s">
        <v>2191</v>
      </c>
      <c r="C2307" s="20">
        <v>0</v>
      </c>
    </row>
    <row r="2308" spans="1:3" x14ac:dyDescent="0.25">
      <c r="A2308" s="20" t="s">
        <v>3059</v>
      </c>
      <c r="B2308" s="20" t="s">
        <v>2191</v>
      </c>
      <c r="C2308" s="20">
        <v>0</v>
      </c>
    </row>
    <row r="2309" spans="1:3" x14ac:dyDescent="0.25">
      <c r="A2309" s="20" t="s">
        <v>3060</v>
      </c>
      <c r="B2309" s="20" t="s">
        <v>2191</v>
      </c>
      <c r="C2309" s="20">
        <v>0</v>
      </c>
    </row>
    <row r="2310" spans="1:3" x14ac:dyDescent="0.25">
      <c r="A2310" s="20" t="s">
        <v>3062</v>
      </c>
      <c r="B2310" s="20" t="s">
        <v>2191</v>
      </c>
      <c r="C2310" s="20">
        <v>24830</v>
      </c>
    </row>
    <row r="2311" spans="1:3" x14ac:dyDescent="0.25">
      <c r="A2311" s="20" t="s">
        <v>3061</v>
      </c>
      <c r="B2311" s="20" t="s">
        <v>2191</v>
      </c>
      <c r="C2311" s="20">
        <v>6186</v>
      </c>
    </row>
    <row r="2312" spans="1:3" x14ac:dyDescent="0.25">
      <c r="A2312" s="20" t="s">
        <v>3070</v>
      </c>
      <c r="B2312" s="20" t="s">
        <v>2191</v>
      </c>
      <c r="C2312" s="20">
        <v>0</v>
      </c>
    </row>
    <row r="2313" spans="1:3" x14ac:dyDescent="0.25">
      <c r="A2313" s="20" t="s">
        <v>3063</v>
      </c>
      <c r="B2313" s="20" t="s">
        <v>2191</v>
      </c>
      <c r="C2313" s="20">
        <v>0</v>
      </c>
    </row>
    <row r="2314" spans="1:3" x14ac:dyDescent="0.25">
      <c r="A2314" s="20" t="s">
        <v>3066</v>
      </c>
      <c r="B2314" s="20" t="s">
        <v>2191</v>
      </c>
      <c r="C2314" s="20">
        <v>0</v>
      </c>
    </row>
    <row r="2315" spans="1:3" x14ac:dyDescent="0.25">
      <c r="A2315" s="20" t="s">
        <v>3069</v>
      </c>
      <c r="B2315" s="20" t="s">
        <v>2191</v>
      </c>
      <c r="C2315" s="20">
        <v>0</v>
      </c>
    </row>
    <row r="2316" spans="1:3" x14ac:dyDescent="0.25">
      <c r="A2316" s="20" t="s">
        <v>3082</v>
      </c>
      <c r="B2316" s="20" t="s">
        <v>2191</v>
      </c>
      <c r="C2316" s="20">
        <v>0</v>
      </c>
    </row>
    <row r="2317" spans="1:3" x14ac:dyDescent="0.25">
      <c r="A2317" s="20" t="s">
        <v>3080</v>
      </c>
      <c r="B2317" s="20" t="s">
        <v>2191</v>
      </c>
      <c r="C2317" s="20">
        <v>0</v>
      </c>
    </row>
    <row r="2318" spans="1:3" x14ac:dyDescent="0.25">
      <c r="A2318" s="20" t="s">
        <v>3084</v>
      </c>
      <c r="B2318" s="20" t="s">
        <v>2191</v>
      </c>
      <c r="C2318" s="20">
        <v>0</v>
      </c>
    </row>
    <row r="2319" spans="1:3" x14ac:dyDescent="0.25">
      <c r="A2319" s="20" t="s">
        <v>3091</v>
      </c>
      <c r="B2319" s="20" t="s">
        <v>2191</v>
      </c>
      <c r="C2319" s="20">
        <v>7953</v>
      </c>
    </row>
    <row r="2320" spans="1:3" x14ac:dyDescent="0.25">
      <c r="A2320" s="20" t="s">
        <v>3076</v>
      </c>
      <c r="B2320" s="20" t="s">
        <v>2191</v>
      </c>
      <c r="C2320" s="20">
        <v>0</v>
      </c>
    </row>
    <row r="2321" spans="1:3" x14ac:dyDescent="0.25">
      <c r="A2321" s="20" t="s">
        <v>3111</v>
      </c>
      <c r="B2321" s="20" t="s">
        <v>2191</v>
      </c>
      <c r="C2321" s="20">
        <v>17502</v>
      </c>
    </row>
    <row r="2322" spans="1:3" x14ac:dyDescent="0.25">
      <c r="A2322" s="20" t="s">
        <v>3124</v>
      </c>
      <c r="B2322" s="20" t="s">
        <v>2191</v>
      </c>
      <c r="C2322" s="20">
        <v>0</v>
      </c>
    </row>
    <row r="2323" spans="1:3" x14ac:dyDescent="0.25">
      <c r="A2323" s="20" t="s">
        <v>3085</v>
      </c>
      <c r="B2323" s="20" t="s">
        <v>2191</v>
      </c>
      <c r="C2323" s="20">
        <v>0</v>
      </c>
    </row>
    <row r="2324" spans="1:3" x14ac:dyDescent="0.25">
      <c r="A2324" s="20" t="s">
        <v>3092</v>
      </c>
      <c r="B2324" s="20" t="s">
        <v>2191</v>
      </c>
      <c r="C2324" s="20">
        <v>0</v>
      </c>
    </row>
    <row r="2325" spans="1:3" x14ac:dyDescent="0.25">
      <c r="A2325" s="20" t="s">
        <v>3079</v>
      </c>
      <c r="B2325" s="20" t="s">
        <v>2191</v>
      </c>
      <c r="C2325" s="20">
        <v>0</v>
      </c>
    </row>
    <row r="2326" spans="1:3" x14ac:dyDescent="0.25">
      <c r="A2326" s="20" t="s">
        <v>3087</v>
      </c>
      <c r="B2326" s="20" t="s">
        <v>2191</v>
      </c>
      <c r="C2326" s="20">
        <v>0</v>
      </c>
    </row>
    <row r="2327" spans="1:3" x14ac:dyDescent="0.25">
      <c r="A2327" s="20" t="s">
        <v>3112</v>
      </c>
      <c r="B2327" s="20" t="s">
        <v>2191</v>
      </c>
      <c r="C2327" s="20">
        <v>0</v>
      </c>
    </row>
    <row r="2328" spans="1:3" x14ac:dyDescent="0.25">
      <c r="A2328" s="20" t="s">
        <v>3078</v>
      </c>
      <c r="B2328" s="20" t="s">
        <v>2191</v>
      </c>
      <c r="C2328" s="20">
        <v>36882</v>
      </c>
    </row>
    <row r="2329" spans="1:3" x14ac:dyDescent="0.25">
      <c r="A2329" s="20" t="s">
        <v>3107</v>
      </c>
      <c r="B2329" s="20" t="s">
        <v>2191</v>
      </c>
      <c r="C2329" s="20">
        <v>0</v>
      </c>
    </row>
    <row r="2330" spans="1:3" x14ac:dyDescent="0.25">
      <c r="A2330" s="20" t="s">
        <v>3109</v>
      </c>
      <c r="B2330" s="20" t="s">
        <v>2191</v>
      </c>
      <c r="C2330" s="20">
        <v>0</v>
      </c>
    </row>
    <row r="2331" spans="1:3" x14ac:dyDescent="0.25">
      <c r="A2331" s="20" t="s">
        <v>3106</v>
      </c>
      <c r="B2331" s="20" t="s">
        <v>2191</v>
      </c>
      <c r="C2331" s="20">
        <v>53244.37</v>
      </c>
    </row>
    <row r="2332" spans="1:3" x14ac:dyDescent="0.25">
      <c r="A2332" s="20" t="s">
        <v>3073</v>
      </c>
      <c r="B2332" s="20" t="s">
        <v>2191</v>
      </c>
      <c r="C2332" s="20">
        <v>0</v>
      </c>
    </row>
    <row r="2333" spans="1:3" x14ac:dyDescent="0.25">
      <c r="A2333" s="20" t="s">
        <v>3120</v>
      </c>
      <c r="B2333" s="20" t="s">
        <v>2191</v>
      </c>
      <c r="C2333" s="20">
        <v>0</v>
      </c>
    </row>
    <row r="2334" spans="1:3" x14ac:dyDescent="0.25">
      <c r="A2334" s="20" t="s">
        <v>3116</v>
      </c>
      <c r="B2334" s="20" t="s">
        <v>2191</v>
      </c>
      <c r="C2334" s="20">
        <v>77579</v>
      </c>
    </row>
    <row r="2335" spans="1:3" x14ac:dyDescent="0.25">
      <c r="A2335" s="20" t="s">
        <v>3117</v>
      </c>
      <c r="B2335" s="20" t="s">
        <v>2191</v>
      </c>
      <c r="C2335" s="20">
        <v>0</v>
      </c>
    </row>
    <row r="2336" spans="1:3" x14ac:dyDescent="0.25">
      <c r="A2336" s="20" t="s">
        <v>3114</v>
      </c>
      <c r="B2336" s="20" t="s">
        <v>2191</v>
      </c>
      <c r="C2336" s="20">
        <v>0</v>
      </c>
    </row>
    <row r="2337" spans="1:3" x14ac:dyDescent="0.25">
      <c r="A2337" s="20" t="s">
        <v>3122</v>
      </c>
      <c r="B2337" s="20" t="s">
        <v>2191</v>
      </c>
      <c r="C2337" s="20">
        <v>0</v>
      </c>
    </row>
    <row r="2338" spans="1:3" x14ac:dyDescent="0.25">
      <c r="A2338" s="20" t="s">
        <v>3113</v>
      </c>
      <c r="B2338" s="20" t="s">
        <v>2191</v>
      </c>
      <c r="C2338" s="20">
        <v>6768</v>
      </c>
    </row>
    <row r="2339" spans="1:3" x14ac:dyDescent="0.25">
      <c r="A2339" s="20" t="s">
        <v>3119</v>
      </c>
      <c r="B2339" s="20" t="s">
        <v>2191</v>
      </c>
      <c r="C2339" s="20">
        <v>0</v>
      </c>
    </row>
    <row r="2340" spans="1:3" x14ac:dyDescent="0.25">
      <c r="A2340" s="20" t="s">
        <v>3132</v>
      </c>
      <c r="B2340" s="20" t="s">
        <v>2191</v>
      </c>
      <c r="C2340" s="20">
        <v>0</v>
      </c>
    </row>
    <row r="2341" spans="1:3" x14ac:dyDescent="0.25">
      <c r="A2341" s="20" t="s">
        <v>3135</v>
      </c>
      <c r="B2341" s="20" t="s">
        <v>2191</v>
      </c>
      <c r="C2341" s="20">
        <v>0</v>
      </c>
    </row>
    <row r="2342" spans="1:3" x14ac:dyDescent="0.25">
      <c r="A2342" s="20" t="s">
        <v>3127</v>
      </c>
      <c r="B2342" s="20" t="s">
        <v>2191</v>
      </c>
      <c r="C2342" s="20">
        <v>0</v>
      </c>
    </row>
    <row r="2343" spans="1:3" x14ac:dyDescent="0.25">
      <c r="A2343" s="20" t="s">
        <v>3125</v>
      </c>
      <c r="B2343" s="20" t="s">
        <v>2191</v>
      </c>
      <c r="C2343" s="20">
        <v>33807.94</v>
      </c>
    </row>
    <row r="2344" spans="1:3" x14ac:dyDescent="0.25">
      <c r="A2344" s="20" t="s">
        <v>3129</v>
      </c>
      <c r="B2344" s="20" t="s">
        <v>2191</v>
      </c>
      <c r="C2344" s="20">
        <v>0</v>
      </c>
    </row>
    <row r="2345" spans="1:3" x14ac:dyDescent="0.25">
      <c r="A2345" s="20" t="s">
        <v>3136</v>
      </c>
      <c r="B2345" s="20" t="s">
        <v>2191</v>
      </c>
      <c r="C2345" s="20">
        <v>1071.5999999999999</v>
      </c>
    </row>
    <row r="2346" spans="1:3" x14ac:dyDescent="0.25">
      <c r="A2346" s="20" t="s">
        <v>3137</v>
      </c>
      <c r="B2346" s="20" t="s">
        <v>2191</v>
      </c>
      <c r="C2346" s="20">
        <v>0</v>
      </c>
    </row>
    <row r="2347" spans="1:3" x14ac:dyDescent="0.25">
      <c r="A2347" s="20" t="s">
        <v>3143</v>
      </c>
      <c r="B2347" s="20" t="s">
        <v>2191</v>
      </c>
      <c r="C2347" s="20">
        <v>-637.08000000000004</v>
      </c>
    </row>
    <row r="2348" spans="1:3" x14ac:dyDescent="0.25">
      <c r="A2348" s="20" t="s">
        <v>3145</v>
      </c>
      <c r="B2348" s="20" t="s">
        <v>2191</v>
      </c>
      <c r="C2348" s="20">
        <v>0</v>
      </c>
    </row>
    <row r="2349" spans="1:3" x14ac:dyDescent="0.25">
      <c r="A2349" s="20" t="s">
        <v>3146</v>
      </c>
      <c r="B2349" s="20" t="s">
        <v>2191</v>
      </c>
      <c r="C2349" s="20">
        <v>1294</v>
      </c>
    </row>
    <row r="2350" spans="1:3" x14ac:dyDescent="0.25">
      <c r="A2350" s="20" t="s">
        <v>3147</v>
      </c>
      <c r="B2350" s="20" t="s">
        <v>2191</v>
      </c>
      <c r="C2350" s="20">
        <v>0</v>
      </c>
    </row>
    <row r="2351" spans="1:3" x14ac:dyDescent="0.25">
      <c r="A2351" s="20" t="s">
        <v>3138</v>
      </c>
      <c r="B2351" s="20" t="s">
        <v>2191</v>
      </c>
      <c r="C2351" s="20">
        <v>0</v>
      </c>
    </row>
    <row r="2352" spans="1:3" x14ac:dyDescent="0.25">
      <c r="A2352" s="20" t="s">
        <v>3152</v>
      </c>
      <c r="B2352" s="20" t="s">
        <v>2191</v>
      </c>
      <c r="C2352" s="20">
        <v>0</v>
      </c>
    </row>
    <row r="2353" spans="1:3" x14ac:dyDescent="0.25">
      <c r="A2353" s="20" t="s">
        <v>3150</v>
      </c>
      <c r="B2353" s="20" t="s">
        <v>2191</v>
      </c>
      <c r="C2353" s="20">
        <v>0</v>
      </c>
    </row>
    <row r="2354" spans="1:3" x14ac:dyDescent="0.25">
      <c r="A2354" s="20" t="s">
        <v>3151</v>
      </c>
      <c r="B2354" s="20" t="s">
        <v>2191</v>
      </c>
      <c r="C2354" s="20">
        <v>0</v>
      </c>
    </row>
    <row r="2355" spans="1:3" x14ac:dyDescent="0.25">
      <c r="A2355" s="20" t="s">
        <v>3153</v>
      </c>
      <c r="B2355" s="20" t="s">
        <v>2191</v>
      </c>
      <c r="C2355" s="20">
        <v>11699</v>
      </c>
    </row>
    <row r="2356" spans="1:3" x14ac:dyDescent="0.25">
      <c r="A2356" s="20" t="s">
        <v>3166</v>
      </c>
      <c r="B2356" s="20" t="s">
        <v>2191</v>
      </c>
      <c r="C2356" s="20">
        <v>8345.98</v>
      </c>
    </row>
    <row r="2357" spans="1:3" x14ac:dyDescent="0.25">
      <c r="A2357" s="20" t="s">
        <v>3167</v>
      </c>
      <c r="B2357" s="20" t="s">
        <v>2191</v>
      </c>
      <c r="C2357" s="20">
        <v>0</v>
      </c>
    </row>
    <row r="2358" spans="1:3" x14ac:dyDescent="0.25">
      <c r="A2358" s="20" t="s">
        <v>3168</v>
      </c>
      <c r="B2358" s="20" t="s">
        <v>2191</v>
      </c>
      <c r="C2358" s="20">
        <v>6554.17</v>
      </c>
    </row>
    <row r="2359" spans="1:3" x14ac:dyDescent="0.25">
      <c r="A2359" s="20" t="s">
        <v>3181</v>
      </c>
      <c r="B2359" s="20" t="s">
        <v>2191</v>
      </c>
      <c r="C2359" s="20">
        <v>6857</v>
      </c>
    </row>
    <row r="2360" spans="1:3" x14ac:dyDescent="0.25">
      <c r="A2360" s="20" t="s">
        <v>3170</v>
      </c>
      <c r="B2360" s="20" t="s">
        <v>2191</v>
      </c>
      <c r="C2360" s="20">
        <v>0</v>
      </c>
    </row>
    <row r="2361" spans="1:3" x14ac:dyDescent="0.25">
      <c r="A2361" s="20" t="s">
        <v>3176</v>
      </c>
      <c r="B2361" s="20" t="s">
        <v>2191</v>
      </c>
      <c r="C2361" s="20">
        <v>0</v>
      </c>
    </row>
    <row r="2362" spans="1:3" x14ac:dyDescent="0.25">
      <c r="A2362" s="20" t="s">
        <v>3178</v>
      </c>
      <c r="B2362" s="20" t="s">
        <v>2191</v>
      </c>
      <c r="C2362" s="20">
        <v>0</v>
      </c>
    </row>
    <row r="2363" spans="1:3" x14ac:dyDescent="0.25">
      <c r="A2363" s="20" t="s">
        <v>3164</v>
      </c>
      <c r="B2363" s="20" t="s">
        <v>2191</v>
      </c>
      <c r="C2363" s="20">
        <v>-22979.74</v>
      </c>
    </row>
    <row r="2364" spans="1:3" x14ac:dyDescent="0.25">
      <c r="A2364" s="20" t="s">
        <v>3186</v>
      </c>
      <c r="B2364" s="20" t="s">
        <v>2191</v>
      </c>
      <c r="C2364" s="20">
        <v>0</v>
      </c>
    </row>
    <row r="2365" spans="1:3" x14ac:dyDescent="0.25">
      <c r="A2365" s="20" t="s">
        <v>3180</v>
      </c>
      <c r="B2365" s="20" t="s">
        <v>2191</v>
      </c>
      <c r="C2365" s="20">
        <v>5673</v>
      </c>
    </row>
    <row r="2366" spans="1:3" x14ac:dyDescent="0.25">
      <c r="A2366" s="20" t="s">
        <v>3171</v>
      </c>
      <c r="B2366" s="20" t="s">
        <v>2191</v>
      </c>
      <c r="C2366" s="20">
        <v>50858</v>
      </c>
    </row>
    <row r="2367" spans="1:3" x14ac:dyDescent="0.25">
      <c r="A2367" s="20" t="s">
        <v>3173</v>
      </c>
      <c r="B2367" s="20" t="s">
        <v>2191</v>
      </c>
      <c r="C2367" s="20">
        <v>0</v>
      </c>
    </row>
    <row r="2368" spans="1:3" x14ac:dyDescent="0.25">
      <c r="A2368" s="20" t="s">
        <v>3174</v>
      </c>
      <c r="B2368" s="20" t="s">
        <v>2191</v>
      </c>
      <c r="C2368" s="20">
        <v>15260</v>
      </c>
    </row>
    <row r="2369" spans="1:3" x14ac:dyDescent="0.25">
      <c r="A2369" s="20" t="s">
        <v>3187</v>
      </c>
      <c r="B2369" s="20" t="s">
        <v>2191</v>
      </c>
      <c r="C2369" s="20">
        <v>0</v>
      </c>
    </row>
    <row r="2370" spans="1:3" x14ac:dyDescent="0.25">
      <c r="A2370" s="20" t="s">
        <v>3206</v>
      </c>
      <c r="B2370" s="20" t="s">
        <v>2191</v>
      </c>
      <c r="C2370" s="20">
        <v>0</v>
      </c>
    </row>
    <row r="2371" spans="1:3" x14ac:dyDescent="0.25">
      <c r="A2371" s="20" t="s">
        <v>3199</v>
      </c>
      <c r="B2371" s="20" t="s">
        <v>2191</v>
      </c>
      <c r="C2371" s="20">
        <v>550</v>
      </c>
    </row>
    <row r="2372" spans="1:3" x14ac:dyDescent="0.25">
      <c r="A2372" s="20" t="s">
        <v>3190</v>
      </c>
      <c r="B2372" s="20" t="s">
        <v>2191</v>
      </c>
      <c r="C2372" s="20">
        <v>7602.77</v>
      </c>
    </row>
    <row r="2373" spans="1:3" x14ac:dyDescent="0.25">
      <c r="A2373" s="20" t="s">
        <v>3191</v>
      </c>
      <c r="B2373" s="20" t="s">
        <v>2191</v>
      </c>
      <c r="C2373" s="20">
        <v>0</v>
      </c>
    </row>
    <row r="2374" spans="1:3" x14ac:dyDescent="0.25">
      <c r="A2374" s="20" t="s">
        <v>3193</v>
      </c>
      <c r="B2374" s="20" t="s">
        <v>2191</v>
      </c>
      <c r="C2374" s="20">
        <v>7401</v>
      </c>
    </row>
    <row r="2375" spans="1:3" x14ac:dyDescent="0.25">
      <c r="A2375" s="20" t="s">
        <v>3205</v>
      </c>
      <c r="B2375" s="20" t="s">
        <v>2191</v>
      </c>
      <c r="C2375" s="20">
        <v>2952.13</v>
      </c>
    </row>
    <row r="2376" spans="1:3" x14ac:dyDescent="0.25">
      <c r="A2376" s="20" t="s">
        <v>3208</v>
      </c>
      <c r="B2376" s="20" t="s">
        <v>2191</v>
      </c>
      <c r="C2376" s="20">
        <v>0</v>
      </c>
    </row>
    <row r="2377" spans="1:3" x14ac:dyDescent="0.25">
      <c r="A2377" s="20" t="s">
        <v>3195</v>
      </c>
      <c r="B2377" s="20" t="s">
        <v>2191</v>
      </c>
      <c r="C2377" s="20">
        <v>0</v>
      </c>
    </row>
    <row r="2378" spans="1:3" x14ac:dyDescent="0.25">
      <c r="A2378" s="20" t="s">
        <v>3204</v>
      </c>
      <c r="B2378" s="20" t="s">
        <v>2191</v>
      </c>
      <c r="C2378" s="20">
        <v>0</v>
      </c>
    </row>
    <row r="2379" spans="1:3" x14ac:dyDescent="0.25">
      <c r="A2379" s="20" t="s">
        <v>3210</v>
      </c>
      <c r="B2379" s="20" t="s">
        <v>2191</v>
      </c>
      <c r="C2379" s="20">
        <v>0</v>
      </c>
    </row>
    <row r="2380" spans="1:3" x14ac:dyDescent="0.25">
      <c r="A2380" s="20" t="s">
        <v>3214</v>
      </c>
      <c r="B2380" s="20" t="s">
        <v>2191</v>
      </c>
      <c r="C2380" s="20">
        <v>0</v>
      </c>
    </row>
    <row r="2381" spans="1:3" x14ac:dyDescent="0.25">
      <c r="A2381" s="20" t="s">
        <v>3220</v>
      </c>
      <c r="B2381" s="20" t="s">
        <v>2191</v>
      </c>
      <c r="C2381" s="20">
        <v>49322</v>
      </c>
    </row>
    <row r="2382" spans="1:3" x14ac:dyDescent="0.25">
      <c r="A2382" s="20" t="s">
        <v>3217</v>
      </c>
      <c r="B2382" s="20" t="s">
        <v>2191</v>
      </c>
      <c r="C2382" s="20">
        <v>0</v>
      </c>
    </row>
    <row r="2383" spans="1:3" x14ac:dyDescent="0.25">
      <c r="A2383" s="20" t="s">
        <v>3222</v>
      </c>
      <c r="B2383" s="20" t="s">
        <v>2191</v>
      </c>
      <c r="C2383" s="20">
        <v>5348.98</v>
      </c>
    </row>
    <row r="2384" spans="1:3" x14ac:dyDescent="0.25">
      <c r="A2384" s="20" t="s">
        <v>3226</v>
      </c>
      <c r="B2384" s="20" t="s">
        <v>2191</v>
      </c>
      <c r="C2384" s="20">
        <v>0</v>
      </c>
    </row>
    <row r="2385" spans="1:3" x14ac:dyDescent="0.25">
      <c r="A2385" s="20" t="s">
        <v>3237</v>
      </c>
      <c r="B2385" s="20" t="s">
        <v>2191</v>
      </c>
      <c r="C2385" s="20">
        <v>0</v>
      </c>
    </row>
    <row r="2386" spans="1:3" x14ac:dyDescent="0.25">
      <c r="A2386" s="20" t="s">
        <v>3224</v>
      </c>
      <c r="B2386" s="20" t="s">
        <v>2191</v>
      </c>
      <c r="C2386" s="20">
        <v>0</v>
      </c>
    </row>
    <row r="2387" spans="1:3" x14ac:dyDescent="0.25">
      <c r="A2387" s="20" t="s">
        <v>3230</v>
      </c>
      <c r="B2387" s="20" t="s">
        <v>2191</v>
      </c>
      <c r="C2387" s="20">
        <v>6506</v>
      </c>
    </row>
    <row r="2388" spans="1:3" x14ac:dyDescent="0.25">
      <c r="A2388" s="20" t="s">
        <v>3228</v>
      </c>
      <c r="B2388" s="20" t="s">
        <v>2191</v>
      </c>
      <c r="C2388" s="20">
        <v>0</v>
      </c>
    </row>
    <row r="2389" spans="1:3" x14ac:dyDescent="0.25">
      <c r="A2389" s="20" t="s">
        <v>3232</v>
      </c>
      <c r="B2389" s="20" t="s">
        <v>2191</v>
      </c>
      <c r="C2389" s="20">
        <v>0</v>
      </c>
    </row>
    <row r="2390" spans="1:3" x14ac:dyDescent="0.25">
      <c r="A2390" s="20" t="s">
        <v>3241</v>
      </c>
      <c r="B2390" s="20" t="s">
        <v>2191</v>
      </c>
      <c r="C2390" s="20">
        <v>4727</v>
      </c>
    </row>
    <row r="2391" spans="1:3" x14ac:dyDescent="0.25">
      <c r="A2391" s="20" t="s">
        <v>3243</v>
      </c>
      <c r="B2391" s="20" t="s">
        <v>2191</v>
      </c>
      <c r="C2391" s="20">
        <v>0</v>
      </c>
    </row>
    <row r="2392" spans="1:3" x14ac:dyDescent="0.25">
      <c r="A2392" s="20" t="s">
        <v>3235</v>
      </c>
      <c r="B2392" s="20" t="s">
        <v>2191</v>
      </c>
      <c r="C2392" s="20">
        <v>0</v>
      </c>
    </row>
    <row r="2393" spans="1:3" x14ac:dyDescent="0.25">
      <c r="A2393" s="20" t="s">
        <v>3233</v>
      </c>
      <c r="B2393" s="20" t="s">
        <v>2191</v>
      </c>
      <c r="C2393" s="20">
        <v>0</v>
      </c>
    </row>
    <row r="2394" spans="1:3" x14ac:dyDescent="0.25">
      <c r="A2394" s="20" t="s">
        <v>3251</v>
      </c>
      <c r="B2394" s="20" t="s">
        <v>2191</v>
      </c>
      <c r="C2394" s="20">
        <v>1557</v>
      </c>
    </row>
    <row r="2395" spans="1:3" x14ac:dyDescent="0.25">
      <c r="A2395" s="20" t="s">
        <v>3246</v>
      </c>
      <c r="B2395" s="20" t="s">
        <v>2191</v>
      </c>
      <c r="C2395" s="20">
        <v>0</v>
      </c>
    </row>
    <row r="2396" spans="1:3" x14ac:dyDescent="0.25">
      <c r="A2396" s="20" t="s">
        <v>3248</v>
      </c>
      <c r="B2396" s="20" t="s">
        <v>2191</v>
      </c>
      <c r="C2396" s="20">
        <v>1182</v>
      </c>
    </row>
    <row r="2397" spans="1:3" x14ac:dyDescent="0.25">
      <c r="A2397" s="20" t="s">
        <v>3244</v>
      </c>
      <c r="B2397" s="20" t="s">
        <v>2191</v>
      </c>
      <c r="C2397" s="20">
        <v>5622</v>
      </c>
    </row>
    <row r="2398" spans="1:3" x14ac:dyDescent="0.25">
      <c r="A2398" s="20" t="s">
        <v>3256</v>
      </c>
      <c r="B2398" s="20" t="s">
        <v>2191</v>
      </c>
      <c r="C2398" s="20">
        <v>0</v>
      </c>
    </row>
    <row r="2399" spans="1:3" x14ac:dyDescent="0.25">
      <c r="A2399" s="20" t="s">
        <v>3254</v>
      </c>
      <c r="B2399" s="20" t="s">
        <v>2191</v>
      </c>
      <c r="C2399" s="20">
        <v>0</v>
      </c>
    </row>
    <row r="2400" spans="1:3" x14ac:dyDescent="0.25">
      <c r="A2400" s="20" t="s">
        <v>3270</v>
      </c>
      <c r="B2400" s="20" t="s">
        <v>2191</v>
      </c>
      <c r="C2400" s="20">
        <v>0</v>
      </c>
    </row>
    <row r="2401" spans="1:3" x14ac:dyDescent="0.25">
      <c r="A2401" s="20" t="s">
        <v>3252</v>
      </c>
      <c r="B2401" s="20" t="s">
        <v>2191</v>
      </c>
      <c r="C2401" s="20">
        <v>3652.11</v>
      </c>
    </row>
    <row r="2402" spans="1:3" x14ac:dyDescent="0.25">
      <c r="A2402" s="20" t="s">
        <v>3262</v>
      </c>
      <c r="B2402" s="20" t="s">
        <v>2191</v>
      </c>
      <c r="C2402" s="20">
        <v>0</v>
      </c>
    </row>
    <row r="2403" spans="1:3" x14ac:dyDescent="0.25">
      <c r="A2403" s="20" t="s">
        <v>3265</v>
      </c>
      <c r="B2403" s="20" t="s">
        <v>2191</v>
      </c>
      <c r="C2403" s="20">
        <v>0</v>
      </c>
    </row>
    <row r="2404" spans="1:3" x14ac:dyDescent="0.25">
      <c r="A2404" s="20" t="s">
        <v>3276</v>
      </c>
      <c r="B2404" s="20" t="s">
        <v>2191</v>
      </c>
      <c r="C2404" s="20">
        <v>0</v>
      </c>
    </row>
    <row r="2405" spans="1:3" x14ac:dyDescent="0.25">
      <c r="A2405" s="20" t="s">
        <v>3266</v>
      </c>
      <c r="B2405" s="20" t="s">
        <v>2191</v>
      </c>
      <c r="C2405" s="20">
        <v>2551</v>
      </c>
    </row>
    <row r="2406" spans="1:3" x14ac:dyDescent="0.25">
      <c r="A2406" s="20" t="s">
        <v>3267</v>
      </c>
      <c r="B2406" s="20" t="s">
        <v>2191</v>
      </c>
      <c r="C2406" s="20">
        <v>0</v>
      </c>
    </row>
    <row r="2407" spans="1:3" x14ac:dyDescent="0.25">
      <c r="A2407" s="20" t="s">
        <v>3260</v>
      </c>
      <c r="B2407" s="20" t="s">
        <v>2191</v>
      </c>
      <c r="C2407" s="20">
        <v>26285.96</v>
      </c>
    </row>
    <row r="2408" spans="1:3" x14ac:dyDescent="0.25">
      <c r="A2408" s="20" t="s">
        <v>3275</v>
      </c>
      <c r="B2408" s="20" t="s">
        <v>2191</v>
      </c>
      <c r="C2408" s="20">
        <v>0</v>
      </c>
    </row>
    <row r="2409" spans="1:3" x14ac:dyDescent="0.25">
      <c r="A2409" s="20" t="s">
        <v>3261</v>
      </c>
      <c r="B2409" s="20" t="s">
        <v>2191</v>
      </c>
      <c r="C2409" s="20">
        <v>0</v>
      </c>
    </row>
    <row r="2410" spans="1:3" x14ac:dyDescent="0.25">
      <c r="A2410" s="20" t="s">
        <v>3278</v>
      </c>
      <c r="B2410" s="20" t="s">
        <v>2191</v>
      </c>
      <c r="C2410" s="20">
        <v>250</v>
      </c>
    </row>
    <row r="2411" spans="1:3" x14ac:dyDescent="0.25">
      <c r="A2411" s="20" t="s">
        <v>3280</v>
      </c>
      <c r="B2411" s="20" t="s">
        <v>2191</v>
      </c>
      <c r="C2411" s="20">
        <v>3010.13</v>
      </c>
    </row>
    <row r="2412" spans="1:3" x14ac:dyDescent="0.25">
      <c r="A2412" s="20" t="s">
        <v>3285</v>
      </c>
      <c r="B2412" s="20" t="s">
        <v>2191</v>
      </c>
      <c r="C2412" s="20">
        <v>8784</v>
      </c>
    </row>
    <row r="2413" spans="1:3" x14ac:dyDescent="0.25">
      <c r="A2413" s="20" t="s">
        <v>3308</v>
      </c>
      <c r="B2413" s="20" t="s">
        <v>2191</v>
      </c>
      <c r="C2413" s="20">
        <v>0</v>
      </c>
    </row>
    <row r="2414" spans="1:3" x14ac:dyDescent="0.25">
      <c r="A2414" s="20" t="s">
        <v>3301</v>
      </c>
      <c r="B2414" s="20" t="s">
        <v>2191</v>
      </c>
      <c r="C2414" s="20">
        <v>1724.56</v>
      </c>
    </row>
    <row r="2415" spans="1:3" x14ac:dyDescent="0.25">
      <c r="A2415" s="20" t="s">
        <v>3287</v>
      </c>
      <c r="B2415" s="20" t="s">
        <v>2191</v>
      </c>
      <c r="C2415" s="20">
        <v>943</v>
      </c>
    </row>
    <row r="2416" spans="1:3" x14ac:dyDescent="0.25">
      <c r="A2416" s="20" t="s">
        <v>3299</v>
      </c>
      <c r="B2416" s="20" t="s">
        <v>2191</v>
      </c>
      <c r="C2416" s="20">
        <v>4939</v>
      </c>
    </row>
    <row r="2417" spans="1:3" x14ac:dyDescent="0.25">
      <c r="A2417" s="20" t="s">
        <v>3311</v>
      </c>
      <c r="B2417" s="20" t="s">
        <v>2191</v>
      </c>
      <c r="C2417" s="20">
        <v>0</v>
      </c>
    </row>
    <row r="2418" spans="1:3" x14ac:dyDescent="0.25">
      <c r="A2418" s="20" t="s">
        <v>3304</v>
      </c>
      <c r="B2418" s="20" t="s">
        <v>2191</v>
      </c>
      <c r="C2418" s="20">
        <v>0</v>
      </c>
    </row>
    <row r="2419" spans="1:3" x14ac:dyDescent="0.25">
      <c r="A2419" s="20" t="s">
        <v>3309</v>
      </c>
      <c r="B2419" s="20" t="s">
        <v>2191</v>
      </c>
      <c r="C2419" s="20">
        <v>0</v>
      </c>
    </row>
    <row r="2420" spans="1:3" x14ac:dyDescent="0.25">
      <c r="A2420" s="20" t="s">
        <v>3310</v>
      </c>
      <c r="B2420" s="20" t="s">
        <v>2191</v>
      </c>
      <c r="C2420" s="20">
        <v>-8699.75</v>
      </c>
    </row>
    <row r="2421" spans="1:3" x14ac:dyDescent="0.25">
      <c r="A2421" s="20" t="s">
        <v>3288</v>
      </c>
      <c r="B2421" s="20" t="s">
        <v>2191</v>
      </c>
      <c r="C2421" s="20">
        <v>19105</v>
      </c>
    </row>
    <row r="2422" spans="1:3" x14ac:dyDescent="0.25">
      <c r="A2422" s="20" t="s">
        <v>3292</v>
      </c>
      <c r="B2422" s="20" t="s">
        <v>2191</v>
      </c>
      <c r="C2422" s="20">
        <v>13596</v>
      </c>
    </row>
    <row r="2423" spans="1:3" x14ac:dyDescent="0.25">
      <c r="A2423" s="20" t="s">
        <v>3315</v>
      </c>
      <c r="B2423" s="20" t="s">
        <v>2191</v>
      </c>
      <c r="C2423" s="20">
        <v>-10195.16</v>
      </c>
    </row>
    <row r="2424" spans="1:3" x14ac:dyDescent="0.25">
      <c r="A2424" s="20" t="s">
        <v>3302</v>
      </c>
      <c r="B2424" s="20" t="s">
        <v>2191</v>
      </c>
      <c r="C2424" s="20">
        <v>13838</v>
      </c>
    </row>
    <row r="2425" spans="1:3" x14ac:dyDescent="0.25">
      <c r="A2425" s="20" t="s">
        <v>3303</v>
      </c>
      <c r="B2425" s="20" t="s">
        <v>2191</v>
      </c>
      <c r="C2425" s="20">
        <v>250</v>
      </c>
    </row>
    <row r="2426" spans="1:3" x14ac:dyDescent="0.25">
      <c r="A2426" s="20" t="s">
        <v>3289</v>
      </c>
      <c r="B2426" s="20" t="s">
        <v>2191</v>
      </c>
      <c r="C2426" s="20">
        <v>2401</v>
      </c>
    </row>
    <row r="2427" spans="1:3" x14ac:dyDescent="0.25">
      <c r="A2427" s="20" t="s">
        <v>3314</v>
      </c>
      <c r="B2427" s="20" t="s">
        <v>2191</v>
      </c>
      <c r="C2427" s="20">
        <v>1711</v>
      </c>
    </row>
    <row r="2428" spans="1:3" x14ac:dyDescent="0.25">
      <c r="A2428" s="20" t="s">
        <v>3294</v>
      </c>
      <c r="B2428" s="20" t="s">
        <v>2191</v>
      </c>
      <c r="C2428" s="20">
        <v>0</v>
      </c>
    </row>
    <row r="2429" spans="1:3" x14ac:dyDescent="0.25">
      <c r="A2429" s="20" t="s">
        <v>3313</v>
      </c>
      <c r="B2429" s="20" t="s">
        <v>2191</v>
      </c>
      <c r="C2429" s="20">
        <v>250</v>
      </c>
    </row>
    <row r="2430" spans="1:3" x14ac:dyDescent="0.25">
      <c r="A2430" s="20" t="s">
        <v>3336</v>
      </c>
      <c r="B2430" s="20" t="s">
        <v>2191</v>
      </c>
      <c r="C2430" s="20">
        <v>0</v>
      </c>
    </row>
    <row r="2431" spans="1:3" x14ac:dyDescent="0.25">
      <c r="A2431" s="20" t="s">
        <v>3346</v>
      </c>
      <c r="B2431" s="20" t="s">
        <v>2191</v>
      </c>
      <c r="C2431" s="20">
        <v>24096</v>
      </c>
    </row>
    <row r="2432" spans="1:3" x14ac:dyDescent="0.25">
      <c r="A2432" s="20" t="s">
        <v>3332</v>
      </c>
      <c r="B2432" s="20" t="s">
        <v>2191</v>
      </c>
      <c r="C2432" s="20">
        <v>0</v>
      </c>
    </row>
    <row r="2433" spans="1:3" x14ac:dyDescent="0.25">
      <c r="A2433" s="20" t="s">
        <v>3343</v>
      </c>
      <c r="B2433" s="20" t="s">
        <v>2191</v>
      </c>
      <c r="C2433" s="20">
        <v>26540</v>
      </c>
    </row>
    <row r="2434" spans="1:3" x14ac:dyDescent="0.25">
      <c r="A2434" s="20" t="s">
        <v>3341</v>
      </c>
      <c r="B2434" s="20" t="s">
        <v>2191</v>
      </c>
      <c r="C2434" s="20">
        <v>-1919.53</v>
      </c>
    </row>
    <row r="2435" spans="1:3" x14ac:dyDescent="0.25">
      <c r="A2435" s="20" t="s">
        <v>3342</v>
      </c>
      <c r="B2435" s="20" t="s">
        <v>2191</v>
      </c>
      <c r="C2435" s="20">
        <v>102025</v>
      </c>
    </row>
    <row r="2436" spans="1:3" x14ac:dyDescent="0.25">
      <c r="A2436" s="20" t="s">
        <v>3353</v>
      </c>
      <c r="B2436" s="20" t="s">
        <v>2191</v>
      </c>
      <c r="C2436" s="20">
        <v>0</v>
      </c>
    </row>
    <row r="2437" spans="1:3" x14ac:dyDescent="0.25">
      <c r="A2437" s="20" t="s">
        <v>3349</v>
      </c>
      <c r="B2437" s="20" t="s">
        <v>2191</v>
      </c>
      <c r="C2437" s="20">
        <v>14236</v>
      </c>
    </row>
    <row r="2438" spans="1:3" x14ac:dyDescent="0.25">
      <c r="A2438" s="20" t="s">
        <v>3368</v>
      </c>
      <c r="B2438" s="20" t="s">
        <v>2191</v>
      </c>
      <c r="C2438" s="20">
        <v>5911</v>
      </c>
    </row>
    <row r="2439" spans="1:3" x14ac:dyDescent="0.25">
      <c r="A2439" s="20" t="s">
        <v>3367</v>
      </c>
      <c r="B2439" s="20" t="s">
        <v>2191</v>
      </c>
      <c r="C2439" s="20">
        <v>0</v>
      </c>
    </row>
    <row r="2440" spans="1:3" x14ac:dyDescent="0.25">
      <c r="A2440" s="20" t="s">
        <v>3370</v>
      </c>
      <c r="B2440" s="20" t="s">
        <v>2191</v>
      </c>
      <c r="C2440" s="20">
        <v>0</v>
      </c>
    </row>
    <row r="2441" spans="1:3" x14ac:dyDescent="0.25">
      <c r="A2441" s="20" t="s">
        <v>3364</v>
      </c>
      <c r="B2441" s="20" t="s">
        <v>2191</v>
      </c>
      <c r="C2441" s="20">
        <v>2806.46</v>
      </c>
    </row>
    <row r="2442" spans="1:3" x14ac:dyDescent="0.25">
      <c r="A2442" s="20" t="s">
        <v>3362</v>
      </c>
      <c r="B2442" s="20" t="s">
        <v>2191</v>
      </c>
      <c r="C2442" s="20">
        <v>2806.31</v>
      </c>
    </row>
    <row r="2443" spans="1:3" x14ac:dyDescent="0.25">
      <c r="A2443" s="20" t="s">
        <v>3379</v>
      </c>
      <c r="B2443" s="20" t="s">
        <v>2191</v>
      </c>
      <c r="C2443" s="20">
        <v>0</v>
      </c>
    </row>
    <row r="2444" spans="1:3" x14ac:dyDescent="0.25">
      <c r="A2444" s="20" t="s">
        <v>3380</v>
      </c>
      <c r="B2444" s="20" t="s">
        <v>2191</v>
      </c>
      <c r="C2444" s="20">
        <v>0</v>
      </c>
    </row>
    <row r="2445" spans="1:3" x14ac:dyDescent="0.25">
      <c r="A2445" s="20" t="s">
        <v>3382</v>
      </c>
      <c r="B2445" s="20" t="s">
        <v>2191</v>
      </c>
      <c r="C2445" s="20">
        <v>6639</v>
      </c>
    </row>
    <row r="2446" spans="1:3" x14ac:dyDescent="0.25">
      <c r="A2446" s="20" t="s">
        <v>3384</v>
      </c>
      <c r="B2446" s="20" t="s">
        <v>2191</v>
      </c>
      <c r="C2446" s="20">
        <v>0</v>
      </c>
    </row>
    <row r="2447" spans="1:3" x14ac:dyDescent="0.25">
      <c r="A2447" s="20" t="s">
        <v>3394</v>
      </c>
      <c r="B2447" s="20" t="s">
        <v>2191</v>
      </c>
      <c r="C2447" s="20">
        <v>3060</v>
      </c>
    </row>
    <row r="2448" spans="1:3" x14ac:dyDescent="0.25">
      <c r="A2448" s="20" t="s">
        <v>3393</v>
      </c>
      <c r="B2448" s="20" t="s">
        <v>2191</v>
      </c>
      <c r="C2448" s="20">
        <v>0</v>
      </c>
    </row>
    <row r="2449" spans="1:3" x14ac:dyDescent="0.25">
      <c r="A2449" s="20" t="s">
        <v>3391</v>
      </c>
      <c r="B2449" s="20" t="s">
        <v>2191</v>
      </c>
      <c r="C2449" s="20">
        <v>0</v>
      </c>
    </row>
    <row r="2450" spans="1:3" x14ac:dyDescent="0.25">
      <c r="A2450" s="20" t="s">
        <v>3396</v>
      </c>
      <c r="B2450" s="20" t="s">
        <v>2191</v>
      </c>
      <c r="C2450" s="20">
        <v>5020</v>
      </c>
    </row>
    <row r="2451" spans="1:3" x14ac:dyDescent="0.25">
      <c r="A2451" s="20" t="s">
        <v>3390</v>
      </c>
      <c r="B2451" s="20" t="s">
        <v>2191</v>
      </c>
      <c r="C2451" s="20">
        <v>21844</v>
      </c>
    </row>
    <row r="2452" spans="1:3" x14ac:dyDescent="0.25">
      <c r="A2452" s="20" t="s">
        <v>3399</v>
      </c>
      <c r="B2452" s="20" t="s">
        <v>2191</v>
      </c>
      <c r="C2452" s="20">
        <v>2289</v>
      </c>
    </row>
    <row r="2453" spans="1:3" x14ac:dyDescent="0.25">
      <c r="A2453" s="20" t="s">
        <v>3403</v>
      </c>
      <c r="B2453" s="20" t="s">
        <v>2191</v>
      </c>
      <c r="C2453" s="20">
        <v>1663</v>
      </c>
    </row>
    <row r="2454" spans="1:3" x14ac:dyDescent="0.25">
      <c r="A2454" s="20" t="s">
        <v>3400</v>
      </c>
      <c r="B2454" s="20" t="s">
        <v>2191</v>
      </c>
      <c r="C2454" s="20">
        <v>1612</v>
      </c>
    </row>
    <row r="2455" spans="1:3" x14ac:dyDescent="0.25">
      <c r="A2455" s="20" t="s">
        <v>3401</v>
      </c>
      <c r="B2455" s="20" t="s">
        <v>2191</v>
      </c>
      <c r="C2455" s="20">
        <v>37706</v>
      </c>
    </row>
    <row r="2456" spans="1:3" x14ac:dyDescent="0.25">
      <c r="A2456" s="20" t="s">
        <v>3398</v>
      </c>
      <c r="B2456" s="20" t="s">
        <v>2191</v>
      </c>
      <c r="C2456" s="20">
        <v>7892</v>
      </c>
    </row>
    <row r="2457" spans="1:3" x14ac:dyDescent="0.25">
      <c r="A2457" s="20" t="s">
        <v>3563</v>
      </c>
      <c r="B2457" s="20" t="s">
        <v>2191</v>
      </c>
      <c r="C2457" s="20">
        <v>0</v>
      </c>
    </row>
    <row r="2458" spans="1:3" x14ac:dyDescent="0.25">
      <c r="A2458" s="20" t="s">
        <v>3411</v>
      </c>
      <c r="B2458" s="20" t="s">
        <v>2191</v>
      </c>
      <c r="C2458" s="20">
        <v>0</v>
      </c>
    </row>
    <row r="2459" spans="1:3" x14ac:dyDescent="0.25">
      <c r="A2459" s="20" t="s">
        <v>3412</v>
      </c>
      <c r="B2459" s="20" t="s">
        <v>2191</v>
      </c>
      <c r="C2459" s="20">
        <v>7664</v>
      </c>
    </row>
    <row r="2460" spans="1:3" x14ac:dyDescent="0.25">
      <c r="A2460" s="20" t="s">
        <v>3426</v>
      </c>
      <c r="B2460" s="20" t="s">
        <v>2191</v>
      </c>
      <c r="C2460" s="20">
        <v>0</v>
      </c>
    </row>
    <row r="2461" spans="1:3" x14ac:dyDescent="0.25">
      <c r="A2461" s="20" t="s">
        <v>3418</v>
      </c>
      <c r="B2461" s="20" t="s">
        <v>2191</v>
      </c>
      <c r="C2461" s="20">
        <v>3516</v>
      </c>
    </row>
    <row r="2462" spans="1:3" x14ac:dyDescent="0.25">
      <c r="A2462" s="20" t="s">
        <v>3424</v>
      </c>
      <c r="B2462" s="20" t="s">
        <v>2191</v>
      </c>
      <c r="C2462" s="20">
        <v>9590</v>
      </c>
    </row>
    <row r="2463" spans="1:3" x14ac:dyDescent="0.25">
      <c r="A2463" s="20" t="s">
        <v>3573</v>
      </c>
      <c r="B2463" s="20" t="s">
        <v>2191</v>
      </c>
      <c r="C2463" s="20">
        <v>0</v>
      </c>
    </row>
    <row r="2464" spans="1:3" x14ac:dyDescent="0.25">
      <c r="A2464" s="20" t="s">
        <v>3577</v>
      </c>
      <c r="B2464" s="20" t="s">
        <v>2191</v>
      </c>
      <c r="C2464" s="20">
        <v>0</v>
      </c>
    </row>
    <row r="2465" spans="1:3" x14ac:dyDescent="0.25">
      <c r="A2465" s="20" t="s">
        <v>3576</v>
      </c>
      <c r="B2465" s="20" t="s">
        <v>2191</v>
      </c>
      <c r="C2465" s="20">
        <v>26319.77</v>
      </c>
    </row>
    <row r="2466" spans="1:3" x14ac:dyDescent="0.25">
      <c r="A2466" s="20" t="s">
        <v>3582</v>
      </c>
      <c r="B2466" s="20" t="s">
        <v>2191</v>
      </c>
      <c r="C2466" s="20">
        <v>35357</v>
      </c>
    </row>
    <row r="2467" spans="1:3" x14ac:dyDescent="0.25">
      <c r="A2467" s="20" t="s">
        <v>3586</v>
      </c>
      <c r="B2467" s="20" t="s">
        <v>2191</v>
      </c>
      <c r="C2467" s="20">
        <v>0</v>
      </c>
    </row>
    <row r="2468" spans="1:3" x14ac:dyDescent="0.25">
      <c r="A2468" s="20" t="s">
        <v>3591</v>
      </c>
      <c r="B2468" s="20" t="s">
        <v>2191</v>
      </c>
      <c r="C2468" s="20">
        <v>602</v>
      </c>
    </row>
    <row r="2469" spans="1:3" x14ac:dyDescent="0.25">
      <c r="A2469" s="20" t="s">
        <v>3588</v>
      </c>
      <c r="B2469" s="20" t="s">
        <v>2191</v>
      </c>
      <c r="C2469" s="20">
        <v>66885.009999999995</v>
      </c>
    </row>
    <row r="2470" spans="1:3" x14ac:dyDescent="0.25">
      <c r="A2470" s="20" t="s">
        <v>3596</v>
      </c>
      <c r="B2470" s="20" t="s">
        <v>2191</v>
      </c>
      <c r="C2470" s="20">
        <v>8292</v>
      </c>
    </row>
    <row r="2471" spans="1:3" x14ac:dyDescent="0.25">
      <c r="A2471" s="20" t="s">
        <v>3593</v>
      </c>
      <c r="B2471" s="20" t="s">
        <v>2191</v>
      </c>
      <c r="C2471" s="20">
        <v>3024</v>
      </c>
    </row>
    <row r="2472" spans="1:3" x14ac:dyDescent="0.25">
      <c r="A2472" s="20" t="s">
        <v>3605</v>
      </c>
      <c r="B2472" s="20" t="s">
        <v>2191</v>
      </c>
      <c r="C2472" s="20">
        <v>0</v>
      </c>
    </row>
    <row r="2473" spans="1:3" x14ac:dyDescent="0.25">
      <c r="A2473" s="20" t="s">
        <v>3610</v>
      </c>
      <c r="B2473" s="20" t="s">
        <v>2191</v>
      </c>
      <c r="C2473" s="20">
        <v>0</v>
      </c>
    </row>
    <row r="2474" spans="1:3" x14ac:dyDescent="0.25">
      <c r="A2474" s="20" t="s">
        <v>3613</v>
      </c>
      <c r="B2474" s="20" t="s">
        <v>2191</v>
      </c>
      <c r="C2474" s="20">
        <v>35732</v>
      </c>
    </row>
    <row r="2475" spans="1:3" x14ac:dyDescent="0.25">
      <c r="A2475" s="20" t="s">
        <v>3626</v>
      </c>
      <c r="B2475" s="20" t="s">
        <v>2191</v>
      </c>
      <c r="C2475" s="20">
        <v>0</v>
      </c>
    </row>
    <row r="2476" spans="1:3" x14ac:dyDescent="0.25">
      <c r="A2476" s="20" t="s">
        <v>3619</v>
      </c>
      <c r="B2476" s="20" t="s">
        <v>2191</v>
      </c>
      <c r="C2476" s="20">
        <v>6116</v>
      </c>
    </row>
    <row r="2477" spans="1:3" x14ac:dyDescent="0.25">
      <c r="A2477" s="20" t="s">
        <v>3621</v>
      </c>
      <c r="B2477" s="20" t="s">
        <v>2191</v>
      </c>
      <c r="C2477" s="20">
        <v>0</v>
      </c>
    </row>
    <row r="2478" spans="1:3" x14ac:dyDescent="0.25">
      <c r="A2478" s="20" t="s">
        <v>3627</v>
      </c>
      <c r="B2478" s="20" t="s">
        <v>2191</v>
      </c>
      <c r="C2478" s="20">
        <v>297</v>
      </c>
    </row>
    <row r="2479" spans="1:3" x14ac:dyDescent="0.25">
      <c r="A2479" s="20" t="s">
        <v>3641</v>
      </c>
      <c r="B2479" s="20" t="s">
        <v>2191</v>
      </c>
      <c r="C2479" s="20">
        <v>14424</v>
      </c>
    </row>
    <row r="2480" spans="1:3" x14ac:dyDescent="0.25">
      <c r="A2480" s="20" t="s">
        <v>3645</v>
      </c>
      <c r="B2480" s="20" t="s">
        <v>2191</v>
      </c>
      <c r="C2480" s="20">
        <v>28518.74</v>
      </c>
    </row>
    <row r="2481" spans="1:3" x14ac:dyDescent="0.25">
      <c r="A2481" s="20" t="s">
        <v>3660</v>
      </c>
      <c r="B2481" s="20" t="s">
        <v>2191</v>
      </c>
      <c r="C2481" s="20">
        <v>15266</v>
      </c>
    </row>
    <row r="2482" spans="1:3" x14ac:dyDescent="0.25">
      <c r="A2482" s="20" t="s">
        <v>3666</v>
      </c>
      <c r="B2482" s="20" t="s">
        <v>2191</v>
      </c>
      <c r="C2482" s="20">
        <v>7500</v>
      </c>
    </row>
    <row r="2483" spans="1:3" x14ac:dyDescent="0.25">
      <c r="A2483" s="20" t="s">
        <v>3662</v>
      </c>
      <c r="B2483" s="20" t="s">
        <v>2191</v>
      </c>
      <c r="C2483" s="20">
        <v>9013</v>
      </c>
    </row>
    <row r="2484" spans="1:3" x14ac:dyDescent="0.25">
      <c r="A2484" s="20" t="s">
        <v>2965</v>
      </c>
      <c r="B2484" s="20" t="s">
        <v>2191</v>
      </c>
      <c r="C2484" s="20">
        <v>0</v>
      </c>
    </row>
    <row r="2485" spans="1:3" x14ac:dyDescent="0.25">
      <c r="A2485" s="20" t="s">
        <v>1944</v>
      </c>
      <c r="B2485" s="20" t="s">
        <v>2191</v>
      </c>
      <c r="C2485" s="20">
        <v>0</v>
      </c>
    </row>
    <row r="2486" spans="1:3" x14ac:dyDescent="0.25">
      <c r="A2486" s="20" t="s">
        <v>2966</v>
      </c>
      <c r="B2486" s="20" t="s">
        <v>2191</v>
      </c>
      <c r="C2486" s="20">
        <v>0</v>
      </c>
    </row>
    <row r="2487" spans="1:3" x14ac:dyDescent="0.25">
      <c r="A2487" s="20" t="s">
        <v>1794</v>
      </c>
      <c r="B2487" s="20" t="s">
        <v>2191</v>
      </c>
      <c r="C2487" s="20">
        <v>0</v>
      </c>
    </row>
    <row r="2488" spans="1:3" x14ac:dyDescent="0.25">
      <c r="A2488" s="20" t="s">
        <v>2967</v>
      </c>
      <c r="B2488" s="20" t="s">
        <v>2191</v>
      </c>
      <c r="C2488" s="20">
        <v>0</v>
      </c>
    </row>
    <row r="2489" spans="1:3" x14ac:dyDescent="0.25">
      <c r="A2489" s="20" t="s">
        <v>2968</v>
      </c>
      <c r="B2489" s="20" t="s">
        <v>2191</v>
      </c>
      <c r="C2489" s="20">
        <v>0</v>
      </c>
    </row>
    <row r="2490" spans="1:3" x14ac:dyDescent="0.25">
      <c r="A2490" s="20" t="s">
        <v>1795</v>
      </c>
      <c r="B2490" s="20" t="s">
        <v>2191</v>
      </c>
      <c r="C2490" s="20">
        <v>0</v>
      </c>
    </row>
    <row r="2491" spans="1:3" x14ac:dyDescent="0.25">
      <c r="A2491" s="20" t="s">
        <v>584</v>
      </c>
      <c r="B2491" s="20" t="s">
        <v>2191</v>
      </c>
      <c r="C2491" s="20">
        <v>0</v>
      </c>
    </row>
    <row r="2492" spans="1:3" x14ac:dyDescent="0.25">
      <c r="A2492" s="20" t="s">
        <v>805</v>
      </c>
      <c r="B2492" s="20" t="s">
        <v>2191</v>
      </c>
      <c r="C2492" s="20">
        <v>10208</v>
      </c>
    </row>
    <row r="2493" spans="1:3" x14ac:dyDescent="0.25">
      <c r="A2493" s="20" t="s">
        <v>1796</v>
      </c>
      <c r="B2493" s="20" t="s">
        <v>2191</v>
      </c>
      <c r="C2493" s="20">
        <v>0</v>
      </c>
    </row>
    <row r="2494" spans="1:3" x14ac:dyDescent="0.25">
      <c r="A2494" s="20" t="s">
        <v>1429</v>
      </c>
      <c r="B2494" s="20" t="s">
        <v>2191</v>
      </c>
      <c r="C2494" s="20">
        <v>0</v>
      </c>
    </row>
    <row r="2495" spans="1:3" x14ac:dyDescent="0.25">
      <c r="A2495" s="20" t="s">
        <v>2969</v>
      </c>
      <c r="B2495" s="20" t="s">
        <v>2191</v>
      </c>
      <c r="C2495" s="20">
        <v>0</v>
      </c>
    </row>
    <row r="2496" spans="1:3" x14ac:dyDescent="0.25">
      <c r="A2496" s="20" t="s">
        <v>1430</v>
      </c>
      <c r="B2496" s="20" t="s">
        <v>2191</v>
      </c>
      <c r="C2496" s="20">
        <v>85199.5</v>
      </c>
    </row>
    <row r="2497" spans="1:3" x14ac:dyDescent="0.25">
      <c r="A2497" s="20" t="s">
        <v>2970</v>
      </c>
      <c r="B2497" s="20" t="s">
        <v>2191</v>
      </c>
      <c r="C2497" s="20">
        <v>0</v>
      </c>
    </row>
    <row r="2498" spans="1:3" x14ac:dyDescent="0.25">
      <c r="A2498" s="20" t="s">
        <v>2971</v>
      </c>
      <c r="B2498" s="20" t="s">
        <v>2191</v>
      </c>
      <c r="C2498" s="20">
        <v>0</v>
      </c>
    </row>
    <row r="2499" spans="1:3" x14ac:dyDescent="0.25">
      <c r="A2499" s="20" t="s">
        <v>2972</v>
      </c>
      <c r="B2499" s="20" t="s">
        <v>2191</v>
      </c>
      <c r="C2499" s="20">
        <v>0</v>
      </c>
    </row>
    <row r="2500" spans="1:3" x14ac:dyDescent="0.25">
      <c r="A2500" s="20" t="s">
        <v>1994</v>
      </c>
      <c r="B2500" s="20" t="s">
        <v>2191</v>
      </c>
      <c r="C2500" s="20">
        <v>0</v>
      </c>
    </row>
    <row r="2501" spans="1:3" x14ac:dyDescent="0.25">
      <c r="A2501" s="20" t="s">
        <v>2973</v>
      </c>
      <c r="B2501" s="20" t="s">
        <v>2191</v>
      </c>
      <c r="C2501" s="20">
        <v>0</v>
      </c>
    </row>
    <row r="2502" spans="1:3" x14ac:dyDescent="0.25">
      <c r="A2502" s="20" t="s">
        <v>2974</v>
      </c>
      <c r="B2502" s="20" t="s">
        <v>2191</v>
      </c>
      <c r="C2502" s="20">
        <v>0</v>
      </c>
    </row>
    <row r="2503" spans="1:3" x14ac:dyDescent="0.25">
      <c r="A2503" s="20" t="s">
        <v>1065</v>
      </c>
      <c r="B2503" s="20" t="s">
        <v>2191</v>
      </c>
      <c r="C2503" s="20">
        <v>0</v>
      </c>
    </row>
    <row r="2504" spans="1:3" x14ac:dyDescent="0.25">
      <c r="A2504" s="20" t="s">
        <v>2065</v>
      </c>
      <c r="B2504" s="20" t="s">
        <v>2191</v>
      </c>
      <c r="C2504" s="20">
        <v>0</v>
      </c>
    </row>
    <row r="2505" spans="1:3" x14ac:dyDescent="0.25">
      <c r="A2505" s="20" t="s">
        <v>2975</v>
      </c>
      <c r="B2505" s="20" t="s">
        <v>2191</v>
      </c>
      <c r="C2505" s="20">
        <v>0</v>
      </c>
    </row>
    <row r="2506" spans="1:3" x14ac:dyDescent="0.25">
      <c r="A2506" s="20" t="s">
        <v>1797</v>
      </c>
      <c r="B2506" s="20" t="s">
        <v>2191</v>
      </c>
      <c r="C2506" s="20">
        <v>0</v>
      </c>
    </row>
    <row r="2507" spans="1:3" x14ac:dyDescent="0.25">
      <c r="A2507" s="20" t="s">
        <v>988</v>
      </c>
      <c r="B2507" s="20" t="s">
        <v>2191</v>
      </c>
      <c r="C2507" s="20">
        <v>28882</v>
      </c>
    </row>
    <row r="2508" spans="1:3" x14ac:dyDescent="0.25">
      <c r="A2508" s="20" t="s">
        <v>1798</v>
      </c>
      <c r="B2508" s="20" t="s">
        <v>2191</v>
      </c>
      <c r="C2508" s="20">
        <v>0</v>
      </c>
    </row>
    <row r="2509" spans="1:3" x14ac:dyDescent="0.25">
      <c r="A2509" s="20" t="s">
        <v>2026</v>
      </c>
      <c r="B2509" s="20" t="s">
        <v>2191</v>
      </c>
      <c r="C2509" s="20">
        <v>0</v>
      </c>
    </row>
    <row r="2510" spans="1:3" x14ac:dyDescent="0.25">
      <c r="A2510" s="20" t="s">
        <v>1799</v>
      </c>
      <c r="B2510" s="20" t="s">
        <v>2191</v>
      </c>
      <c r="C2510" s="20">
        <v>0</v>
      </c>
    </row>
    <row r="2511" spans="1:3" x14ac:dyDescent="0.25">
      <c r="A2511" s="20" t="s">
        <v>2976</v>
      </c>
      <c r="B2511" s="20" t="s">
        <v>2191</v>
      </c>
      <c r="C2511" s="20">
        <v>0</v>
      </c>
    </row>
    <row r="2512" spans="1:3" x14ac:dyDescent="0.25">
      <c r="A2512" s="20" t="s">
        <v>2977</v>
      </c>
      <c r="B2512" s="20" t="s">
        <v>2191</v>
      </c>
      <c r="C2512" s="20">
        <v>0</v>
      </c>
    </row>
    <row r="2513" spans="1:3" x14ac:dyDescent="0.25">
      <c r="A2513" s="20" t="s">
        <v>2978</v>
      </c>
      <c r="B2513" s="20" t="s">
        <v>2191</v>
      </c>
      <c r="C2513" s="20">
        <v>0</v>
      </c>
    </row>
    <row r="2514" spans="1:3" x14ac:dyDescent="0.25">
      <c r="A2514" s="20" t="s">
        <v>1800</v>
      </c>
      <c r="B2514" s="20" t="s">
        <v>2191</v>
      </c>
      <c r="C2514" s="20">
        <v>0</v>
      </c>
    </row>
    <row r="2515" spans="1:3" x14ac:dyDescent="0.25">
      <c r="A2515" s="20" t="s">
        <v>1801</v>
      </c>
      <c r="B2515" s="20" t="s">
        <v>2191</v>
      </c>
      <c r="C2515" s="20">
        <v>0</v>
      </c>
    </row>
    <row r="2516" spans="1:3" x14ac:dyDescent="0.25">
      <c r="A2516" s="20" t="s">
        <v>1470</v>
      </c>
      <c r="B2516" s="20" t="s">
        <v>2191</v>
      </c>
      <c r="C2516" s="20">
        <v>0</v>
      </c>
    </row>
    <row r="2517" spans="1:3" x14ac:dyDescent="0.25">
      <c r="A2517" s="20" t="s">
        <v>2979</v>
      </c>
      <c r="B2517" s="20" t="s">
        <v>2191</v>
      </c>
      <c r="C2517" s="20">
        <v>0</v>
      </c>
    </row>
    <row r="2518" spans="1:3" x14ac:dyDescent="0.25">
      <c r="A2518" s="20" t="s">
        <v>586</v>
      </c>
      <c r="B2518" s="20" t="s">
        <v>2191</v>
      </c>
      <c r="C2518" s="20">
        <v>0</v>
      </c>
    </row>
    <row r="2519" spans="1:3" x14ac:dyDescent="0.25">
      <c r="A2519" s="20" t="s">
        <v>2066</v>
      </c>
      <c r="B2519" s="20" t="s">
        <v>2191</v>
      </c>
      <c r="C2519" s="20">
        <v>0</v>
      </c>
    </row>
    <row r="2520" spans="1:3" x14ac:dyDescent="0.25">
      <c r="A2520" s="20" t="s">
        <v>1197</v>
      </c>
      <c r="B2520" s="20" t="s">
        <v>2191</v>
      </c>
      <c r="C2520" s="20">
        <v>0</v>
      </c>
    </row>
    <row r="2521" spans="1:3" x14ac:dyDescent="0.25">
      <c r="A2521" s="20" t="s">
        <v>2980</v>
      </c>
      <c r="B2521" s="20" t="s">
        <v>2191</v>
      </c>
      <c r="C2521" s="20">
        <v>0</v>
      </c>
    </row>
    <row r="2522" spans="1:3" x14ac:dyDescent="0.25">
      <c r="A2522" s="20" t="s">
        <v>1853</v>
      </c>
      <c r="B2522" s="20" t="s">
        <v>2191</v>
      </c>
      <c r="C2522" s="20">
        <v>0</v>
      </c>
    </row>
    <row r="2523" spans="1:3" x14ac:dyDescent="0.25">
      <c r="A2523" s="20" t="s">
        <v>1070</v>
      </c>
      <c r="B2523" s="20" t="s">
        <v>2191</v>
      </c>
      <c r="C2523" s="20">
        <v>50408</v>
      </c>
    </row>
    <row r="2524" spans="1:3" x14ac:dyDescent="0.25">
      <c r="A2524" s="20" t="s">
        <v>2981</v>
      </c>
      <c r="B2524" s="20" t="s">
        <v>2191</v>
      </c>
      <c r="C2524" s="20">
        <v>0</v>
      </c>
    </row>
    <row r="2525" spans="1:3" x14ac:dyDescent="0.25">
      <c r="A2525" s="20" t="s">
        <v>1802</v>
      </c>
      <c r="B2525" s="20" t="s">
        <v>2191</v>
      </c>
      <c r="C2525" s="20">
        <v>0</v>
      </c>
    </row>
    <row r="2526" spans="1:3" x14ac:dyDescent="0.25">
      <c r="A2526" s="20" t="s">
        <v>2982</v>
      </c>
      <c r="B2526" s="20" t="s">
        <v>2191</v>
      </c>
      <c r="C2526" s="20">
        <v>0</v>
      </c>
    </row>
    <row r="2527" spans="1:3" x14ac:dyDescent="0.25">
      <c r="A2527" s="20" t="s">
        <v>2983</v>
      </c>
      <c r="B2527" s="20" t="s">
        <v>2191</v>
      </c>
      <c r="C2527" s="2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14</vt:i4>
      </vt:variant>
    </vt:vector>
  </HeadingPairs>
  <TitlesOfParts>
    <vt:vector size="31" baseType="lpstr">
      <vt:lpstr>All Offices</vt:lpstr>
      <vt:lpstr>Emails</vt:lpstr>
      <vt:lpstr>BRA</vt:lpstr>
      <vt:lpstr>FNO</vt:lpstr>
      <vt:lpstr>LAF</vt:lpstr>
      <vt:lpstr>LKO</vt:lpstr>
      <vt:lpstr>LVS</vt:lpstr>
      <vt:lpstr>MHL</vt:lpstr>
      <vt:lpstr>MID</vt:lpstr>
      <vt:lpstr>PAS</vt:lpstr>
      <vt:lpstr>PHX</vt:lpstr>
      <vt:lpstr>RCH</vt:lpstr>
      <vt:lpstr>REN</vt:lpstr>
      <vt:lpstr>SBO</vt:lpstr>
      <vt:lpstr>SDO</vt:lpstr>
      <vt:lpstr>SEA</vt:lpstr>
      <vt:lpstr>Working</vt:lpstr>
      <vt:lpstr>Working!Declines</vt:lpstr>
      <vt:lpstr>Working!PY_NB_Standard</vt:lpstr>
      <vt:lpstr>Working!PY_NB_Surplus</vt:lpstr>
      <vt:lpstr>Working!PYTD_NB_Standard</vt:lpstr>
      <vt:lpstr>Working!PYTD_NB_Surplus</vt:lpstr>
      <vt:lpstr>Working!PYTD_WP_Standard</vt:lpstr>
      <vt:lpstr>Working!PYTD_WP_Surplus</vt:lpstr>
      <vt:lpstr>Ratio</vt:lpstr>
      <vt:lpstr>Working!Ratio1</vt:lpstr>
      <vt:lpstr>Working!YTD_Loss_Ratio</vt:lpstr>
      <vt:lpstr>Working!YTD_NB_Standard</vt:lpstr>
      <vt:lpstr>Working!YTD_NB_Surplus</vt:lpstr>
      <vt:lpstr>Working!YTD_WP_Standard</vt:lpstr>
      <vt:lpstr>Working!YTD_WP_Surplus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</dc:creator>
  <cp:lastModifiedBy>Tyler Dunson</cp:lastModifiedBy>
  <cp:lastPrinted>2019-11-06T18:03:01Z</cp:lastPrinted>
  <dcterms:created xsi:type="dcterms:W3CDTF">2016-07-05T22:03:48Z</dcterms:created>
  <dcterms:modified xsi:type="dcterms:W3CDTF">2026-03-02T17:53:03Z</dcterms:modified>
</cp:coreProperties>
</file>